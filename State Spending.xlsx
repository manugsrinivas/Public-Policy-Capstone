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47753913ed8de4a2/Documents/Excel/"/>
    </mc:Choice>
  </mc:AlternateContent>
  <xr:revisionPtr revIDLastSave="121" documentId="11_780A3F48D6FCA1D6E6F6CF86E49A57AF90421189" xr6:coauthVersionLast="47" xr6:coauthVersionMax="47" xr10:uidLastSave="{953FDFD7-0522-483A-9FC3-4EBAE87FCD65}"/>
  <bookViews>
    <workbookView xWindow="-120" yWindow="-120" windowWidth="29040" windowHeight="15720" activeTab="2" xr2:uid="{00000000-000D-0000-FFFF-FFFF00000000}"/>
  </bookViews>
  <sheets>
    <sheet name="Full Spreadsheet" sheetId="1" r:id="rId1"/>
    <sheet name="Sheet1" sheetId="7" r:id="rId2"/>
    <sheet name="Data Visualization" sheetId="2" r:id="rId3"/>
    <sheet name="Heatmap" sheetId="3" r:id="rId4"/>
    <sheet name="Spending Chart" sheetId="4" r:id="rId5"/>
    <sheet name="Oklahoma" sheetId="5" r:id="rId6"/>
    <sheet name="Sources" sheetId="6" r:id="rId7"/>
  </sheets>
  <definedNames>
    <definedName name="_xlnm._FilterDatabase" localSheetId="2" hidden="1">'Data Visualization'!$R$1:$S$22</definedName>
    <definedName name="_xlchart.v5.0" hidden="1">'Data Visualization'!$R$1</definedName>
    <definedName name="_xlchart.v5.1" hidden="1">'Data Visualization'!$R$2:$R$22</definedName>
    <definedName name="_xlchart.v5.10" hidden="1">'Data Visualization'!$R$1</definedName>
    <definedName name="_xlchart.v5.11" hidden="1">'Data Visualization'!$R$2:$R$22</definedName>
    <definedName name="_xlchart.v5.12" hidden="1">'Data Visualization'!$S$1</definedName>
    <definedName name="_xlchart.v5.13" hidden="1">'Data Visualization'!$S$2:$S$22</definedName>
    <definedName name="_xlchart.v5.14" hidden="1">'Data Visualization'!$R$1</definedName>
    <definedName name="_xlchart.v5.15" hidden="1">'Data Visualization'!$R$2:$R$22</definedName>
    <definedName name="_xlchart.v5.16" hidden="1">'Data Visualization'!$S$1</definedName>
    <definedName name="_xlchart.v5.17" hidden="1">'Data Visualization'!$S$2:$S$22</definedName>
    <definedName name="_xlchart.v5.2" hidden="1">'Data Visualization'!$S$1</definedName>
    <definedName name="_xlchart.v5.3" hidden="1">'Data Visualization'!$S$2:$S$22</definedName>
    <definedName name="_xlchart.v5.4" hidden="1">'Data Visualization'!$A$1</definedName>
    <definedName name="_xlchart.v5.5" hidden="1">'Data Visualization'!$A$2:$A$51</definedName>
    <definedName name="_xlchart.v5.6" hidden="1">'Data Visualization'!$B$1</definedName>
    <definedName name="_xlchart.v5.7" hidden="1">'Data Visualization'!$B$2:$B$51</definedName>
    <definedName name="_xlchart.v5.8" hidden="1">'Data Visualization'!$C$1</definedName>
    <definedName name="_xlchart.v5.9" hidden="1">'Data Visualization'!$C$2:$C$51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6" i="1"/>
  <c r="B6" i="2" s="1"/>
  <c r="H7" i="1"/>
  <c r="C7" i="2" s="1"/>
  <c r="I7" i="1"/>
  <c r="B7" i="2" s="1"/>
  <c r="I8" i="1"/>
  <c r="B8" i="2" s="1"/>
  <c r="I9" i="1"/>
  <c r="I10" i="1"/>
  <c r="I11" i="1"/>
  <c r="I12" i="1"/>
  <c r="I14" i="1"/>
  <c r="I15" i="1"/>
  <c r="I18" i="1"/>
  <c r="B18" i="2" s="1"/>
  <c r="I19" i="1"/>
  <c r="I22" i="1"/>
  <c r="I27" i="1"/>
  <c r="B27" i="2" s="1"/>
  <c r="I28" i="1"/>
  <c r="H29" i="1"/>
  <c r="C29" i="2" s="1"/>
  <c r="I29" i="1"/>
  <c r="B29" i="2" s="1"/>
  <c r="I30" i="1"/>
  <c r="B30" i="2" s="1"/>
  <c r="I31" i="1"/>
  <c r="B31" i="2" s="1"/>
  <c r="I32" i="1"/>
  <c r="B32" i="2" s="1"/>
  <c r="I33" i="1"/>
  <c r="B33" i="2" s="1"/>
  <c r="I34" i="1"/>
  <c r="B34" i="2" s="1"/>
  <c r="I35" i="1"/>
  <c r="B35" i="2" s="1"/>
  <c r="I37" i="1"/>
  <c r="B37" i="2" s="1"/>
  <c r="I38" i="1"/>
  <c r="B38" i="2" s="1"/>
  <c r="I39" i="1"/>
  <c r="B39" i="2" s="1"/>
  <c r="I40" i="1"/>
  <c r="B40" i="2" s="1"/>
  <c r="I41" i="1"/>
  <c r="B41" i="2" s="1"/>
  <c r="I42" i="1"/>
  <c r="B42" i="2" s="1"/>
  <c r="I43" i="1"/>
  <c r="B43" i="2" s="1"/>
  <c r="E44" i="1"/>
  <c r="I45" i="1"/>
  <c r="B45" i="2" s="1"/>
  <c r="I46" i="1"/>
  <c r="B46" i="2" s="1"/>
  <c r="B313" i="5"/>
  <c r="A313" i="5"/>
  <c r="E296" i="5" s="1"/>
  <c r="C51" i="2"/>
  <c r="B51" i="2"/>
  <c r="C50" i="2"/>
  <c r="C49" i="2"/>
  <c r="B49" i="2"/>
  <c r="C48" i="2"/>
  <c r="C47" i="2"/>
  <c r="C46" i="2"/>
  <c r="C45" i="2"/>
  <c r="C44" i="2"/>
  <c r="B44" i="2"/>
  <c r="C43" i="2"/>
  <c r="C42" i="2"/>
  <c r="C41" i="2"/>
  <c r="C40" i="2"/>
  <c r="C39" i="2"/>
  <c r="C38" i="2"/>
  <c r="C37" i="2"/>
  <c r="C36" i="2"/>
  <c r="B36" i="2"/>
  <c r="C35" i="2"/>
  <c r="C34" i="2"/>
  <c r="C33" i="2"/>
  <c r="C32" i="2"/>
  <c r="C31" i="2"/>
  <c r="C30" i="2"/>
  <c r="C28" i="2"/>
  <c r="C27" i="2"/>
  <c r="C26" i="2"/>
  <c r="B26" i="2"/>
  <c r="C25" i="2"/>
  <c r="B25" i="2"/>
  <c r="C24" i="2"/>
  <c r="B24" i="2"/>
  <c r="C23" i="2"/>
  <c r="B23" i="2"/>
  <c r="C22" i="2"/>
  <c r="C21" i="2"/>
  <c r="B21" i="2"/>
  <c r="C20" i="2"/>
  <c r="B20" i="2"/>
  <c r="C19" i="2"/>
  <c r="C18" i="2"/>
  <c r="C17" i="2"/>
  <c r="B17" i="2"/>
  <c r="C16" i="2"/>
  <c r="B16" i="2"/>
  <c r="C15" i="2"/>
  <c r="C14" i="2"/>
  <c r="C13" i="2"/>
  <c r="B13" i="2"/>
  <c r="C12" i="2"/>
  <c r="C11" i="2"/>
  <c r="C10" i="2"/>
  <c r="C9" i="2"/>
  <c r="C8" i="2"/>
  <c r="C6" i="2"/>
  <c r="C5" i="2"/>
  <c r="B5" i="2"/>
  <c r="C4" i="2"/>
  <c r="C3" i="2"/>
  <c r="C2" i="2"/>
  <c r="I50" i="1"/>
  <c r="B50" i="2" s="1"/>
  <c r="I48" i="1"/>
  <c r="B48" i="2" s="1"/>
  <c r="I47" i="1"/>
  <c r="B47" i="2" s="1"/>
  <c r="B28" i="2"/>
  <c r="B22" i="2"/>
  <c r="B19" i="2"/>
  <c r="B15" i="2"/>
  <c r="B14" i="2"/>
  <c r="B12" i="2"/>
  <c r="B11" i="2"/>
  <c r="B10" i="2"/>
  <c r="B9" i="2"/>
  <c r="B4" i="2"/>
  <c r="B3" i="2"/>
  <c r="B2" i="2"/>
  <c r="G296" i="5" l="1"/>
  <c r="F296" i="5"/>
  <c r="E7" i="5"/>
  <c r="E35" i="5"/>
  <c r="E63" i="5"/>
  <c r="E91" i="5"/>
  <c r="E119" i="5"/>
  <c r="E147" i="5"/>
  <c r="E175" i="5"/>
  <c r="E203" i="5"/>
  <c r="E231" i="5"/>
  <c r="E259" i="5"/>
  <c r="E287" i="5"/>
  <c r="E26" i="5"/>
  <c r="E54" i="5"/>
  <c r="E82" i="5"/>
  <c r="E110" i="5"/>
  <c r="E138" i="5"/>
  <c r="E166" i="5"/>
  <c r="E194" i="5"/>
  <c r="E222" i="5"/>
  <c r="E250" i="5"/>
  <c r="E278" i="5"/>
  <c r="E306" i="5"/>
  <c r="E61" i="5"/>
  <c r="E285" i="5"/>
  <c r="E17" i="5"/>
  <c r="E45" i="5"/>
  <c r="E73" i="5"/>
  <c r="E101" i="5"/>
  <c r="E129" i="5"/>
  <c r="E157" i="5"/>
  <c r="E185" i="5"/>
  <c r="E213" i="5"/>
  <c r="E241" i="5"/>
  <c r="E269" i="5"/>
  <c r="E297" i="5"/>
  <c r="E5" i="5"/>
  <c r="E33" i="5"/>
  <c r="E117" i="5"/>
  <c r="E276" i="5"/>
  <c r="E108" i="5"/>
  <c r="E136" i="5"/>
  <c r="E164" i="5"/>
  <c r="E192" i="5"/>
  <c r="E220" i="5"/>
  <c r="E248" i="5"/>
  <c r="E304" i="5"/>
  <c r="E8" i="5"/>
  <c r="E36" i="5"/>
  <c r="E64" i="5"/>
  <c r="E92" i="5"/>
  <c r="E120" i="5"/>
  <c r="E148" i="5"/>
  <c r="E176" i="5"/>
  <c r="E204" i="5"/>
  <c r="E232" i="5"/>
  <c r="E260" i="5"/>
  <c r="E288" i="5"/>
  <c r="E27" i="5"/>
  <c r="E55" i="5"/>
  <c r="E83" i="5"/>
  <c r="E111" i="5"/>
  <c r="E139" i="5"/>
  <c r="E167" i="5"/>
  <c r="E195" i="5"/>
  <c r="E223" i="5"/>
  <c r="E251" i="5"/>
  <c r="E279" i="5"/>
  <c r="E307" i="5"/>
  <c r="E18" i="5"/>
  <c r="E46" i="5"/>
  <c r="E74" i="5"/>
  <c r="E102" i="5"/>
  <c r="E130" i="5"/>
  <c r="E158" i="5"/>
  <c r="E186" i="5"/>
  <c r="E214" i="5"/>
  <c r="E242" i="5"/>
  <c r="E270" i="5"/>
  <c r="E298" i="5"/>
  <c r="E9" i="5"/>
  <c r="E37" i="5"/>
  <c r="E65" i="5"/>
  <c r="E93" i="5"/>
  <c r="E121" i="5"/>
  <c r="E149" i="5"/>
  <c r="E177" i="5"/>
  <c r="E205" i="5"/>
  <c r="E233" i="5"/>
  <c r="E261" i="5"/>
  <c r="E289" i="5"/>
  <c r="E173" i="5"/>
  <c r="E201" i="5"/>
  <c r="E229" i="5"/>
  <c r="E257" i="5"/>
  <c r="E24" i="5"/>
  <c r="E52" i="5"/>
  <c r="E80" i="5"/>
  <c r="E28" i="5"/>
  <c r="E56" i="5"/>
  <c r="E84" i="5"/>
  <c r="E112" i="5"/>
  <c r="E140" i="5"/>
  <c r="E168" i="5"/>
  <c r="E196" i="5"/>
  <c r="E224" i="5"/>
  <c r="E252" i="5"/>
  <c r="E280" i="5"/>
  <c r="E308" i="5"/>
  <c r="E89" i="5"/>
  <c r="E19" i="5"/>
  <c r="E47" i="5"/>
  <c r="E75" i="5"/>
  <c r="E103" i="5"/>
  <c r="E131" i="5"/>
  <c r="E159" i="5"/>
  <c r="E187" i="5"/>
  <c r="E215" i="5"/>
  <c r="E243" i="5"/>
  <c r="E271" i="5"/>
  <c r="E299" i="5"/>
  <c r="E10" i="5"/>
  <c r="E38" i="5"/>
  <c r="E66" i="5"/>
  <c r="E94" i="5"/>
  <c r="E122" i="5"/>
  <c r="E150" i="5"/>
  <c r="E178" i="5"/>
  <c r="E206" i="5"/>
  <c r="E234" i="5"/>
  <c r="E262" i="5"/>
  <c r="E290" i="5"/>
  <c r="E29" i="5"/>
  <c r="E57" i="5"/>
  <c r="E85" i="5"/>
  <c r="E113" i="5"/>
  <c r="E141" i="5"/>
  <c r="E169" i="5"/>
  <c r="E197" i="5"/>
  <c r="E225" i="5"/>
  <c r="E253" i="5"/>
  <c r="E281" i="5"/>
  <c r="E309" i="5"/>
  <c r="E145" i="5"/>
  <c r="E20" i="5"/>
  <c r="E48" i="5"/>
  <c r="E76" i="5"/>
  <c r="E104" i="5"/>
  <c r="E132" i="5"/>
  <c r="E160" i="5"/>
  <c r="E188" i="5"/>
  <c r="E216" i="5"/>
  <c r="E244" i="5"/>
  <c r="E272" i="5"/>
  <c r="E300" i="5"/>
  <c r="E11" i="5"/>
  <c r="E39" i="5"/>
  <c r="E67" i="5"/>
  <c r="E95" i="5"/>
  <c r="E123" i="5"/>
  <c r="E151" i="5"/>
  <c r="E179" i="5"/>
  <c r="E207" i="5"/>
  <c r="E235" i="5"/>
  <c r="E263" i="5"/>
  <c r="E291" i="5"/>
  <c r="E2" i="5"/>
  <c r="E30" i="5"/>
  <c r="E58" i="5"/>
  <c r="E86" i="5"/>
  <c r="E114" i="5"/>
  <c r="E142" i="5"/>
  <c r="E170" i="5"/>
  <c r="E198" i="5"/>
  <c r="E226" i="5"/>
  <c r="E254" i="5"/>
  <c r="E282" i="5"/>
  <c r="E310" i="5"/>
  <c r="E21" i="5"/>
  <c r="E49" i="5"/>
  <c r="E77" i="5"/>
  <c r="E105" i="5"/>
  <c r="E133" i="5"/>
  <c r="E161" i="5"/>
  <c r="E189" i="5"/>
  <c r="E217" i="5"/>
  <c r="E245" i="5"/>
  <c r="E273" i="5"/>
  <c r="E301" i="5"/>
  <c r="E12" i="5"/>
  <c r="E40" i="5"/>
  <c r="E68" i="5"/>
  <c r="E96" i="5"/>
  <c r="E124" i="5"/>
  <c r="E152" i="5"/>
  <c r="E180" i="5"/>
  <c r="E208" i="5"/>
  <c r="E236" i="5"/>
  <c r="E264" i="5"/>
  <c r="E292" i="5"/>
  <c r="E3" i="5"/>
  <c r="E31" i="5"/>
  <c r="E59" i="5"/>
  <c r="E87" i="5"/>
  <c r="E115" i="5"/>
  <c r="E143" i="5"/>
  <c r="E171" i="5"/>
  <c r="E199" i="5"/>
  <c r="E227" i="5"/>
  <c r="E255" i="5"/>
  <c r="E283" i="5"/>
  <c r="E311" i="5"/>
  <c r="E22" i="5"/>
  <c r="E50" i="5"/>
  <c r="E78" i="5"/>
  <c r="E106" i="5"/>
  <c r="E134" i="5"/>
  <c r="E162" i="5"/>
  <c r="E190" i="5"/>
  <c r="E218" i="5"/>
  <c r="E246" i="5"/>
  <c r="E274" i="5"/>
  <c r="E302" i="5"/>
  <c r="E13" i="5"/>
  <c r="E41" i="5"/>
  <c r="E69" i="5"/>
  <c r="E97" i="5"/>
  <c r="E125" i="5"/>
  <c r="E153" i="5"/>
  <c r="E181" i="5"/>
  <c r="E209" i="5"/>
  <c r="E237" i="5"/>
  <c r="E265" i="5"/>
  <c r="E293" i="5"/>
  <c r="E4" i="5"/>
  <c r="E32" i="5"/>
  <c r="E60" i="5"/>
  <c r="E88" i="5"/>
  <c r="E116" i="5"/>
  <c r="E144" i="5"/>
  <c r="E172" i="5"/>
  <c r="E200" i="5"/>
  <c r="E228" i="5"/>
  <c r="E256" i="5"/>
  <c r="E284" i="5"/>
  <c r="E312" i="5"/>
  <c r="E23" i="5"/>
  <c r="E51" i="5"/>
  <c r="E79" i="5"/>
  <c r="E107" i="5"/>
  <c r="E135" i="5"/>
  <c r="E163" i="5"/>
  <c r="E191" i="5"/>
  <c r="E219" i="5"/>
  <c r="E247" i="5"/>
  <c r="E275" i="5"/>
  <c r="E303" i="5"/>
  <c r="E14" i="5"/>
  <c r="E42" i="5"/>
  <c r="E70" i="5"/>
  <c r="E98" i="5"/>
  <c r="E126" i="5"/>
  <c r="E154" i="5"/>
  <c r="E182" i="5"/>
  <c r="E210" i="5"/>
  <c r="E238" i="5"/>
  <c r="E266" i="5"/>
  <c r="E294" i="5"/>
  <c r="E15" i="5"/>
  <c r="E43" i="5"/>
  <c r="E71" i="5"/>
  <c r="E99" i="5"/>
  <c r="E127" i="5"/>
  <c r="E155" i="5"/>
  <c r="E183" i="5"/>
  <c r="E211" i="5"/>
  <c r="E239" i="5"/>
  <c r="E267" i="5"/>
  <c r="E295" i="5"/>
  <c r="E6" i="5"/>
  <c r="E34" i="5"/>
  <c r="E62" i="5"/>
  <c r="E90" i="5"/>
  <c r="E118" i="5"/>
  <c r="E146" i="5"/>
  <c r="E174" i="5"/>
  <c r="E202" i="5"/>
  <c r="E230" i="5"/>
  <c r="E258" i="5"/>
  <c r="E286" i="5"/>
  <c r="E25" i="5"/>
  <c r="E53" i="5"/>
  <c r="E81" i="5"/>
  <c r="E109" i="5"/>
  <c r="E137" i="5"/>
  <c r="E165" i="5"/>
  <c r="E193" i="5"/>
  <c r="E221" i="5"/>
  <c r="E249" i="5"/>
  <c r="E277" i="5"/>
  <c r="E305" i="5"/>
  <c r="E16" i="5"/>
  <c r="E44" i="5"/>
  <c r="E72" i="5"/>
  <c r="E100" i="5"/>
  <c r="E128" i="5"/>
  <c r="E156" i="5"/>
  <c r="E184" i="5"/>
  <c r="E212" i="5"/>
  <c r="E240" i="5"/>
  <c r="E268" i="5"/>
  <c r="F135" i="5" l="1"/>
  <c r="G135" i="5"/>
  <c r="G19" i="5"/>
  <c r="F19" i="5"/>
  <c r="F107" i="5"/>
  <c r="G107" i="5"/>
  <c r="G89" i="5"/>
  <c r="F89" i="5"/>
  <c r="F79" i="5"/>
  <c r="G79" i="5"/>
  <c r="G308" i="5"/>
  <c r="F308" i="5"/>
  <c r="F51" i="5"/>
  <c r="G51" i="5"/>
  <c r="G280" i="5"/>
  <c r="F280" i="5"/>
  <c r="F23" i="5"/>
  <c r="G23" i="5"/>
  <c r="G252" i="5"/>
  <c r="F252" i="5"/>
  <c r="G155" i="5"/>
  <c r="F155" i="5"/>
  <c r="G224" i="5"/>
  <c r="F224" i="5"/>
  <c r="G284" i="5"/>
  <c r="F284" i="5"/>
  <c r="G214" i="5"/>
  <c r="F214" i="5"/>
  <c r="G168" i="5"/>
  <c r="F168" i="5"/>
  <c r="F249" i="5"/>
  <c r="G249" i="5"/>
  <c r="G262" i="5"/>
  <c r="F262" i="5"/>
  <c r="F221" i="5"/>
  <c r="G221" i="5"/>
  <c r="G234" i="5"/>
  <c r="F234" i="5"/>
  <c r="F193" i="5"/>
  <c r="G193" i="5"/>
  <c r="G84" i="5"/>
  <c r="F84" i="5"/>
  <c r="G164" i="5"/>
  <c r="F164" i="5"/>
  <c r="G49" i="5"/>
  <c r="F49" i="5"/>
  <c r="G152" i="5"/>
  <c r="F152" i="5"/>
  <c r="G65" i="5"/>
  <c r="F65" i="5"/>
  <c r="G128" i="5"/>
  <c r="F128" i="5"/>
  <c r="G291" i="5"/>
  <c r="F291" i="5"/>
  <c r="G176" i="5"/>
  <c r="F176" i="5"/>
  <c r="G239" i="5"/>
  <c r="F239" i="5"/>
  <c r="G263" i="5"/>
  <c r="F263" i="5"/>
  <c r="G148" i="5"/>
  <c r="F148" i="5"/>
  <c r="G68" i="5"/>
  <c r="F68" i="5"/>
  <c r="G120" i="5"/>
  <c r="F120" i="5"/>
  <c r="G207" i="5"/>
  <c r="F207" i="5"/>
  <c r="G92" i="5"/>
  <c r="F92" i="5"/>
  <c r="G16" i="5"/>
  <c r="F16" i="5"/>
  <c r="G12" i="5"/>
  <c r="F12" i="5"/>
  <c r="G242" i="5"/>
  <c r="F242" i="5"/>
  <c r="G127" i="5"/>
  <c r="F127" i="5"/>
  <c r="G151" i="5"/>
  <c r="F151" i="5"/>
  <c r="G250" i="5"/>
  <c r="F250" i="5"/>
  <c r="G99" i="5"/>
  <c r="F99" i="5"/>
  <c r="G273" i="5"/>
  <c r="F273" i="5"/>
  <c r="G290" i="5"/>
  <c r="F290" i="5"/>
  <c r="G228" i="5"/>
  <c r="F228" i="5"/>
  <c r="G304" i="5"/>
  <c r="F304" i="5"/>
  <c r="G43" i="5"/>
  <c r="F43" i="5"/>
  <c r="G217" i="5"/>
  <c r="F217" i="5"/>
  <c r="G112" i="5"/>
  <c r="F112" i="5"/>
  <c r="G172" i="5"/>
  <c r="F172" i="5"/>
  <c r="G138" i="5"/>
  <c r="F138" i="5"/>
  <c r="G294" i="5"/>
  <c r="F294" i="5"/>
  <c r="G161" i="5"/>
  <c r="F161" i="5"/>
  <c r="G74" i="5"/>
  <c r="F74" i="5"/>
  <c r="F137" i="5"/>
  <c r="G137" i="5"/>
  <c r="G133" i="5"/>
  <c r="F133" i="5"/>
  <c r="G28" i="5"/>
  <c r="F28" i="5"/>
  <c r="G88" i="5"/>
  <c r="F88" i="5"/>
  <c r="G122" i="5"/>
  <c r="F122" i="5"/>
  <c r="G136" i="5"/>
  <c r="F136" i="5"/>
  <c r="F81" i="5"/>
  <c r="G81" i="5"/>
  <c r="G244" i="5"/>
  <c r="F244" i="5"/>
  <c r="G307" i="5"/>
  <c r="F307" i="5"/>
  <c r="G199" i="5"/>
  <c r="F199" i="5"/>
  <c r="G287" i="5"/>
  <c r="F287" i="5"/>
  <c r="F154" i="5"/>
  <c r="G154" i="5"/>
  <c r="G21" i="5"/>
  <c r="F21" i="5"/>
  <c r="G38" i="5"/>
  <c r="F38" i="5"/>
  <c r="G257" i="5"/>
  <c r="F257" i="5"/>
  <c r="F126" i="5"/>
  <c r="G126" i="5"/>
  <c r="G10" i="5"/>
  <c r="F10" i="5"/>
  <c r="G231" i="5"/>
  <c r="F231" i="5"/>
  <c r="F98" i="5"/>
  <c r="G98" i="5"/>
  <c r="G115" i="5"/>
  <c r="F115" i="5"/>
  <c r="G299" i="5"/>
  <c r="F299" i="5"/>
  <c r="G201" i="5"/>
  <c r="F201" i="5"/>
  <c r="G230" i="5"/>
  <c r="F230" i="5"/>
  <c r="G297" i="5"/>
  <c r="F297" i="5"/>
  <c r="F42" i="5"/>
  <c r="G42" i="5"/>
  <c r="G243" i="5"/>
  <c r="F243" i="5"/>
  <c r="G139" i="5"/>
  <c r="F139" i="5"/>
  <c r="G198" i="5"/>
  <c r="F198" i="5"/>
  <c r="G241" i="5"/>
  <c r="F241" i="5"/>
  <c r="G153" i="5"/>
  <c r="F153" i="5"/>
  <c r="G20" i="5"/>
  <c r="F20" i="5"/>
  <c r="G233" i="5"/>
  <c r="F233" i="5"/>
  <c r="G83" i="5"/>
  <c r="F83" i="5"/>
  <c r="G91" i="5"/>
  <c r="F91" i="5"/>
  <c r="G118" i="5"/>
  <c r="F118" i="5"/>
  <c r="F275" i="5"/>
  <c r="G275" i="5"/>
  <c r="G125" i="5"/>
  <c r="F125" i="5"/>
  <c r="G292" i="5"/>
  <c r="F292" i="5"/>
  <c r="G142" i="5"/>
  <c r="F142" i="5"/>
  <c r="G145" i="5"/>
  <c r="F145" i="5"/>
  <c r="G159" i="5"/>
  <c r="F159" i="5"/>
  <c r="G205" i="5"/>
  <c r="F205" i="5"/>
  <c r="G90" i="5"/>
  <c r="F90" i="5"/>
  <c r="F247" i="5"/>
  <c r="G247" i="5"/>
  <c r="G97" i="5"/>
  <c r="F97" i="5"/>
  <c r="G264" i="5"/>
  <c r="F264" i="5"/>
  <c r="G114" i="5"/>
  <c r="F114" i="5"/>
  <c r="G309" i="5"/>
  <c r="F309" i="5"/>
  <c r="G131" i="5"/>
  <c r="F131" i="5"/>
  <c r="G177" i="5"/>
  <c r="F177" i="5"/>
  <c r="G27" i="5"/>
  <c r="F27" i="5"/>
  <c r="G157" i="5"/>
  <c r="F157" i="5"/>
  <c r="G35" i="5"/>
  <c r="F35" i="5"/>
  <c r="G295" i="5"/>
  <c r="F295" i="5"/>
  <c r="G302" i="5"/>
  <c r="F302" i="5"/>
  <c r="G197" i="5"/>
  <c r="F197" i="5"/>
  <c r="G45" i="5"/>
  <c r="F45" i="5"/>
  <c r="G267" i="5"/>
  <c r="F267" i="5"/>
  <c r="G274" i="5"/>
  <c r="F274" i="5"/>
  <c r="G169" i="5"/>
  <c r="F169" i="5"/>
  <c r="G17" i="5"/>
  <c r="F17" i="5"/>
  <c r="G100" i="5"/>
  <c r="F100" i="5"/>
  <c r="G246" i="5"/>
  <c r="F246" i="5"/>
  <c r="G141" i="5"/>
  <c r="F141" i="5"/>
  <c r="G9" i="5"/>
  <c r="F9" i="5"/>
  <c r="G211" i="5"/>
  <c r="F211" i="5"/>
  <c r="G235" i="5"/>
  <c r="F235" i="5"/>
  <c r="G298" i="5"/>
  <c r="F298" i="5"/>
  <c r="G44" i="5"/>
  <c r="F44" i="5"/>
  <c r="G40" i="5"/>
  <c r="F40" i="5"/>
  <c r="G306" i="5"/>
  <c r="F306" i="5"/>
  <c r="G312" i="5"/>
  <c r="F312" i="5"/>
  <c r="G179" i="5"/>
  <c r="F179" i="5"/>
  <c r="G64" i="5"/>
  <c r="F64" i="5"/>
  <c r="G301" i="5"/>
  <c r="F301" i="5"/>
  <c r="G36" i="5"/>
  <c r="F36" i="5"/>
  <c r="F277" i="5"/>
  <c r="G277" i="5"/>
  <c r="G123" i="5"/>
  <c r="F123" i="5"/>
  <c r="G222" i="5"/>
  <c r="F222" i="5"/>
  <c r="G245" i="5"/>
  <c r="F245" i="5"/>
  <c r="G140" i="5"/>
  <c r="F140" i="5"/>
  <c r="G200" i="5"/>
  <c r="F200" i="5"/>
  <c r="G248" i="5"/>
  <c r="F248" i="5"/>
  <c r="G189" i="5"/>
  <c r="F189" i="5"/>
  <c r="G102" i="5"/>
  <c r="F102" i="5"/>
  <c r="G178" i="5"/>
  <c r="F178" i="5"/>
  <c r="G110" i="5"/>
  <c r="F110" i="5"/>
  <c r="G116" i="5"/>
  <c r="F116" i="5"/>
  <c r="G300" i="5"/>
  <c r="F300" i="5"/>
  <c r="G150" i="5"/>
  <c r="F150" i="5"/>
  <c r="G255" i="5"/>
  <c r="F255" i="5"/>
  <c r="G54" i="5"/>
  <c r="F54" i="5"/>
  <c r="F210" i="5"/>
  <c r="G210" i="5"/>
  <c r="G77" i="5"/>
  <c r="F77" i="5"/>
  <c r="G94" i="5"/>
  <c r="F94" i="5"/>
  <c r="G52" i="5"/>
  <c r="F52" i="5"/>
  <c r="F53" i="5"/>
  <c r="G53" i="5"/>
  <c r="G216" i="5"/>
  <c r="F216" i="5"/>
  <c r="G276" i="5"/>
  <c r="F276" i="5"/>
  <c r="F25" i="5"/>
  <c r="G25" i="5"/>
  <c r="G188" i="5"/>
  <c r="F188" i="5"/>
  <c r="G251" i="5"/>
  <c r="F251" i="5"/>
  <c r="G310" i="5"/>
  <c r="F310" i="5"/>
  <c r="G33" i="5"/>
  <c r="F33" i="5"/>
  <c r="G258" i="5"/>
  <c r="F258" i="5"/>
  <c r="G132" i="5"/>
  <c r="F132" i="5"/>
  <c r="G5" i="5"/>
  <c r="F5" i="5"/>
  <c r="G87" i="5"/>
  <c r="F87" i="5"/>
  <c r="G167" i="5"/>
  <c r="F167" i="5"/>
  <c r="G59" i="5"/>
  <c r="F59" i="5"/>
  <c r="G269" i="5"/>
  <c r="F269" i="5"/>
  <c r="G14" i="5"/>
  <c r="F14" i="5"/>
  <c r="G215" i="5"/>
  <c r="F215" i="5"/>
  <c r="G111" i="5"/>
  <c r="F111" i="5"/>
  <c r="G170" i="5"/>
  <c r="F170" i="5"/>
  <c r="G213" i="5"/>
  <c r="F213" i="5"/>
  <c r="G55" i="5"/>
  <c r="F55" i="5"/>
  <c r="G240" i="5"/>
  <c r="F240" i="5"/>
  <c r="G62" i="5"/>
  <c r="F62" i="5"/>
  <c r="F219" i="5"/>
  <c r="G219" i="5"/>
  <c r="G69" i="5"/>
  <c r="F69" i="5"/>
  <c r="G236" i="5"/>
  <c r="F236" i="5"/>
  <c r="G86" i="5"/>
  <c r="F86" i="5"/>
  <c r="G281" i="5"/>
  <c r="F281" i="5"/>
  <c r="G103" i="5"/>
  <c r="F103" i="5"/>
  <c r="G149" i="5"/>
  <c r="F149" i="5"/>
  <c r="G288" i="5"/>
  <c r="F288" i="5"/>
  <c r="G129" i="5"/>
  <c r="F129" i="5"/>
  <c r="G7" i="5"/>
  <c r="F7" i="5"/>
  <c r="G196" i="5"/>
  <c r="F196" i="5"/>
  <c r="G106" i="5"/>
  <c r="F106" i="5"/>
  <c r="G8" i="5"/>
  <c r="F8" i="5"/>
  <c r="G71" i="5"/>
  <c r="F71" i="5"/>
  <c r="G95" i="5"/>
  <c r="F95" i="5"/>
  <c r="G158" i="5"/>
  <c r="F158" i="5"/>
  <c r="G67" i="5"/>
  <c r="F67" i="5"/>
  <c r="G166" i="5"/>
  <c r="F166" i="5"/>
  <c r="G15" i="5"/>
  <c r="F15" i="5"/>
  <c r="G39" i="5"/>
  <c r="F39" i="5"/>
  <c r="G206" i="5"/>
  <c r="F206" i="5"/>
  <c r="F165" i="5"/>
  <c r="G165" i="5"/>
  <c r="G11" i="5"/>
  <c r="F11" i="5"/>
  <c r="G192" i="5"/>
  <c r="F192" i="5"/>
  <c r="G283" i="5"/>
  <c r="F283" i="5"/>
  <c r="G46" i="5"/>
  <c r="F46" i="5"/>
  <c r="F238" i="5"/>
  <c r="G238" i="5"/>
  <c r="G272" i="5"/>
  <c r="F272" i="5"/>
  <c r="G18" i="5"/>
  <c r="F18" i="5"/>
  <c r="G227" i="5"/>
  <c r="F227" i="5"/>
  <c r="G108" i="5"/>
  <c r="F108" i="5"/>
  <c r="F182" i="5"/>
  <c r="G182" i="5"/>
  <c r="G66" i="5"/>
  <c r="F66" i="5"/>
  <c r="G279" i="5"/>
  <c r="F279" i="5"/>
  <c r="G171" i="5"/>
  <c r="F171" i="5"/>
  <c r="G117" i="5"/>
  <c r="F117" i="5"/>
  <c r="G143" i="5"/>
  <c r="F143" i="5"/>
  <c r="G223" i="5"/>
  <c r="F223" i="5"/>
  <c r="G282" i="5"/>
  <c r="F282" i="5"/>
  <c r="G195" i="5"/>
  <c r="F195" i="5"/>
  <c r="G237" i="5"/>
  <c r="F237" i="5"/>
  <c r="G104" i="5"/>
  <c r="F104" i="5"/>
  <c r="G271" i="5"/>
  <c r="F271" i="5"/>
  <c r="G175" i="5"/>
  <c r="F175" i="5"/>
  <c r="G202" i="5"/>
  <c r="F202" i="5"/>
  <c r="G209" i="5"/>
  <c r="F209" i="5"/>
  <c r="G76" i="5"/>
  <c r="F76" i="5"/>
  <c r="G289" i="5"/>
  <c r="F289" i="5"/>
  <c r="G31" i="5"/>
  <c r="F31" i="5"/>
  <c r="G119" i="5"/>
  <c r="F119" i="5"/>
  <c r="G146" i="5"/>
  <c r="F146" i="5"/>
  <c r="G3" i="5"/>
  <c r="F3" i="5"/>
  <c r="G63" i="5"/>
  <c r="F63" i="5"/>
  <c r="G268" i="5"/>
  <c r="F268" i="5"/>
  <c r="G212" i="5"/>
  <c r="F212" i="5"/>
  <c r="G34" i="5"/>
  <c r="F34" i="5"/>
  <c r="F191" i="5"/>
  <c r="G191" i="5"/>
  <c r="G41" i="5"/>
  <c r="F41" i="5"/>
  <c r="G208" i="5"/>
  <c r="F208" i="5"/>
  <c r="G58" i="5"/>
  <c r="F58" i="5"/>
  <c r="G253" i="5"/>
  <c r="F253" i="5"/>
  <c r="G75" i="5"/>
  <c r="F75" i="5"/>
  <c r="G121" i="5"/>
  <c r="F121" i="5"/>
  <c r="G260" i="5"/>
  <c r="F260" i="5"/>
  <c r="G101" i="5"/>
  <c r="F101" i="5"/>
  <c r="G156" i="5"/>
  <c r="F156" i="5"/>
  <c r="G2" i="5"/>
  <c r="G313" i="5" s="1"/>
  <c r="G314" i="5" s="1"/>
  <c r="F2" i="5"/>
  <c r="F313" i="5" s="1"/>
  <c r="F314" i="5" s="1"/>
  <c r="G204" i="5"/>
  <c r="F204" i="5"/>
  <c r="G124" i="5"/>
  <c r="F124" i="5"/>
  <c r="G37" i="5"/>
  <c r="F37" i="5"/>
  <c r="G96" i="5"/>
  <c r="F96" i="5"/>
  <c r="G285" i="5"/>
  <c r="F285" i="5"/>
  <c r="G72" i="5"/>
  <c r="F72" i="5"/>
  <c r="G218" i="5"/>
  <c r="F218" i="5"/>
  <c r="G113" i="5"/>
  <c r="F113" i="5"/>
  <c r="G61" i="5"/>
  <c r="F61" i="5"/>
  <c r="G183" i="5"/>
  <c r="F183" i="5"/>
  <c r="G190" i="5"/>
  <c r="F190" i="5"/>
  <c r="G85" i="5"/>
  <c r="F85" i="5"/>
  <c r="G270" i="5"/>
  <c r="F270" i="5"/>
  <c r="G162" i="5"/>
  <c r="F162" i="5"/>
  <c r="G57" i="5"/>
  <c r="F57" i="5"/>
  <c r="G278" i="5"/>
  <c r="F278" i="5"/>
  <c r="F305" i="5"/>
  <c r="G305" i="5"/>
  <c r="G134" i="5"/>
  <c r="F134" i="5"/>
  <c r="G29" i="5"/>
  <c r="F29" i="5"/>
  <c r="G256" i="5"/>
  <c r="F256" i="5"/>
  <c r="G186" i="5"/>
  <c r="F186" i="5"/>
  <c r="G78" i="5"/>
  <c r="F78" i="5"/>
  <c r="G194" i="5"/>
  <c r="F194" i="5"/>
  <c r="G50" i="5"/>
  <c r="F50" i="5"/>
  <c r="G130" i="5"/>
  <c r="F130" i="5"/>
  <c r="G22" i="5"/>
  <c r="F22" i="5"/>
  <c r="G220" i="5"/>
  <c r="F220" i="5"/>
  <c r="G144" i="5"/>
  <c r="F144" i="5"/>
  <c r="G311" i="5"/>
  <c r="F311" i="5"/>
  <c r="G56" i="5"/>
  <c r="F56" i="5"/>
  <c r="G266" i="5"/>
  <c r="F266" i="5"/>
  <c r="G82" i="5"/>
  <c r="F82" i="5"/>
  <c r="F109" i="5"/>
  <c r="G109" i="5"/>
  <c r="G105" i="5"/>
  <c r="F105" i="5"/>
  <c r="G80" i="5"/>
  <c r="F80" i="5"/>
  <c r="G60" i="5"/>
  <c r="F60" i="5"/>
  <c r="G26" i="5"/>
  <c r="F26" i="5"/>
  <c r="G32" i="5"/>
  <c r="F32" i="5"/>
  <c r="G24" i="5"/>
  <c r="F24" i="5"/>
  <c r="G4" i="5"/>
  <c r="F4" i="5"/>
  <c r="G259" i="5"/>
  <c r="F259" i="5"/>
  <c r="G286" i="5"/>
  <c r="F286" i="5"/>
  <c r="G293" i="5"/>
  <c r="F293" i="5"/>
  <c r="G160" i="5"/>
  <c r="F160" i="5"/>
  <c r="G229" i="5"/>
  <c r="F229" i="5"/>
  <c r="G265" i="5"/>
  <c r="F265" i="5"/>
  <c r="G203" i="5"/>
  <c r="F203" i="5"/>
  <c r="G70" i="5"/>
  <c r="F70" i="5"/>
  <c r="G254" i="5"/>
  <c r="F254" i="5"/>
  <c r="G173" i="5"/>
  <c r="F173" i="5"/>
  <c r="G226" i="5"/>
  <c r="F226" i="5"/>
  <c r="G147" i="5"/>
  <c r="F147" i="5"/>
  <c r="G174" i="5"/>
  <c r="F174" i="5"/>
  <c r="G181" i="5"/>
  <c r="F181" i="5"/>
  <c r="G48" i="5"/>
  <c r="F48" i="5"/>
  <c r="G261" i="5"/>
  <c r="F261" i="5"/>
  <c r="F303" i="5"/>
  <c r="G303" i="5"/>
  <c r="G187" i="5"/>
  <c r="F187" i="5"/>
  <c r="G185" i="5"/>
  <c r="F185" i="5"/>
  <c r="G184" i="5"/>
  <c r="F184" i="5"/>
  <c r="G6" i="5"/>
  <c r="F6" i="5"/>
  <c r="F163" i="5"/>
  <c r="G163" i="5"/>
  <c r="G13" i="5"/>
  <c r="F13" i="5"/>
  <c r="G180" i="5"/>
  <c r="F180" i="5"/>
  <c r="G30" i="5"/>
  <c r="F30" i="5"/>
  <c r="G225" i="5"/>
  <c r="F225" i="5"/>
  <c r="G47" i="5"/>
  <c r="F47" i="5"/>
  <c r="G93" i="5"/>
  <c r="F93" i="5"/>
  <c r="G232" i="5"/>
  <c r="F232" i="5"/>
  <c r="G73" i="5"/>
  <c r="F7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1" authorId="0" shapeId="0" xr:uid="{00000000-0006-0000-0000-000003000000}">
      <text>
        <r>
          <rPr>
            <sz val="10"/>
            <color rgb="FF000000"/>
            <rFont val="Arial"/>
            <scheme val="minor"/>
          </rPr>
          <t>can you say more about this? Does Georgia's chamber of commerce oversee a program? If so, who do they define as hub?
	-Alyse Polly</t>
        </r>
      </text>
    </comment>
    <comment ref="B21" authorId="0" shapeId="0" xr:uid="{00000000-0006-0000-0000-000002000000}">
      <text>
        <r>
          <rPr>
            <sz val="10"/>
            <color rgb="FF000000"/>
            <rFont val="Arial"/>
            <scheme val="minor"/>
          </rPr>
          <t>seems like this is a small business program? rather than a DBE or HUB program?
	-Alyse Polly</t>
        </r>
      </text>
    </comment>
    <comment ref="B31" authorId="0" shapeId="0" xr:uid="{00000000-0006-0000-0000-000001000000}">
      <text>
        <r>
          <rPr>
            <sz val="10"/>
            <color rgb="FF000000"/>
            <rFont val="Arial"/>
            <scheme val="minor"/>
          </rPr>
          <t>this is 8a through SBA. I think we need to keep this as similar as we can... so sticking with state program as preference/highest priority, then DOT DBE. And not 8a or HUB Zone, in an effort to keep this as close as we can to comparing apples with apples.
	-Alyse Polly</t>
        </r>
      </text>
    </comment>
    <comment ref="B37" authorId="0" shapeId="0" xr:uid="{00000000-0006-0000-0000-000004000000}">
      <text>
        <r>
          <rPr>
            <sz val="10"/>
            <color rgb="FF000000"/>
            <rFont val="Arial"/>
            <scheme val="minor"/>
          </rPr>
          <t>Can you provide the reference that describes the way NMSDC is supporting Oklahoma? I'm curious to learn more. If they have a partnership, we can see through this data that it has supported their success. NMSDC (here in NC, their regional chapter is CVMSDC who is a great partner of ours) would be delighted to see this.
	-Alyse Polly</t>
        </r>
      </text>
    </comment>
  </commentList>
</comments>
</file>

<file path=xl/sharedStrings.xml><?xml version="1.0" encoding="utf-8"?>
<sst xmlns="http://schemas.openxmlformats.org/spreadsheetml/2006/main" count="459" uniqueCount="376">
  <si>
    <t xml:space="preserve">States </t>
  </si>
  <si>
    <t xml:space="preserve">Targeted Business Defintion </t>
  </si>
  <si>
    <t>State Agency(s) for Program(s)</t>
  </si>
  <si>
    <t>Year</t>
  </si>
  <si>
    <t xml:space="preserve">Total HUB Goal </t>
  </si>
  <si>
    <t>Goal Type (spending or participation)</t>
  </si>
  <si>
    <t xml:space="preserve">Total HUB Spending Utilization </t>
  </si>
  <si>
    <t>Total Annual Spending (if available)</t>
  </si>
  <si>
    <t>Success (%)</t>
  </si>
  <si>
    <t>Alabama</t>
  </si>
  <si>
    <t>Disadvantaged business enterprise or DBE means a for-profit small business concern—
That is at least 51 percent owned by one or more individuals who are both socially and economically disadvantaged or, in the case of a corporation, in which 51 percent of the stock is owned by one or more such individuals; and
Whose management and daily business operations are controlled by one or more of the socially and economically disadvantaged individuals who own it.</t>
  </si>
  <si>
    <t>Alabama Department of Transportation</t>
  </si>
  <si>
    <t>FY 2023</t>
  </si>
  <si>
    <t>Participation</t>
  </si>
  <si>
    <r>
      <rPr>
        <sz val="13"/>
        <color rgb="FF000000"/>
        <rFont val="Times New Roman"/>
      </rPr>
      <t>Alaska</t>
    </r>
  </si>
  <si>
    <t>The eligibility requirements for certification as a Disadvantaged Business Enterprise (DBE) are detailed in Title 49, Part 26, of the Code of Federal Regulations (CFR). 
Business Status: The applicant firm must be an existing "for profit" business. It must also meet the federal definition of a small business based on its primary NAICS code, as described by the Small Business Administration (SBA), and must not exceed the Size Standards Exit Site icon in annual gross receipts.
Social and Economic Disadvantage: A disadvantaged owner must be a U.S. citizen (or resident alien) and meet the federal definition of socially and economically disadvantaged as defined in 49 CFR 26.67 Exit Site icon. Individuals who can demonstrate social and economic disadvantage on an individual basis may also qualify.
Business Ownership: Disadvantaged owners must hold at least 51% ownership in the firm and must control the day-to-day operation and management of the business.
Professional License: When a firm's primary line of work requires a professional license, the disadvantaged owner must hold the license.
Personal Net Worth: The Personal Net Worth of a disadvantaged owner cannot exceed $2.047 million.
Ownership of Resources: A DBE firm must not rely on other individuals or businesses for its employees, equipment, or other resources.
Other Business Involvement: DBE owners cannot engage in outside employment or other business interests that conflict with their management and control of the applicant firm.</t>
  </si>
  <si>
    <t>Alaska Department of Transportation &amp; Public Facilities</t>
  </si>
  <si>
    <t>FY 2021-2023</t>
  </si>
  <si>
    <t>Spending</t>
  </si>
  <si>
    <r>
      <rPr>
        <sz val="13"/>
        <color rgb="FF000000"/>
        <rFont val="Times New Roman"/>
      </rPr>
      <t>Arizona</t>
    </r>
  </si>
  <si>
    <t>A firm must be a minority or woman-owned business or owned by a majority owner who can demonstrate social and economic disadvantage.
The disadvantaged owner must own at least 51% of the business enterprise.
The disadvantaged owner must manage, operate, and control the managerial and daily operational functions of the firm.
The owner’s personal net worth must be below $1,320,000.</t>
  </si>
  <si>
    <t>Arizona Department of Transportation</t>
  </si>
  <si>
    <t>FY 2024</t>
  </si>
  <si>
    <r>
      <rPr>
        <sz val="13"/>
        <color rgb="FF000000"/>
        <rFont val="Times New Roman"/>
      </rPr>
      <t>Arkansas</t>
    </r>
  </si>
  <si>
    <t xml:space="preserve">If your firm is at least 51%-owned by a socially and economically disadvantaged individual(s) who also controls the firm. 
The disadvantaged owner is a U.S. Citizen or lawfully admitted permanent resident of the U.S..
The firm is a small business that meets the Small Business Administration’s (SBA’s) size standard
and does not exceed $22.41 million in gross annual receipts. Is your firm organized as a for-profit business. </t>
  </si>
  <si>
    <t>Arkansas Department of Transportation</t>
  </si>
  <si>
    <t>FY 2021</t>
  </si>
  <si>
    <r>
      <rPr>
        <sz val="13"/>
        <color rgb="FF000000"/>
        <rFont val="Times New Roman"/>
      </rPr>
      <t>California</t>
    </r>
  </si>
  <si>
    <t>Statewide: The firm is majority-owned (&gt;51%) by minorities, women, and/or LGBT individuals
The firm is managed and controlled on a daily basis by minorities, women, and/or LGBT individuals
The firm is an independent business</t>
  </si>
  <si>
    <t xml:space="preserve">California Department of Transportation Disadvantaged Business Enterprise (DBE) FHWA-funded
contracts </t>
  </si>
  <si>
    <t>FY 2020</t>
  </si>
  <si>
    <r>
      <rPr>
        <sz val="13"/>
        <color rgb="FF000000"/>
        <rFont val="Times New Roman"/>
      </rPr>
      <t>Colorado</t>
    </r>
  </si>
  <si>
    <t>For-profit small business concern as defined by the U.S. Small Business Administration (based upon NAICS)
At least 51% owned by one or more individuals who are both socially and economically disadvantaged. Minorities and women are presumed to be socially disadvantaged.
Management and daily business operations are controlled by one or more of the socially and economically disadvantaged individuals who own it.
The disadvantaged owner(s) must have a personal net-worth of less than $1,320,000.
Depending upon the nature of work performed, a firm (including its affiliates) must not have average annual gross receipts in excess of $22,410,000 ($52,470,000 for airport concessionaires in general with some exceptions). This size standard is for construction related work. Depending on the type of work the business performs, other lower size standards may apply.
If state or local law requires the persons to have a particular license or other credential in order to own and/or control the firm, then the socially and economically disadvantaged owner(s) must possess the required license or credentials.</t>
  </si>
  <si>
    <t>Colorado Department of Transportation</t>
  </si>
  <si>
    <r>
      <rPr>
        <sz val="13"/>
        <color rgb="FF000000"/>
        <rFont val="Times New Roman"/>
      </rPr>
      <t>Connecticut</t>
    </r>
  </si>
  <si>
    <t>In order to qualify, the majority owner of the business must be a member of a socially or economically ‘disadvantaged’ group in the United States with legal residence. In addition, the owner must have proof of expertise in the given field of work, as well as maintain a personal net worth below $1.31 million.</t>
  </si>
  <si>
    <t>Connecticut Department of Transportation (need to update all amounts to 2022/2023 dollars if we include this state)*</t>
  </si>
  <si>
    <t>FY 2014*</t>
  </si>
  <si>
    <r>
      <rPr>
        <sz val="13"/>
        <color rgb="FF000000"/>
        <rFont val="Times New Roman"/>
      </rPr>
      <t>Delaware</t>
    </r>
  </si>
  <si>
    <t>Disadvantaged Business Enterprise (DBE) means a for-profit small business concern that
is at least 51 percent owned by one or more individuals who are both socially and
economically disadvantaged or, in the case of a corporation, in which 51 percent of the
stock is owned by one or more such individuals; and whose management and daily business
operations are controlled by one or more of the socially and economically disadvantaged
individuals who own it. All DBE’s are small businesses by definition and thus qualify
automatically to participate in the DelDOT Small Business Program.</t>
  </si>
  <si>
    <t>Delaware Department of Transportation DBE Program</t>
  </si>
  <si>
    <t>FY2022</t>
  </si>
  <si>
    <r>
      <rPr>
        <sz val="13"/>
        <color rgb="FF000000"/>
        <rFont val="Times New Roman"/>
      </rPr>
      <t>Florida</t>
    </r>
  </si>
  <si>
    <t>Must be an existing "for-profit" business that is currently operational;
Must meet the federal definition of a small business concern;
Must be an independent business which does not depend on its relationships with another firm or firms. If it is a subsidiary of a corporation, the business must still operate in a self-sufficient manner;
The qualifying owner(s) must meet the federal definition of "socially and economically disadvantaged" individuals;
The qualifying owner(s) must own a minimum of 51% of the company; and have an investment in their company;
The qualifying owner(s) cannot have a net worth that exceeds $2.047 Million 
The qualifying owner(s) must have day-to-day control of operations and possess an expertise in their work specialty.</t>
  </si>
  <si>
    <t>Florida Department of Transportation (FHWA specific)</t>
  </si>
  <si>
    <t>FY 2022</t>
  </si>
  <si>
    <t>Georgia</t>
  </si>
  <si>
    <t>Hub communities are experiencing exceptional levels of population growth and economic development. Georgia's Chambers of Commerce continue to act as regional drivers, coalescing strategic partners and providing a table for critical conversations.</t>
  </si>
  <si>
    <t xml:space="preserve">Georgia Department of Commerce </t>
  </si>
  <si>
    <t>FY2024</t>
  </si>
  <si>
    <t xml:space="preserve">Participation </t>
  </si>
  <si>
    <t>Hawaii</t>
  </si>
  <si>
    <r>
      <rPr>
        <sz val="14"/>
        <color rgb="FF000000"/>
        <rFont val="Times New Roman"/>
      </rPr>
      <t xml:space="preserve">Disadvantaged Business Enterprise (DBE) is a for-profit small business concern that is at least 51% owned and controlled by one or more U. S. citizens or permanent residents who are both socially and economically disadvantaged.
</t>
    </r>
    <r>
      <rPr>
        <sz val="12"/>
        <color rgb="FF000000"/>
        <rFont val="Times New Roman"/>
      </rPr>
      <t>Any individual in the following groups, members of which are rebuttably presumed to be socially
and economically disadvantaged: “Black Americans,”  “Hispanic Americans,” “Native Americans,”  “Asian-Pacific Americans,” “Subcontinent Asian Americans,”  Women; Any additional groups whose members are designated as socially and economically
disadvantaged by the SBA, at such time as the SBA designation becomes effective.</t>
    </r>
  </si>
  <si>
    <t>Disadvantaged Business Enterprise program administered by HI Dept of Transportation</t>
  </si>
  <si>
    <t>FY-2023</t>
  </si>
  <si>
    <t>Idaho</t>
  </si>
  <si>
    <t xml:space="preserve">To qualify as a DBE, firms must:
Be existing, operational, and “for profit”
Operate independently; or, for subsidiaries, operate self-sufficiently
Meet the Federal definition of a “small business concern”
In addition, firm owners must:
Establish at least 51% real and substantial ownership
Possess the power and expertise to control the daily operations and management of the firm
Meet the Federal definition of “socially and economically disadvantaged”
</t>
  </si>
  <si>
    <t>Overall Disadvantaged Business Enterprise Triennial Goal for the Federal Highway Administration</t>
  </si>
  <si>
    <t>FY-2023-2025</t>
  </si>
  <si>
    <t>Illinois</t>
  </si>
  <si>
    <t>A business that is at least 51% owned, controlled, and operated by individuals who are socially or economically disadvantaged, including minorities, women, persons with disabilities, and veterans. These businesses may qualify for state programs such as the Business Enterprise Program (BEP) and the Disadvantaged Business Enterprise (DBE) Program, which aim to increase access to government contracts and procurement opportunities.</t>
  </si>
  <si>
    <t>Business Enterprise Program</t>
  </si>
  <si>
    <t xml:space="preserve">Spending </t>
  </si>
  <si>
    <t>Indiana</t>
  </si>
  <si>
    <t>In Indiana, a Historically Underutilized Business (HUB) refers to businesses that are at least 51% owned, operated, and controlled by minorities, women, or veterans, who have been historically underrepresented in state contracting. The Indiana Department of Administration’s Supplier Diversity Program promotes the inclusion of these businesses by setting participation goals in state contracts, including 7% for Minority Business Enterprises (MBE), 5% for Women Business Enterprises (WBE), and 3% for Veteran Business Enterprises (VBE) in construction</t>
  </si>
  <si>
    <t>IN Dept of Administration Division of Supplier Diversity</t>
  </si>
  <si>
    <t>FY-2024</t>
  </si>
  <si>
    <t>Iowa</t>
  </si>
  <si>
    <t>the Disadvantaged Business Enterprise (DBE) program, overseen by the Iowa Department of Transportation (Iowa DOT), aims to ensure nondiscrimination in the award and administration of U.S. Department of Transportation-assisted contracts. The program seeks to create a level playing field for minority-owned, women-owned, and other socially and economically disadvantaged businesses to compete fairly for transportation-related projects</t>
  </si>
  <si>
    <t xml:space="preserve">Iowa Department of Transportation </t>
  </si>
  <si>
    <t xml:space="preserve">Particpation </t>
  </si>
  <si>
    <t>Kansas</t>
  </si>
  <si>
    <t>In Kansas, a Minority-Owned Business (MOB) is defined as a business that is at least 51% owned, operated, and controlled by one or more individuals from recognized minority groups, such as African American, Hispanic, Asian American, or Native American. A Women-Owned Business (WOB) is a business that is at least 51% owned, operated, and controlled by one or more women. A Veteran-Owned Business (VOB) is a business that is at least 51% owned, operated, and controlled by one or more veterans who have served in the U.S. military. These definitions are used to promote diversity in business ownership and ensure that historically underrepresented groups have opportunities to participate in state and federal contracting processes.</t>
  </si>
  <si>
    <t>Department of Transportation Authority</t>
  </si>
  <si>
    <t>FY2023</t>
  </si>
  <si>
    <t>Kentucky</t>
  </si>
  <si>
    <t>Whenever deemed by the CPO as in the best interests of the university, solicitations may include reserved points potential respondents certified as small and emerging business (R.S. 51:941), or a small entrepreneurship (R.S. 39:2006) or a veteran or service-connected disabled veteran- owned small entrepreneurship (R.S. 39:21). B. The CPO may waive the requirement of obtaining three or more quotes when purchases do not exceed $50,000 per transaction from a small entrepreneurship certified under either the Hudson or Veteran Initiative when price is determined to be reasonable, in their sole discretion.</t>
  </si>
  <si>
    <t>Kentucky Transportation Cabinet</t>
  </si>
  <si>
    <t>FY2021</t>
  </si>
  <si>
    <t>Louisiana</t>
  </si>
  <si>
    <t>Disadvantaged business enterprise orDBE means a for-profit small business concern:
(1) That is at least 51 percent owned by one or more individuals who are both socially and eco
nomically disadvantaged or, in the case of a corporation, in which 51 percent of the stock is
owned by one or more such individuals; and
(2) Whose management and daily business operations are controlled by one or more of the so
cially and economically disadvantaged individuals who own it.</t>
  </si>
  <si>
    <t>Louisiana Department of Transportation and Development (LDOTD)</t>
  </si>
  <si>
    <r>
      <rPr>
        <sz val="13"/>
        <color rgb="FF000000"/>
        <rFont val="Times New Roman"/>
      </rPr>
      <t>Maine</t>
    </r>
  </si>
  <si>
    <t>Your firm is at least 51% owned by a socially and economically disadvantaged individual(s) who also controls the firm.
The disadvantaged owner is a U.S. citizen or lawfully admitted permanent resident of the U.S.
Your firm is a small business that meets the Small Business Administration’s (SBA’s) size standard and does not exceed $30.72 million in gross annual receipts. (Average over 3 previous fiscal years)
Your firm is a small ACDBE business that meets the Small Business Administration’s (SBA’s) size standard and does not exceed $56.42 million in gross annual receipts (Average over 5 previous fiscal years)
Your firm is organized as a for-profit business.
Your firm must be able to provide a service or product to participate in DOT-assisted projects.
Your personal net worth cannot exceed $1.32 million.</t>
  </si>
  <si>
    <t>Maine Department of Economic and Community Development</t>
  </si>
  <si>
    <r>
      <rPr>
        <sz val="13"/>
        <color rgb="FF000000"/>
        <rFont val="Times New Roman"/>
      </rPr>
      <t>Maryland</t>
    </r>
  </si>
  <si>
    <t xml:space="preserve">Business is independently owned and operated. Business is not a subsidary of another business. Business is not dominant in field of operation.The wholesale operations of the business did not employ more than 50 persons in its most recently completed 3 fiscal years </t>
  </si>
  <si>
    <t>Maryland Department of Commerce</t>
  </si>
  <si>
    <r>
      <rPr>
        <sz val="13"/>
        <color rgb="FF000000"/>
        <rFont val="Times New Roman"/>
      </rPr>
      <t>Massachusetts</t>
    </r>
  </si>
  <si>
    <t xml:space="preserve">The Supplier Diversity Program (SDP) encourages the award of state contracts in a way that strengthens and increases business opportunities for Minority Business Enterprises (MBEs), Women Business Enterprises (WBEs), Service-Disabled Veteran Business Enterprises (SDVOBEs),Veteran Business Enterprises (VBEs), Lesbian, Gay, Bisexual, and Transgender Business Enterprises (LGBTBEs); and Disability-Owned Business Enterprises (DOBEs).
</t>
  </si>
  <si>
    <t>Executive Office of Economic Development</t>
  </si>
  <si>
    <r>
      <rPr>
        <sz val="13"/>
        <color rgb="FF000000"/>
        <rFont val="Times New Roman"/>
      </rPr>
      <t>Michigan</t>
    </r>
  </si>
  <si>
    <t>In establishing ownership, the MUCP is required by 49 CFR § 26.69 to consider all the facts in the record, viewed as a whole. To be an eligible DBE, a firm must be at least 51 percent owned by a socially and economically disadvantaged individual(s). To establish ownership, the socially and economically disadvantaged owner(s) must have made a "real and substantial" contribution to acquire their ownership interest in the firm. All applicants for certification shall be required to establish the source of their contribution(s) to acquire their ownership interest.</t>
  </si>
  <si>
    <t>Michigan DOT DBE program</t>
  </si>
  <si>
    <r>
      <rPr>
        <sz val="13"/>
        <color rgb="FF000000"/>
        <rFont val="Times New Roman"/>
      </rPr>
      <t>Minnesota</t>
    </r>
  </si>
  <si>
    <t>To be certified as a Targeted Group small business, the business must be at least 51% owned by a woman, racial minority, or person with a substantial physical disability. In addition, the business must be operated and controlled on a day-to-day as well as long-term basis by the qualifying owner. In other words, ownership is not enough; operational control is also required.</t>
  </si>
  <si>
    <t xml:space="preserve"> Minnesota Department of Employment and Economic Development</t>
  </si>
  <si>
    <r>
      <rPr>
        <sz val="13"/>
        <color rgb="FF000000"/>
        <rFont val="Times New Roman"/>
      </rPr>
      <t>Mississippi</t>
    </r>
  </si>
  <si>
    <t xml:space="preserve">a)  The firm must be at least 51% owned by one or more socially and economically 
disadvantaged individuals.  
b)  The firm must be an independent business, and one or more of the socially and 
economically disadvantaged owners must control its management and daily operations.  
c)    The owner must hold the highest office. 
d)    Must own necessary equipment and have necessary personnel to do the work. 
e)  Only existing for-profit “Small Business Concerns,” as defined by the Small Business 
Act and Small Business Administration (SBA) regulations may be certified.  DBE 
applicants are first subject to the applicable small business size standards of the SBA.  
Second, the average annual gross receipts for the firm (including its affiliates) over the 
previous three fiscal years must not exceed U.S. DOT’s cap of $22,410,000 Million.  </t>
  </si>
  <si>
    <t>Mississippi Development Authority</t>
  </si>
  <si>
    <r>
      <rPr>
        <sz val="13"/>
        <color rgb="FF000000"/>
        <rFont val="Times New Roman"/>
      </rPr>
      <t>Missouri</t>
    </r>
  </si>
  <si>
    <t>As established by the Small Business Administration, the business must have three-year average gross receipts not to exceed $23.98 million. Socially and Economically Disadvantaged people are defined as Women, black Americans, Hispanic Americans, native Americans, Asian-Pacific Americans, subcontinent Asian-Americans, other groups designated by SBA. Others able to prove to be socially and economically disadvantaged as outlined in the regulation. Participants must demonstrate they are a member of an eligible group. Personal Net Worth of Owner is not to exceed $1.32 million. Ownership and Control is defined as 51% majority owner must prove ownership and control of the firm. Other Rules Affecting Certification include that the company must not exhibit pattern of evading or subverting the intent of the DBE program.</t>
  </si>
  <si>
    <t>Missouri Department of Economic Development</t>
  </si>
  <si>
    <t xml:space="preserve">FY 2023 </t>
  </si>
  <si>
    <r>
      <rPr>
        <sz val="13"/>
        <color rgb="FF000000"/>
        <rFont val="Times New Roman"/>
      </rPr>
      <t>Montana</t>
    </r>
  </si>
  <si>
    <t>The majority owner(s) must have been subjected to racial or ethnic prejudice or cultural bias within American society because of his or her identity as a member of groups without regard to his or her individual qualities. The social disadvantage must stem from circumstances beyond the individual’s control. The following groups are rebuttably presumed to be disadvantaged:
Black Americans, Hispanic Americans, Native Americans, Asian-Pacific Americans, Subcontinent Asian Americans, Women, and Any additional groups whose members are designated as socially and economically disadvantaged by the SBA, at such time as the SBA designation becomes effective. Business Size: A firm (including affiliates) must be a small business as defined by SBA standards. Find the table of size standards based on your business’s work type (NAICS Code) here.
Personal Net Worth: The majority owner(s) of the company must have a personal net worth under $2,047,000 (excluding equity in applicant/certified business, primary residence, and retirement accounts).
For-Profit: Firm must be organized for profit. Not-for-profit organizations are not eligible.
Citizenship: Majority owner(s) must be a citizen (or lawfully admitted permanent resident) of the United States.</t>
  </si>
  <si>
    <t>Montana Department of Commerce</t>
  </si>
  <si>
    <r>
      <rPr>
        <sz val="13"/>
        <color rgb="FF000000"/>
        <rFont val="Times New Roman"/>
      </rPr>
      <t>Nebraska</t>
    </r>
  </si>
  <si>
    <t>Disadvantaged Business Enterprise or DBE - A for-profit small business concern:
(a) That is at least 51 percent owned by one or more individuals who are both socially
and economically disadvantaged or, in the case of a corporation, in which
51 percent of the stock is owned by one or more such individuals; and
(b) Whose management and daily business operations are controlled by one or more
of the socially and economically disadvantaged individuals who own it.
(See 49 CFR part 26.67)</t>
  </si>
  <si>
    <t>Nebraska Department of Transportation FHWA
DBE Program</t>
  </si>
  <si>
    <t>Particiapation</t>
  </si>
  <si>
    <r>
      <rPr>
        <sz val="13"/>
        <color rgb="FF000000"/>
        <rFont val="Times New Roman"/>
      </rPr>
      <t>Nevada</t>
    </r>
  </si>
  <si>
    <t xml:space="preserve">A Disadvantaged Business Enterprise, also known as a DBE, is a small for-profit business concern that is 51% owned by a designated group, such as a Woman, Veteran, LGBTQ, or Minority. To ensure Nevada is a premier business location for all businesses, the Nevada Legislature passed Assembly 436 in 2017. This legislation ensures that it's easy to obtain information concerning programs to provide financing for small businesses, in addition to information concerning the process by which the business may become certified as a disadvantaged business enterprise for the purposes of 49 C.F.R. § 26.5 or a program to provide financing for disadvantaged business enterprises. </t>
  </si>
  <si>
    <t>Nevada Department of Transportation DBE Program, FHWA-funded
contracts</t>
  </si>
  <si>
    <r>
      <rPr>
        <sz val="13"/>
        <color rgb="FF000000"/>
        <rFont val="Times New Roman"/>
      </rPr>
      <t>New Hampshire</t>
    </r>
  </si>
  <si>
    <t>In order to qualify as a DBE/ACDBE, all companies must meet the following requirements:
The owner and the business company have to have established their principal office in New Hampshire.
The owner must be a member of a socially and economically disadvantaged group. This means owners who are citizens of the United States, and/or lawfully admitted permanent residents, and are: Black, Hispanic, Native Americans, Asian-Pacific Islanders, Subcontinent Asians, or women regardless of race.
The business must be owned, at least 51%, by one or more individuals who are considered members of a socially and economically disadvantaged group.
The disadvantaged owner(s) must control the company's management and daily operations.
A disadvantaged owner(s) personal net worth cannot exceed $2,047,000 (excluding ownership interest in the firm and the equity in his/her primary residence).
For DBEs, the company must not exceed $30.72 million in gross annual receipts and meet the Small Business Administration's Size Standard requirements</t>
  </si>
  <si>
    <t>New Hampshire Department of Transportation DBE Program</t>
  </si>
  <si>
    <r>
      <rPr>
        <sz val="13"/>
        <color rgb="FF000000"/>
        <rFont val="Times New Roman"/>
      </rPr>
      <t>New Jersey</t>
    </r>
  </si>
  <si>
    <t>To qualify for the 8(a) program, businesses must meet the following eligibility criteria:
Be a small business
Not have previously participated in the 8(a) program
Be at least 51% owned and controlled by U.S. citizens who are socially and economically disadvantaged
Have a personal net worth of $850 thousand or less, adjusted gross income of $400 thousand or less, and assets totaling $6.5 million or less
Demonstrate good character
Demonstrate the potential for success such as having been in business for two years</t>
  </si>
  <si>
    <t>New Jersey department of Transportation DBE Program</t>
  </si>
  <si>
    <r>
      <rPr>
        <sz val="13"/>
        <color rgb="FF000000"/>
        <rFont val="Times New Roman"/>
      </rPr>
      <t>New Mexico</t>
    </r>
  </si>
  <si>
    <t>"historically underutilized business" means a legally recognized for-profit business organization, corporation, sole proprietorship, partnership or joint venture that has applied for and received a valid historically underutilized business certificate issued by the taxation and revenue department certifying that:
               (1) it has an average gross revenue for the preceding three calendar years that does not exceed five million dollars ($5,000,000), as reported to the taxation and revenue department, or an average number of employees in New Mexico for the preceding three calendar years that does not exceed fifty;
                (2) it is a "resident business" as certified by the taxation and revenue department pursuant to Section 13-1-22 NMSA 1978; and
                (3) as certified by the taxation and revenue department, more than fifty percent of the business is owned by women or persons who are members of one or more of the following communities of color: African American, Latino or Hispanic, Asian, Pacific Islander, Native American or Alaska Native;</t>
  </si>
  <si>
    <t xml:space="preserve">DBE program through New Mexico Department of Transporation </t>
  </si>
  <si>
    <t>FY2021-2023</t>
  </si>
  <si>
    <r>
      <rPr>
        <sz val="13"/>
        <color rgb="FF000000"/>
        <rFont val="Times New Roman"/>
      </rPr>
      <t>New York</t>
    </r>
  </si>
  <si>
    <t>Minority-Owned Business Enterprise (MBE):
Under Article 15-A of the Executive Law, an MBE is a business enterprise in which at least fifty-one percent (51%) is owned, operated and controlled by citizens or permanent resident aliens who are meeting the ethnic definitions listed below:
Black, Hispanic, Asian-Pacific, Asian-Indian Subcontinent, Native American or Alaskan Native</t>
  </si>
  <si>
    <t>New York Division of Minority and Women’s Business Development</t>
  </si>
  <si>
    <r>
      <rPr>
        <sz val="13"/>
        <color rgb="FF000000"/>
        <rFont val="Times New Roman"/>
      </rPr>
      <t>North Carolina</t>
    </r>
  </si>
  <si>
    <t>At least fifty-one percent (51%) of the business is owned by one or more persons who are members of at least one of the following groups: Black, Hispanic, Asian American, American Indian, Female, Disabled, or Disadvantaged. 
The management and daily business operations are controlled by one or more owners of the business who are members of at least one of the groups set forth in the groups above.</t>
  </si>
  <si>
    <t>NC Department of Administration, Office for Historically Underutilized Businesses</t>
  </si>
  <si>
    <t>North Dakota</t>
  </si>
  <si>
    <t>**Program specific to federally-aided highway construction projects.** An individual must own 51% or more of a “small business” and
establish that they are socially and economically disadvantaged.
A disadvantaged owner seeking certification must possess the
power to direct or cause the direction of the management and
policies of the firm. The owner must also have an overall
understanding of managerial and technical competency and
experience directly related to the type of business in which the
firm is engaged.
Certain groups are presumed socially disadvantaged by the U.S.
Small Business Administration including women, Black Americans,
Hispanic Americans, Native Americans, Asian-Pacific Americans,
Subcontinent Asian-Pacific Americans.</t>
  </si>
  <si>
    <t>DBE program through ND Department of Transportation</t>
  </si>
  <si>
    <r>
      <rPr>
        <sz val="13"/>
        <color rgb="FF000000"/>
        <rFont val="Times New Roman"/>
      </rPr>
      <t>Ohio</t>
    </r>
  </si>
  <si>
    <t>(G) "Economically Disadvantaged Business" means a business (including its affiliates) is at least fifty-one per cent owned and controlled by a socially and economically disadvantaged individual(s) and the size of the business does not exceed the definition of a "small business" as defined by the United States small business administration (SBA) in 13 C.F.R 121.201 (2020) and calculated in accordance with 13 C.F.R 121.101 to 121.107 (2020); (1) To be a "small business" as defined by the SBA standards, only one main North American industry classification system (NAICS) code is used to determine the company's size standard. The main NAICS code (the code in which the majority of the company's gross receipts are generated) as identified by the Ohio department of administrative services, equal opportunity division (DAS/EOD) at the time of certification or recertification is the only NAICS code used to determine a business's size standard. (H) "Economically Disadvantaged Individual" means an individual(s) whose ability to compete in the free enterprise system has been impaired due to diminished capital and credit opportunities as compared to others in the same or similar business(es) that are not economically disadvantaged. Economic disadvantage is based on 13 C.F.R.</t>
  </si>
  <si>
    <t>Department of Administrative Services, Equal Opportunity Division</t>
  </si>
  <si>
    <t>FY2020</t>
  </si>
  <si>
    <r>
      <rPr>
        <sz val="13"/>
        <color rgb="FF000000"/>
        <rFont val="Times New Roman"/>
      </rPr>
      <t>Oklahoma</t>
    </r>
  </si>
  <si>
    <t>NMSDC and its affiliates solicit major corporations and large companies to do more purchasing from minority-owned businesses and provide a “Minority Business Enterprise” (MBE) certification to assist in identifying eligible minority-owned businesses. To qualify for certification, the minority business owner must: • Be from one of the following racial minority/ethic groups: African American/Black, Native American, Hispanic/ Latino American, Asian-Pacific American and Asian-Indian American; • Hold 51% or more of the ownership of the business, • Have full control of its operations and management.</t>
  </si>
  <si>
    <t>Oklahoma Department of Transportation and Disadvantaged Business Enterprise</t>
  </si>
  <si>
    <r>
      <rPr>
        <sz val="13"/>
        <color rgb="FF000000"/>
        <rFont val="Times New Roman"/>
      </rPr>
      <t>Oregon</t>
    </r>
  </si>
  <si>
    <t xml:space="preserve"> small businesses that are at least 51% owned by:
Minorities: Blacks, Hispanics, Native Americans, Asian-Pacific Americans and Subcontinent Asian Americans;
Women;
Other individuals on a case-by-case basis.</t>
  </si>
  <si>
    <t>Oregon DOT FHWA</t>
  </si>
  <si>
    <r>
      <rPr>
        <sz val="13"/>
        <color rgb="FF000000"/>
        <rFont val="Times New Roman"/>
      </rPr>
      <t>Pennsylvania</t>
    </r>
  </si>
  <si>
    <t>Woman-owned business, minority-owned business or veteran-owned business” - Diverse and disadvantaged businesses.</t>
  </si>
  <si>
    <t>Department of General Services: Bureau of Small Business Opportunities</t>
  </si>
  <si>
    <t xml:space="preserve">FY2024 </t>
  </si>
  <si>
    <t>Allocation Percentage</t>
  </si>
  <si>
    <r>
      <rPr>
        <sz val="13"/>
        <color rgb="FF000000"/>
        <rFont val="Times New Roman"/>
      </rPr>
      <t>Rhode Island</t>
    </r>
  </si>
  <si>
    <t>51% owned and operated by socially and economically disadvantaged individuals. This often includes minority-owned, women-owned, veteran-owned, and other disadvantaged businesses.</t>
  </si>
  <si>
    <t>Department of Administration; Rhode Island Minority Business Enterprise Compliance Office; Division of Diversity, Equity, and Inclusion</t>
  </si>
  <si>
    <r>
      <rPr>
        <sz val="13"/>
        <color rgb="FF000000"/>
        <rFont val="Times New Roman"/>
      </rPr>
      <t>South Carolina</t>
    </r>
  </si>
  <si>
    <t xml:space="preserve">‘Historically Underutilized Business’ means a small business that is a profit-making corporation, sole proprietorship, partnership, or joint venture in which more than fifty percent of the shares of stock or other equitable securities are owned by one or more persons who are members of the following groups:
(i) Black American   including all persons having origins of Black racial groups of Africa;
(ii) Hispanic American including all persons of Mexican, Puerto Rican, Cuban, Central or South American, or other Spanish/Portuguese origin, regardless of race;
(iii) Asian Pacific American   including persons whose origins are from Japan, China, Taiwan, Korea, Vietnam, Laos, Cambodia, the Philippines, Samoa, Guam, the U.S. Territories of the Pacific, or the Northern Marianas; and Subcontinent Asian American, which includes persons whose origins are from India, Pakistan, Bangladesh, Sri Lanka, Bhutan, or Nepal; 
(iv) Native American including persons who are American Indians, Eskimos, Aleuts, or Native Hawaiians; and
(v) Women including women of any ethnicity.
(b) ‘Small business’ means an entity that qualifies as a small business pursuant to 13CFR121.
(2) General Services shall establish and offer a program to provide surety technical assistance for the benefit of historically underutilized businesses.  The division may contract with insurance companies, surety companies, agents, or brokers to implement the program.”
</t>
  </si>
  <si>
    <t>Overall Disadvantaged Business Enterprise SC DOT goal</t>
  </si>
  <si>
    <t>FY2018</t>
  </si>
  <si>
    <r>
      <rPr>
        <sz val="13"/>
        <color rgb="FF000000"/>
        <rFont val="Times New Roman"/>
      </rPr>
      <t>South Dakota</t>
    </r>
  </si>
  <si>
    <t>A disadvantaged business enterprise (DBE) is a for-profit small business concern that is:
at least 51 percent owned by one or more individuals who are both socially and economically disadvantaged; and
whose management and daily business operations are controlled by one or more of the socially and economically disadvantaged individuals who own it.
The objectives of the DBE program are to:
- ensure nondiscrimination in the award and administration of federal-aid contracts
- create a level playing field on which DBEs can compete fairly for federal-aid contracts
- ensure that the Department's DBE program is narrowly tailored
- ensure that only firms that fully meet the eligibility standards are permitted to participate as DBEs
- help remove barriers to participation of DBEs in federal-aid contracts
- assist in the development of firms that can compete successfully in the marketplace outside the DBE program.</t>
  </si>
  <si>
    <t>South Dakota Department of Transportation</t>
  </si>
  <si>
    <t>Tennessee</t>
  </si>
  <si>
    <t>The Governor's Office of Diversity Business Enterprise (Go-DBE) is dedicated to assisting small, minority-owned, and woman-owned businesses in competing for state procurement and contracting opportunities.</t>
  </si>
  <si>
    <t>Tennessee Department of Transportation (TDOT)</t>
  </si>
  <si>
    <r>
      <rPr>
        <sz val="13"/>
        <color rgb="FF000000"/>
        <rFont val="Times New Roman"/>
      </rPr>
      <t>Texas</t>
    </r>
  </si>
  <si>
    <t xml:space="preserve">The statewide HUB Annual Utilization Goals are often referred to as “HUB Goals” and are based on expenditures by procurement categories for the state agencies and state universities. Statewide HUB has set the following goals for total statewide expenditures with HUBs:
11.2% for heavy construction other than building contracts (HC);
21.1% for all building construction, including general contractors and operative builders' contracts (GC);
32.9% for all special trade construction contracts (TC);
23.7% for professional services contracts (PSC);
26.0% for all other services contracts (OTHER); 
21.1% for commodities contracts(CC).
The disparate ownership (Ownership defined by  at least 51% ownership stake in business) groups in the state’s procurement are identified as:
Asian American
Black American
Hispanic American
Native American
American Woman
Service-disabled Veteran as defined by 38 U.S.C. Section 101(2) with at least a 20% service disability as defined by 38 U.S.C. Section 101(16) </t>
  </si>
  <si>
    <t>Texas Building and Procurement Commission
Historically Underutilized Business Program</t>
  </si>
  <si>
    <r>
      <rPr>
        <sz val="13"/>
        <color rgb="FF000000"/>
        <rFont val="Times New Roman"/>
      </rPr>
      <t>Utah</t>
    </r>
  </si>
  <si>
    <t>To qualify for DBE status your business must:
Have 3-year average Gross Income must not exceed $30.32 million
Personal income must not exceed 1.32 million. This income does not include retirement and residential properties
Be owned 51% or more by a Social and Economically Disadvantaged Individual (SEDO)</t>
  </si>
  <si>
    <t>State DBE program administered through Utah Department of Transportation</t>
  </si>
  <si>
    <r>
      <rPr>
        <sz val="13"/>
        <color rgb="FF000000"/>
        <rFont val="Times New Roman"/>
      </rPr>
      <t>Vermont</t>
    </r>
  </si>
  <si>
    <t xml:space="preserve">DBE must be at least 51 percent owned by one or more socially and economically disadvantaged individuals. A socially disadvantaged individual is a citizen (or lawfully admitted permanent resident) who is a member of one of the following groups: Black American, Hispanic American, Native American, Asian-Pacific American, Subcontinent American, or Female.
The company must be an independent business, and one or more of the socially disadvantaged owners must control its management and daily operations.
Only existing “for-profit” businesses may be certified, and DBE applicants are subject to applicable small business size standards (average annual gross receipts not to exceed $26.29 million over the previous three fiscal years)
The personal net worth (PNW) of each socially and economically disadvantaged owner must not exceed $1.32 million (with regulatory exclusions).
</t>
  </si>
  <si>
    <t>State of Vermont
Agency of Transportation</t>
  </si>
  <si>
    <r>
      <rPr>
        <sz val="13"/>
        <color rgb="FF000000"/>
        <rFont val="Times New Roman"/>
      </rPr>
      <t>Virginia</t>
    </r>
  </si>
  <si>
    <t>The SWaM Procurement Initiative was established to enhance business opportunities for small, women- and minority-owned businesses and to ensure a level playing field for all small businesses in the Commonwealth of Virginia. SWaM is the acronym for Small, Women- and Minority-owned businesses. A SWaM vendor is a business that has been certified by the Virginia Department of Small Business and Supplier Diversity and is listed in the SWaM Vendor Directory</t>
  </si>
  <si>
    <t>Department of Small Business and Supplier Diversity</t>
  </si>
  <si>
    <r>
      <rPr>
        <sz val="13"/>
        <color rgb="FF000000"/>
        <rFont val="Times New Roman"/>
      </rPr>
      <t>Washington</t>
    </r>
  </si>
  <si>
    <t xml:space="preserve">To qualify for certification, the primary owner(s) must own at least 51% of the company and control the business. The owner must be both socially and economically disadvantaged. In general this means that the owner must be a woman or a minority and have a personal net worth under $2.047 million. Finally, the business must be small, and not have gross receipts of more than $30.72 million. The chart below provides basic information on eligibility for each certification type. For more detailed information on certification eligibility click here. </t>
  </si>
  <si>
    <t>Office of Minority &amp; Women's Business Enterprises</t>
  </si>
  <si>
    <r>
      <rPr>
        <sz val="13"/>
        <color rgb="FF000000"/>
        <rFont val="Times New Roman"/>
      </rPr>
      <t>West Virginia</t>
    </r>
  </si>
  <si>
    <t xml:space="preserve">A DBE is a for-profit small business concern that is at least 51 percent owned by one or more individuals who are both socially and economically disadvantaged. Also, the management and daily business operations of a DBE business must be controlled by one or more of the socially and economically disadvantaged individuals who own it. </t>
  </si>
  <si>
    <t>West Virginia Division of Highways (PUBLIC RECORD ON PAST PARTICIPATION ONLY AVAILABLE IN PERSON)</t>
  </si>
  <si>
    <t>FY2022-2024</t>
  </si>
  <si>
    <t>NOT AVAILABLE</t>
  </si>
  <si>
    <r>
      <rPr>
        <sz val="13"/>
        <color rgb="FF000000"/>
        <rFont val="Times New Roman"/>
      </rPr>
      <t>Wisconsin</t>
    </r>
  </si>
  <si>
    <t>The Wisconsin Supplier Diversity Program (SDP) certifies Minority-Owned (MBE), Service-Disabled Veteran-Owned (DVB) and Woman-Owned (WBE) businesses. The SDP verifies that businesses are at least 51% owned, managed, and controlled by a member or members of selected population.</t>
  </si>
  <si>
    <t>State of Wisconsin Department of Administration
Supplier Diversity Program</t>
  </si>
  <si>
    <r>
      <rPr>
        <sz val="13"/>
        <color rgb="FF000000"/>
        <rFont val="Times New Roman"/>
      </rPr>
      <t>Wyoming</t>
    </r>
  </si>
  <si>
    <t>Any individual who a recipient finds to be a socially and economically disadvantaged individual on a case-bycase basis. An individual must demonstrate that he or she has held himself or herself out, as a member of a
designated group if you require it.
2. Any individual in the following groups, members of which are rebuttably presumed to be socially and
economically disadvantaged:
a. “Black Americans,” which includes persons having origins in any of the Black racial groups of Africa;
b. “Hispanic Americans,” which includes persons of Mexican, Puerto Rican, Cuban, Dominican, Central
or South American, or other Spanish or Portuguese culture or origin, regardless of race;
c. “Native Americans,” which includes persons who are enrolled members of a federally or State
recognized Indian tribe, Alaska Natives, or Native Hawaiians;
d. “Asian-Pacific Americans,” which includes persons whose origins are from Japan, China, Taiwan,
Korea, Burma (Myanmar), Vietnam, Laos, Cambodia (Kampuchea), Thailand, Malaysia, Indonesia, the
Philippines, Brunei, Samoa, Guam, the U.S. Trust Territories of the Pacific Islands (Republic of Palau),
Republic of the Northern Marianas Islands, Samoa, Macao, Fiji, Tonga, Kirbati, Tuvalu, Nauru,
Federated States of Micronesia, or Hong Kong;
e. “Subcontinent Asian Americans,” which includes persons whose origins are from India, Pakistan,
Bangladesh, Bhutan, the Maldives Islands, Nepal or Sri Lanka;
f. Women;
g. Any additional groups whose members are designated as socially and economically disadvantaged by
the SBA, at such time as the SBA designation becomes effective.</t>
  </si>
  <si>
    <t>Wyoming Department of Transportation</t>
  </si>
  <si>
    <t>States</t>
  </si>
  <si>
    <t>Spending ($)</t>
  </si>
  <si>
    <t>Spending ($USD)</t>
  </si>
  <si>
    <r>
      <rPr>
        <sz val="12"/>
        <color rgb="FF000000"/>
        <rFont val="Times New Roman"/>
      </rPr>
      <t>Alabama</t>
    </r>
  </si>
  <si>
    <t>Colorado</t>
  </si>
  <si>
    <r>
      <rPr>
        <sz val="12"/>
        <color rgb="FF000000"/>
        <rFont val="Times New Roman"/>
      </rPr>
      <t>Alaska</t>
    </r>
  </si>
  <si>
    <t>Connecticut</t>
  </si>
  <si>
    <t>Arizona</t>
  </si>
  <si>
    <r>
      <rPr>
        <sz val="12"/>
        <color rgb="FF000000"/>
        <rFont val="Times New Roman"/>
      </rPr>
      <t>Arkansas</t>
    </r>
  </si>
  <si>
    <r>
      <rPr>
        <sz val="12"/>
        <color rgb="FF000000"/>
        <rFont val="Times New Roman"/>
      </rPr>
      <t>California</t>
    </r>
  </si>
  <si>
    <t>Maryland</t>
  </si>
  <si>
    <r>
      <rPr>
        <sz val="12"/>
        <color rgb="FF000000"/>
        <rFont val="Times New Roman"/>
      </rPr>
      <t>Colorado</t>
    </r>
  </si>
  <si>
    <t>Nevada</t>
  </si>
  <si>
    <r>
      <rPr>
        <sz val="12"/>
        <color rgb="FF000000"/>
        <rFont val="Times New Roman"/>
      </rPr>
      <t>Connecticut</t>
    </r>
  </si>
  <si>
    <t>New York</t>
  </si>
  <si>
    <r>
      <rPr>
        <sz val="12"/>
        <color rgb="FF000000"/>
        <rFont val="Times New Roman"/>
      </rPr>
      <t>Delaware</t>
    </r>
  </si>
  <si>
    <t>North Carolina</t>
  </si>
  <si>
    <r>
      <rPr>
        <sz val="12"/>
        <color rgb="FF000000"/>
        <rFont val="Times New Roman"/>
      </rPr>
      <t>Florida</t>
    </r>
  </si>
  <si>
    <t>Ohio</t>
  </si>
  <si>
    <r>
      <rPr>
        <sz val="12"/>
        <color rgb="FF000000"/>
        <rFont val="Times New Roman"/>
      </rPr>
      <t>Georgia</t>
    </r>
  </si>
  <si>
    <t>Oklahoma</t>
  </si>
  <si>
    <r>
      <rPr>
        <sz val="12"/>
        <color rgb="FF000000"/>
        <rFont val="Times New Roman"/>
      </rPr>
      <t>Hawaii</t>
    </r>
  </si>
  <si>
    <t>Pennsylvania</t>
  </si>
  <si>
    <r>
      <rPr>
        <sz val="12"/>
        <color rgb="FF000000"/>
        <rFont val="Times New Roman"/>
      </rPr>
      <t>Idaho</t>
    </r>
  </si>
  <si>
    <t>South Carolina</t>
  </si>
  <si>
    <r>
      <rPr>
        <sz val="12"/>
        <color rgb="FF000000"/>
        <rFont val="Times New Roman"/>
      </rPr>
      <t>Illinois</t>
    </r>
  </si>
  <si>
    <t>South Dakota</t>
  </si>
  <si>
    <r>
      <rPr>
        <sz val="12"/>
        <color rgb="FF000000"/>
        <rFont val="Times New Roman"/>
      </rPr>
      <t>Indiana</t>
    </r>
  </si>
  <si>
    <t>Texas</t>
  </si>
  <si>
    <r>
      <rPr>
        <sz val="12"/>
        <color rgb="FF000000"/>
        <rFont val="Times New Roman"/>
      </rPr>
      <t>Kansas</t>
    </r>
  </si>
  <si>
    <t>Utah</t>
  </si>
  <si>
    <r>
      <rPr>
        <sz val="12"/>
        <color rgb="FF000000"/>
        <rFont val="Times New Roman"/>
      </rPr>
      <t>Kentucky</t>
    </r>
  </si>
  <si>
    <t>Vermont</t>
  </si>
  <si>
    <r>
      <rPr>
        <sz val="12"/>
        <color rgb="FF000000"/>
        <rFont val="Times New Roman"/>
      </rPr>
      <t>Louisiana</t>
    </r>
  </si>
  <si>
    <t>Virginia</t>
  </si>
  <si>
    <r>
      <rPr>
        <sz val="12"/>
        <color rgb="FF000000"/>
        <rFont val="Times New Roman"/>
      </rPr>
      <t>Maine</t>
    </r>
  </si>
  <si>
    <t>Washington</t>
  </si>
  <si>
    <r>
      <rPr>
        <sz val="12"/>
        <color rgb="FF000000"/>
        <rFont val="Times New Roman"/>
      </rPr>
      <t>Maryland</t>
    </r>
  </si>
  <si>
    <t>Wisconsin</t>
  </si>
  <si>
    <r>
      <rPr>
        <sz val="12"/>
        <color rgb="FF000000"/>
        <rFont val="Times New Roman"/>
      </rPr>
      <t>Massachusetts</t>
    </r>
  </si>
  <si>
    <t>Wyoming</t>
  </si>
  <si>
    <r>
      <rPr>
        <sz val="12"/>
        <color rgb="FF000000"/>
        <rFont val="Times New Roman"/>
      </rPr>
      <t>Michigan</t>
    </r>
  </si>
  <si>
    <r>
      <rPr>
        <sz val="12"/>
        <color rgb="FF000000"/>
        <rFont val="Times New Roman"/>
      </rPr>
      <t>Minnesota</t>
    </r>
  </si>
  <si>
    <r>
      <rPr>
        <sz val="12"/>
        <color rgb="FF000000"/>
        <rFont val="Times New Roman"/>
      </rPr>
      <t>Mississippi</t>
    </r>
  </si>
  <si>
    <r>
      <rPr>
        <sz val="12"/>
        <color rgb="FF000000"/>
        <rFont val="Times New Roman"/>
      </rPr>
      <t>Missouri</t>
    </r>
  </si>
  <si>
    <r>
      <rPr>
        <sz val="12"/>
        <color rgb="FF000000"/>
        <rFont val="Times New Roman"/>
      </rPr>
      <t>Montana</t>
    </r>
  </si>
  <si>
    <r>
      <rPr>
        <sz val="12"/>
        <color rgb="FF000000"/>
        <rFont val="Times New Roman"/>
      </rPr>
      <t>Nebraska</t>
    </r>
  </si>
  <si>
    <r>
      <rPr>
        <sz val="12"/>
        <color rgb="FF000000"/>
        <rFont val="Times New Roman"/>
      </rPr>
      <t>Nevada</t>
    </r>
  </si>
  <si>
    <r>
      <rPr>
        <sz val="12"/>
        <color rgb="FF000000"/>
        <rFont val="Times New Roman"/>
      </rPr>
      <t>New Hampshire</t>
    </r>
  </si>
  <si>
    <r>
      <rPr>
        <sz val="12"/>
        <color rgb="FF000000"/>
        <rFont val="Times New Roman"/>
      </rPr>
      <t>New Jersey</t>
    </r>
  </si>
  <si>
    <r>
      <rPr>
        <sz val="12"/>
        <color rgb="FF000000"/>
        <rFont val="Times New Roman"/>
      </rPr>
      <t>New Mexico</t>
    </r>
  </si>
  <si>
    <r>
      <rPr>
        <sz val="12"/>
        <color rgb="FF000000"/>
        <rFont val="Times New Roman"/>
      </rPr>
      <t>New York</t>
    </r>
  </si>
  <si>
    <r>
      <rPr>
        <sz val="12"/>
        <color rgb="FF000000"/>
        <rFont val="Times New Roman"/>
      </rPr>
      <t>North Carolina</t>
    </r>
  </si>
  <si>
    <r>
      <rPr>
        <sz val="12"/>
        <color rgb="FF000000"/>
        <rFont val="Times New Roman"/>
      </rPr>
      <t>North Dakota</t>
    </r>
  </si>
  <si>
    <r>
      <rPr>
        <sz val="12"/>
        <color rgb="FF000000"/>
        <rFont val="Times New Roman"/>
      </rPr>
      <t>Ohio</t>
    </r>
  </si>
  <si>
    <r>
      <rPr>
        <sz val="12"/>
        <color rgb="FF000000"/>
        <rFont val="Times New Roman"/>
      </rPr>
      <t>Oklahoma</t>
    </r>
  </si>
  <si>
    <r>
      <rPr>
        <sz val="12"/>
        <color rgb="FF000000"/>
        <rFont val="Times New Roman"/>
      </rPr>
      <t>Oregon</t>
    </r>
  </si>
  <si>
    <r>
      <rPr>
        <sz val="12"/>
        <color rgb="FF000000"/>
        <rFont val="Times New Roman"/>
      </rPr>
      <t>Pennsylvania</t>
    </r>
  </si>
  <si>
    <r>
      <rPr>
        <sz val="12"/>
        <color rgb="FF000000"/>
        <rFont val="Times New Roman"/>
      </rPr>
      <t>Rhode Island</t>
    </r>
  </si>
  <si>
    <r>
      <rPr>
        <sz val="12"/>
        <color rgb="FF000000"/>
        <rFont val="Times New Roman"/>
      </rPr>
      <t>South Carolina</t>
    </r>
  </si>
  <si>
    <r>
      <rPr>
        <sz val="12"/>
        <color rgb="FF000000"/>
        <rFont val="Times New Roman"/>
      </rPr>
      <t>South Dakota</t>
    </r>
  </si>
  <si>
    <r>
      <rPr>
        <sz val="12"/>
        <color rgb="FF000000"/>
        <rFont val="Times New Roman"/>
      </rPr>
      <t>Tennessee</t>
    </r>
  </si>
  <si>
    <r>
      <rPr>
        <sz val="12"/>
        <color rgb="FF000000"/>
        <rFont val="Times New Roman"/>
      </rPr>
      <t>Utah</t>
    </r>
  </si>
  <si>
    <r>
      <rPr>
        <sz val="12"/>
        <color rgb="FF000000"/>
        <rFont val="Times New Roman"/>
      </rPr>
      <t>Vermont</t>
    </r>
  </si>
  <si>
    <r>
      <rPr>
        <sz val="12"/>
        <color rgb="FF000000"/>
        <rFont val="Times New Roman"/>
      </rPr>
      <t>Virginia</t>
    </r>
  </si>
  <si>
    <r>
      <rPr>
        <sz val="12"/>
        <color rgb="FF000000"/>
        <rFont val="Times New Roman"/>
      </rPr>
      <t>Washington</t>
    </r>
  </si>
  <si>
    <r>
      <rPr>
        <sz val="12"/>
        <color rgb="FF000000"/>
        <rFont val="Times New Roman"/>
      </rPr>
      <t>West Virginia</t>
    </r>
  </si>
  <si>
    <r>
      <rPr>
        <sz val="12"/>
        <color rgb="FF000000"/>
        <rFont val="Times New Roman"/>
      </rPr>
      <t>Wisconsin</t>
    </r>
  </si>
  <si>
    <r>
      <rPr>
        <sz val="12"/>
        <color rgb="FF000000"/>
        <rFont val="Times New Roman"/>
      </rPr>
      <t>Wyoming</t>
    </r>
  </si>
  <si>
    <t>Total Spending</t>
  </si>
  <si>
    <t>DBE Spending</t>
  </si>
  <si>
    <t>Goal</t>
  </si>
  <si>
    <t>Attainment</t>
  </si>
  <si>
    <t>Proportion</t>
  </si>
  <si>
    <t>Goal (weighted)</t>
  </si>
  <si>
    <t>Attainment (weighted)</t>
  </si>
  <si>
    <t>Sources Used</t>
  </si>
  <si>
    <r>
      <rPr>
        <u/>
        <sz val="11"/>
        <color rgb="FF000000"/>
        <rFont val="Times New Roman"/>
      </rPr>
      <t>https://www.aamu.edu/about/administrative-offices/bulldog-transportation-service/_documents/aamu-dbe-goal-methodology-document.pdf</t>
    </r>
  </si>
  <si>
    <t>https://www.urban.org/policy-centers/cross-center-initiatives/state-and-local-finance-initiative/projects/state-fiscal-briefs/alabama#:~:text=Alabama%20enacted%20its%20FY2024%20budget,%2C%20bonds%2C%20and%20federal%20funds.</t>
  </si>
  <si>
    <r>
      <rPr>
        <b/>
        <sz val="12"/>
        <color rgb="FF000000"/>
        <rFont val="Times New Roman"/>
      </rPr>
      <t>Alaska</t>
    </r>
  </si>
  <si>
    <t>https://dot.alaska.gov/cvlrts/aucp.shtml</t>
  </si>
  <si>
    <t>https://www.urban.org/policy-centers/cross-center-initiatives/state-and-local-finance-initiative/projects/state-fiscal-briefs/alaska#:~:text=According%20to%20the%20National%20Association,%2C%20bonds%2C%20and%20federal%20funds.</t>
  </si>
  <si>
    <t>https://dot.alaska.gov/cvlrts/pdfs/Alaska-DOTPF-FTA-FFY2021-2023-DBE-Goal-Methodology.pdf</t>
  </si>
  <si>
    <t>https://dot.alaska.gov/cvlrts/pdfs/Alaska-DOTPF-FHWA-Disadvantaged-Business-Enterprise-Program-Plan-2024.pdf</t>
  </si>
  <si>
    <t>https://www.census.gov/quickfacts/fact/table/AK/PST045223</t>
  </si>
  <si>
    <r>
      <rPr>
        <b/>
        <sz val="12"/>
        <color rgb="FF000000"/>
        <rFont val="Times New Roman"/>
      </rPr>
      <t>Arizona</t>
    </r>
  </si>
  <si>
    <t>https://www.urban.org/policy-centers/cross-center-initiatives/state-and-local-finance-initiative/projects/state-fiscal-briefs/arizona#:~:text=Arizona%20enacted%20its%20FY%202024,31%2C%202026.</t>
  </si>
  <si>
    <r>
      <rPr>
        <b/>
        <sz val="12"/>
        <color rgb="FF000000"/>
        <rFont val="Times New Roman"/>
      </rPr>
      <t>Arkansas</t>
    </r>
  </si>
  <si>
    <t>http://www.ahtd.ar.gov/dbe/DBE%20Uniform%20Certification%20Application2.pdf</t>
  </si>
  <si>
    <t>https://www.ardot.gov/wp-content/uploads/2022/06/2023-2025-Draft-DBE-Goal-Report.pdf</t>
  </si>
  <si>
    <t>https://www.urban.org/policy-centers/cross-center-initiatives/state-and-local-finance-initiative/projects/state-fiscal-briefs/arkansas#:~:text=Per%20the%20US%20Census%20Bureau,university%20tuition%20and%20highway%20tolls.</t>
  </si>
  <si>
    <r>
      <rPr>
        <b/>
        <sz val="12"/>
        <color rgb="FF000000"/>
        <rFont val="Times New Roman"/>
      </rPr>
      <t>California</t>
    </r>
  </si>
  <si>
    <r>
      <rPr>
        <u/>
        <sz val="11"/>
        <color rgb="FF000000"/>
        <rFont val="Times New Roman"/>
      </rPr>
      <t>https://supplier.coupa.com/certifications/dbe-certifications-in-california/ https://dot.ca.gov/programs/local-assistance/local-civil-compliance/disadvantaged-business-enterprise-dbe#:~:text=Caltrans%20is%20required%20under%2049,the%20Caltrans%20DBE%20Program%20Plan</t>
    </r>
    <r>
      <rPr>
        <sz val="11"/>
        <color rgb="FF000000"/>
        <rFont val="Times New Roman"/>
      </rPr>
      <t xml:space="preserve"> </t>
    </r>
    <r>
      <rPr>
        <u/>
        <sz val="11"/>
        <color rgb="FF000000"/>
        <rFont val="Times New Roman"/>
      </rPr>
      <t>https://dot.ca.gov/-/media/dot-media/programs/civil-rights/documents/disparity-study/caltrans-2022-2024-proposed-dbe-goal-and-methodology-a11y.pdf</t>
    </r>
  </si>
  <si>
    <r>
      <rPr>
        <b/>
        <sz val="12"/>
        <color rgb="FF000000"/>
        <rFont val="Times New Roman"/>
      </rPr>
      <t>Colorado</t>
    </r>
  </si>
  <si>
    <t>Overall Annual DBE Goal for Highway Design and Construction</t>
  </si>
  <si>
    <r>
      <rPr>
        <b/>
        <sz val="12"/>
        <color rgb="FF000000"/>
        <rFont val="Times New Roman"/>
      </rPr>
      <t>Connecticut</t>
    </r>
  </si>
  <si>
    <r>
      <rPr>
        <b/>
        <sz val="12"/>
        <color rgb="FF000000"/>
        <rFont val="Times New Roman"/>
      </rPr>
      <t>Delaware</t>
    </r>
  </si>
  <si>
    <r>
      <rPr>
        <u/>
        <sz val="11"/>
        <color rgb="FF000000"/>
        <rFont val="Times New Roman"/>
      </rPr>
      <t>https://deldot.gov/Business/dbe/contentFolder/pdfs/dbeProgram.pdf?cache=1739994787952</t>
    </r>
    <r>
      <rPr>
        <sz val="11"/>
        <color rgb="FF000000"/>
        <rFont val="Times New Roman"/>
      </rPr>
      <t xml:space="preserve"> </t>
    </r>
    <r>
      <rPr>
        <u/>
        <sz val="11"/>
        <color rgb="FF000000"/>
        <rFont val="Times New Roman"/>
      </rPr>
      <t>https://deldot.gov/Business/dbe/index.shtml</t>
    </r>
    <r>
      <rPr>
        <sz val="11"/>
        <color rgb="FF000000"/>
        <rFont val="Times New Roman"/>
      </rPr>
      <t xml:space="preserve"> </t>
    </r>
    <r>
      <rPr>
        <u/>
        <sz val="11"/>
        <color rgb="FF000000"/>
        <rFont val="Times New Roman"/>
      </rPr>
      <t>https://deldot.gov/Business/dbe/contentFolder/pdfs/dbeGoalMethodology.pdf?cache=1739994894399</t>
    </r>
  </si>
  <si>
    <r>
      <rPr>
        <b/>
        <sz val="12"/>
        <color rgb="FF000000"/>
        <rFont val="Times New Roman"/>
      </rPr>
      <t>Florida</t>
    </r>
  </si>
  <si>
    <r>
      <rPr>
        <u/>
        <sz val="11"/>
        <color rgb="FF000000"/>
        <rFont val="Times New Roman"/>
      </rPr>
      <t xml:space="preserve">https://www.fdot.gov/equalopportunity/dbecertification.shtm
</t>
    </r>
    <r>
      <rPr>
        <sz val="11"/>
        <color rgb="FF000000"/>
        <rFont val="Times New Roman"/>
      </rPr>
      <t>https://dms-media.ccplatform.net/content/download/162582/file/Dept%20of%20Transportation.pdf?utm_source=chatgpt.com</t>
    </r>
  </si>
  <si>
    <t>https://www.urban.org/policy-centers/cross-center-initiatives/state-and-local-finance-initiative/projects/state-fiscal-briefs/florida</t>
  </si>
  <si>
    <t>https://www.fdot.gov/equalopportunity/civilrightsprograms.shtm</t>
  </si>
  <si>
    <r>
      <rPr>
        <b/>
        <sz val="12"/>
        <color rgb="FF000000"/>
        <rFont val="Times New Roman"/>
      </rPr>
      <t>Georgia</t>
    </r>
  </si>
  <si>
    <t>http://doas.ga.gov/state-purchasing</t>
  </si>
  <si>
    <r>
      <rPr>
        <b/>
        <sz val="12"/>
        <color rgb="FF000000"/>
        <rFont val="Times New Roman"/>
      </rPr>
      <t>Hawaii</t>
    </r>
  </si>
  <si>
    <t>https://defenseeconomy.hawaii.gov/small-business/</t>
  </si>
  <si>
    <r>
      <rPr>
        <b/>
        <sz val="12"/>
        <color rgb="FF000000"/>
        <rFont val="Times New Roman"/>
      </rPr>
      <t>Idaho</t>
    </r>
  </si>
  <si>
    <r>
      <rPr>
        <u/>
        <sz val="11"/>
        <color rgb="FF000000"/>
        <rFont val="Times New Roman"/>
      </rPr>
      <t>DBE_Goal_Methodology_Proposed.pdf</t>
    </r>
  </si>
  <si>
    <r>
      <rPr>
        <b/>
        <sz val="12"/>
        <color rgb="FF000000"/>
        <rFont val="Times New Roman"/>
      </rPr>
      <t>Illinois</t>
    </r>
  </si>
  <si>
    <r>
      <rPr>
        <b/>
        <sz val="12"/>
        <color rgb="FF000000"/>
        <rFont val="Times New Roman"/>
      </rPr>
      <t>Indiana</t>
    </r>
  </si>
  <si>
    <r>
      <rPr>
        <b/>
        <sz val="12"/>
        <color rgb="FF000000"/>
        <rFont val="Times New Roman"/>
      </rPr>
      <t>Iowa</t>
    </r>
  </si>
  <si>
    <r>
      <rPr>
        <b/>
        <sz val="12"/>
        <color rgb="FF000000"/>
        <rFont val="Times New Roman"/>
      </rPr>
      <t>Kansas</t>
    </r>
  </si>
  <si>
    <t>https://www.kcata.org/documents/uploads/KCATA1827DBEProgram.pdf?</t>
  </si>
  <si>
    <t>https://www.kslegislature.gov/li_2024/b2023_24/measures/documents/sb464_00_0000.pdf</t>
  </si>
  <si>
    <t>https://www.kslegislature.gov/li_2024/b2023_24/measures/hb2184/</t>
  </si>
  <si>
    <t>https://www.urban.org/policy-centers/cross-center-initiatives/state-and-local-finance-initiative/projects/state-fiscal-briefs/kansas#:~:text=According%20to%20NASBO%2C%20Kansas's%20recent,%247.3%20billion%2F%2421.8%20billion</t>
  </si>
  <si>
    <r>
      <rPr>
        <b/>
        <sz val="12"/>
        <color rgb="FF000000"/>
        <rFont val="Times New Roman"/>
      </rPr>
      <t>Kentucky</t>
    </r>
  </si>
  <si>
    <r>
      <rPr>
        <b/>
        <sz val="12"/>
        <color rgb="FF000000"/>
        <rFont val="Times New Roman"/>
      </rPr>
      <t>Louisiana</t>
    </r>
  </si>
  <si>
    <t>https://www.lsu.edu/administration/ofa/procurement /index.php</t>
  </si>
  <si>
    <r>
      <rPr>
        <b/>
        <sz val="12"/>
        <color rgb="FF000000"/>
        <rFont val="Times New Roman"/>
      </rPr>
      <t>Maine</t>
    </r>
  </si>
  <si>
    <r>
      <rPr>
        <u/>
        <sz val="11"/>
        <color rgb="FF000000"/>
        <rFont val="Times New Roman"/>
      </rPr>
      <t>https://www.mainedbe.com/become-certified/</t>
    </r>
    <r>
      <rPr>
        <sz val="11"/>
        <color rgb="FF000000"/>
        <rFont val="Times New Roman"/>
      </rPr>
      <t xml:space="preserve"> </t>
    </r>
    <r>
      <rPr>
        <u/>
        <sz val="11"/>
        <color rgb="FF000000"/>
        <rFont val="Times New Roman"/>
      </rPr>
      <t>https://www1.maine.gov/mdot/lpa/docs/certification/2024/DBEPresentation_Oct2024.pdfhttps://www.maine.gov/mdot/civilrights/docs/dbe/2020/2020-2022%20FTA%20Goal%20Methodology.pdf</t>
    </r>
  </si>
  <si>
    <r>
      <rPr>
        <b/>
        <sz val="12"/>
        <color rgb="FF000000"/>
        <rFont val="Times New Roman"/>
      </rPr>
      <t>Maryland</t>
    </r>
  </si>
  <si>
    <r>
      <rPr>
        <u/>
        <sz val="11"/>
        <color rgb="FF000000"/>
        <rFont val="Times New Roman"/>
      </rPr>
      <t>https://mgaleg.maryland.gov/2024RS/bills/sb/sb0154f.pdf</t>
    </r>
    <r>
      <rPr>
        <sz val="11"/>
        <color rgb="FF000000"/>
        <rFont val="Times New Roman"/>
      </rPr>
      <t xml:space="preserve"> </t>
    </r>
    <r>
      <rPr>
        <u/>
        <sz val="11"/>
        <color rgb="FF000000"/>
        <rFont val="Times New Roman"/>
      </rPr>
      <t>https://www.roads.maryland.gov/mdotsha/pages/Index.aspx?PageId=435</t>
    </r>
    <r>
      <rPr>
        <sz val="11"/>
        <color rgb="FF000000"/>
        <rFont val="Times New Roman"/>
      </rPr>
      <t xml:space="preserve"> </t>
    </r>
    <r>
      <rPr>
        <u/>
        <sz val="11"/>
        <color rgb="FF000000"/>
        <rFont val="Times New Roman"/>
      </rPr>
      <t>https://dbm.maryland.gov/budget/Pages/operbudget/2023-FiscalDigest.aspx</t>
    </r>
    <r>
      <rPr>
        <sz val="11"/>
        <color rgb="FF000000"/>
        <rFont val="Times New Roman"/>
      </rPr>
      <t xml:space="preserve"> </t>
    </r>
    <r>
      <rPr>
        <u/>
        <sz val="11"/>
        <color rgb="FF1155CC"/>
        <rFont val="Times New Roman"/>
      </rPr>
      <t>https://mgaleg.maryland.gov/pubs/budgetfiscal/2023fy-budget-docs-operating-T00-Department-of-Commerce.pdf</t>
    </r>
  </si>
  <si>
    <r>
      <rPr>
        <b/>
        <sz val="12"/>
        <color rgb="FF000000"/>
        <rFont val="Times New Roman"/>
      </rPr>
      <t>Massachusetts</t>
    </r>
  </si>
  <si>
    <r>
      <rPr>
        <sz val="11"/>
        <color rgb="FF000000"/>
        <rFont val="Times New Roman"/>
      </rPr>
      <t xml:space="preserve"> </t>
    </r>
    <r>
      <rPr>
        <u/>
        <sz val="11"/>
        <color rgb="FF000000"/>
        <rFont val="Times New Roman"/>
      </rPr>
      <t>https://www.mass.gov/doc/dbe-goal-for-fta-assisted-contracts-ffy2022-2024/download</t>
    </r>
    <r>
      <rPr>
        <sz val="11"/>
        <color rgb="FF000000"/>
        <rFont val="Times New Roman"/>
      </rPr>
      <t xml:space="preserve"> </t>
    </r>
    <r>
      <rPr>
        <u/>
        <sz val="11"/>
        <color rgb="FF000000"/>
        <rFont val="Times New Roman"/>
      </rPr>
      <t>https://malegislature.gov/Budget/FY2023/FinalBudget</t>
    </r>
  </si>
  <si>
    <r>
      <rPr>
        <b/>
        <sz val="12"/>
        <color rgb="FF000000"/>
        <rFont val="Times New Roman"/>
      </rPr>
      <t>Michigan</t>
    </r>
  </si>
  <si>
    <r>
      <rPr>
        <u/>
        <sz val="11"/>
        <color rgb="FF000000"/>
        <rFont val="Times New Roman"/>
      </rPr>
      <t>Executive Directive 2019 - 08</t>
    </r>
    <r>
      <rPr>
        <sz val="11"/>
        <color rgb="FF000000"/>
        <rFont val="Times New Roman"/>
      </rPr>
      <t xml:space="preserve"> </t>
    </r>
    <r>
      <rPr>
        <u/>
        <sz val="11"/>
        <color rgb="FF000000"/>
        <rFont val="Times New Roman"/>
      </rPr>
      <t>https://www.michigan.gov/mdot/-/media/Project/Websites/MDOT/Programs/DBE/FY2023-FY2025-Goals-Notice.pdf?rev=457b65b5da424e9faab8a21c65d00580&amp;hash=FC8C3DA87883A5732E1E3F4D8F12AAAF</t>
    </r>
    <r>
      <rPr>
        <sz val="11"/>
        <color rgb="FF000000"/>
        <rFont val="Times New Roman"/>
      </rPr>
      <t xml:space="preserve"> </t>
    </r>
    <r>
      <rPr>
        <u/>
        <sz val="11"/>
        <color rgb="FF000000"/>
        <rFont val="Times New Roman"/>
      </rPr>
      <t>https://www.michigan.gov/budget/-/media/Project/Websites/budget/Fiscal/Current-Fiscal-Year-Budget/FY-2023-Enacted-Summary.pdf?rev=a8c608c483a3476ca1041c23889b075d&amp;hash=36CDB27D76C1F20427E1449D28D10BF3</t>
    </r>
  </si>
  <si>
    <r>
      <rPr>
        <b/>
        <sz val="12"/>
        <color rgb="FF000000"/>
        <rFont val="Times New Roman"/>
      </rPr>
      <t>Minnesota</t>
    </r>
  </si>
  <si>
    <r>
      <rPr>
        <u/>
        <sz val="11"/>
        <color rgb="FF000000"/>
        <rFont val="Times New Roman"/>
      </rPr>
      <t>https://mn.gov/admin/business/vendor-info/oep/sbcp/tg/</t>
    </r>
    <r>
      <rPr>
        <sz val="11"/>
        <color rgb="FF000000"/>
        <rFont val="Times New Roman"/>
      </rPr>
      <t xml:space="preserve">             </t>
    </r>
    <r>
      <rPr>
        <u/>
        <sz val="11"/>
        <color rgb="FF000000"/>
        <rFont val="Times New Roman"/>
      </rPr>
      <t>https://mn.gov/admin/business/vendor-info/oep/spend/</t>
    </r>
    <r>
      <rPr>
        <sz val="11"/>
        <color rgb="FF000000"/>
        <rFont val="Times New Roman"/>
      </rPr>
      <t xml:space="preserve"> </t>
    </r>
    <r>
      <rPr>
        <u/>
        <sz val="11"/>
        <color rgb="FF000000"/>
        <rFont val="Times New Roman"/>
      </rPr>
      <t>https://www.usaspending.gov/state/minnesota/2022</t>
    </r>
    <r>
      <rPr>
        <sz val="11"/>
        <color rgb="FF000000"/>
        <rFont val="Times New Roman"/>
      </rPr>
      <t xml:space="preserve"> </t>
    </r>
    <r>
      <rPr>
        <u/>
        <sz val="11"/>
        <color rgb="FF000000"/>
        <rFont val="Times New Roman"/>
      </rPr>
      <t>https://www.usaspending.gov/state/minnesota/2022</t>
    </r>
  </si>
  <si>
    <r>
      <rPr>
        <b/>
        <sz val="12"/>
        <color rgb="FF000000"/>
        <rFont val="Times New Roman"/>
      </rPr>
      <t>Mississippi</t>
    </r>
  </si>
  <si>
    <r>
      <rPr>
        <u/>
        <sz val="11"/>
        <color rgb="FF000000"/>
        <rFont val="Times New Roman"/>
      </rPr>
      <t>https://mdot.ms.gov/documents/Civil%20Rights/Programs/DBE/MS%20Unified%20Certification%20Program%20Letter.pdf</t>
    </r>
    <r>
      <rPr>
        <sz val="11"/>
        <color rgb="FF000000"/>
        <rFont val="Times New Roman"/>
      </rPr>
      <t xml:space="preserve"> </t>
    </r>
    <r>
      <rPr>
        <u/>
        <sz val="11"/>
        <color rgb="FF000000"/>
        <rFont val="Times New Roman"/>
      </rPr>
      <t>https://www.lbo.ms.gov/PublicReports/GetBudgetRequestDetailReport/0?report=Intro&amp;fiscalYear=2023</t>
    </r>
  </si>
  <si>
    <r>
      <rPr>
        <b/>
        <sz val="12"/>
        <color rgb="FF000000"/>
        <rFont val="Times New Roman"/>
      </rPr>
      <t>Missouri</t>
    </r>
  </si>
  <si>
    <r>
      <rPr>
        <u/>
        <sz val="11"/>
        <color rgb="FF000000"/>
        <rFont val="Times New Roman"/>
      </rPr>
      <t>DBE Frequently Asked Questions | Missouri Department of Transportation</t>
    </r>
    <r>
      <rPr>
        <sz val="11"/>
        <color rgb="FF000000"/>
        <rFont val="Times New Roman"/>
      </rPr>
      <t xml:space="preserve"> </t>
    </r>
    <r>
      <rPr>
        <u/>
        <sz val="11"/>
        <color rgb="FF000000"/>
        <rFont val="Times New Roman"/>
      </rPr>
      <t>https://oa.mo.gov/budget-planning/budget-information/2023-budget-information</t>
    </r>
    <r>
      <rPr>
        <sz val="11"/>
        <color rgb="FF000000"/>
        <rFont val="Times New Roman"/>
      </rPr>
      <t xml:space="preserve"> </t>
    </r>
    <r>
      <rPr>
        <u/>
        <sz val="11"/>
        <color rgb="FF000000"/>
        <rFont val="Times New Roman"/>
      </rPr>
      <t>https://oa.mo.gov/sites/default/files/FY_2023_EB_Elementary_and_Secondary_Education.pdf</t>
    </r>
  </si>
  <si>
    <r>
      <rPr>
        <b/>
        <sz val="12"/>
        <color rgb="FF000000"/>
        <rFont val="Times New Roman"/>
      </rPr>
      <t>Montana</t>
    </r>
  </si>
  <si>
    <r>
      <rPr>
        <u/>
        <sz val="11"/>
        <color rgb="FF000000"/>
        <rFont val="Times New Roman"/>
      </rPr>
      <t>https://www.mdt.mt.gov/business/contracting/civil/certification.aspx</t>
    </r>
    <r>
      <rPr>
        <sz val="11"/>
        <color rgb="FF000000"/>
        <rFont val="Times New Roman"/>
      </rPr>
      <t xml:space="preserve"> </t>
    </r>
    <r>
      <rPr>
        <u/>
        <sz val="11"/>
        <color rgb="FF000000"/>
        <rFont val="Times New Roman"/>
      </rPr>
      <t>https://mdt.mt.gov/other/webdata/external/civilrights/dbe/FTA_DBE_Goal.pdf</t>
    </r>
    <r>
      <rPr>
        <sz val="11"/>
        <color rgb="FF000000"/>
        <rFont val="Times New Roman"/>
      </rPr>
      <t xml:space="preserve">
</t>
    </r>
    <r>
      <rPr>
        <u/>
        <sz val="11"/>
        <color rgb="FF000000"/>
        <rFont val="Times New Roman"/>
      </rPr>
      <t>https://mdt.mt.gov/other/webdata/external/civilrights/dbe/FHWA_DBE_Goal.pdf</t>
    </r>
  </si>
  <si>
    <r>
      <rPr>
        <b/>
        <sz val="12"/>
        <color rgb="FF000000"/>
        <rFont val="Times New Roman"/>
      </rPr>
      <t>Nebraska</t>
    </r>
  </si>
  <si>
    <t>https://nebraskalegislature.gov/FloorDocs/106/PDF/Intro/LB1218.pdf  http://www.nebraskatransportation.org/letting/DBE/DBE%20Program.pdf https://dot.nebraska.gov/media/utaliqat/ndot_fhwa_dbe_goal_fy2024-2026.pdf</t>
  </si>
  <si>
    <r>
      <rPr>
        <b/>
        <sz val="12"/>
        <color rgb="FF000000"/>
        <rFont val="Times New Roman"/>
      </rPr>
      <t>Nevada</t>
    </r>
  </si>
  <si>
    <r>
      <rPr>
        <u/>
        <sz val="11"/>
        <color rgb="FF000000"/>
        <rFont val="Times New Roman"/>
      </rPr>
      <t>https://www.nvsilverflume.gov/home/nevadaDisadvantagedBusinessResources</t>
    </r>
    <r>
      <rPr>
        <sz val="11"/>
        <color rgb="FF000000"/>
        <rFont val="Times New Roman"/>
      </rPr>
      <t xml:space="preserve">  </t>
    </r>
    <r>
      <rPr>
        <u/>
        <sz val="11"/>
        <color rgb="FF000000"/>
        <rFont val="Times New Roman"/>
      </rPr>
      <t>https://epubs.nsla.nv.gov/statepubs/epubs/352269-2021.pdf</t>
    </r>
  </si>
  <si>
    <r>
      <rPr>
        <b/>
        <sz val="12"/>
        <color rgb="FF000000"/>
        <rFont val="Times New Roman"/>
      </rPr>
      <t>New Hampshire</t>
    </r>
  </si>
  <si>
    <t>https://www.dot.nh.gov/doing-business-nhdot/office-federal-compliance/disadvantaged-business-enterprise-program https://mm.nh.gov/files/uploads/dot/remote-docs/dbe-goal-and-methodology-plan.pdf</t>
  </si>
  <si>
    <r>
      <rPr>
        <b/>
        <sz val="12"/>
        <color rgb="FF000000"/>
        <rFont val="Times New Roman"/>
      </rPr>
      <t>New Jersey</t>
    </r>
  </si>
  <si>
    <r>
      <rPr>
        <u/>
        <sz val="11"/>
        <color rgb="FF000000"/>
        <rFont val="Times New Roman"/>
      </rPr>
      <t>https://business.nj.gov/pages/government-contracting#:~:text=Historically%20Underutilized%20Business%20(HUB)%20Zones,of%20HUBZones%20in%20New%20Jersey.</t>
    </r>
    <r>
      <rPr>
        <sz val="11"/>
        <color rgb="FF000000"/>
        <rFont val="Times New Roman"/>
      </rPr>
      <t xml:space="preserve"> </t>
    </r>
    <r>
      <rPr>
        <u/>
        <sz val="11"/>
        <color rgb="FF000000"/>
        <rFont val="Times New Roman"/>
      </rPr>
      <t>https://www.sba.gov/federal-contracting/contracting-assistance-programs/8a-business-development-program</t>
    </r>
    <r>
      <rPr>
        <sz val="11"/>
        <color rgb="FF000000"/>
        <rFont val="Times New Roman"/>
      </rPr>
      <t xml:space="preserve"> </t>
    </r>
    <r>
      <rPr>
        <u/>
        <sz val="11"/>
        <color rgb="FF000000"/>
        <rFont val="Times New Roman"/>
      </rPr>
      <t>https://content.njtransit.com/sites/default/files/OBD%20DBE%20Agency%20Goal%2023-25%20Presentation%20-%20Website%20Version_1.pdf</t>
    </r>
  </si>
  <si>
    <r>
      <rPr>
        <b/>
        <sz val="12"/>
        <color rgb="FF000000"/>
        <rFont val="Times New Roman"/>
      </rPr>
      <t>New Mexico</t>
    </r>
  </si>
  <si>
    <r>
      <rPr>
        <u/>
        <sz val="11"/>
        <color rgb="FF000000"/>
        <rFont val="Times New Roman"/>
      </rPr>
      <t>https://www.nmlegis.gov/Sessions/22%20Regular/bills/house/HB0160.HTML</t>
    </r>
    <r>
      <rPr>
        <sz val="11"/>
        <color rgb="FF000000"/>
        <rFont val="Times New Roman"/>
      </rPr>
      <t xml:space="preserve">  </t>
    </r>
    <r>
      <rPr>
        <u/>
        <sz val="11"/>
        <color rgb="FF000000"/>
        <rFont val="Times New Roman"/>
      </rPr>
      <t>https://www.dot.nm.gov/highway-operations-program/operations-support-division-director/construction-civil-rights-bureau/disadvantaged-business-enterprise-program-dbe/</t>
    </r>
  </si>
  <si>
    <r>
      <rPr>
        <b/>
        <sz val="12"/>
        <color rgb="FF000000"/>
        <rFont val="Times New Roman"/>
      </rPr>
      <t>New York</t>
    </r>
  </si>
  <si>
    <r>
      <rPr>
        <u/>
        <sz val="11"/>
        <color rgb="FF000000"/>
        <rFont val="Times New Roman"/>
      </rPr>
      <t>https://esd.ny.gov/mwbe-certification-eligibility-requirements</t>
    </r>
    <r>
      <rPr>
        <sz val="11"/>
        <color rgb="FF000000"/>
        <rFont val="Times New Roman"/>
      </rPr>
      <t xml:space="preserve"> </t>
    </r>
    <r>
      <rPr>
        <u/>
        <sz val="11"/>
        <color rgb="FF000000"/>
        <rFont val="Times New Roman"/>
      </rPr>
      <t>https://esd.ny.gov/doing-business-ny/mwbe</t>
    </r>
    <r>
      <rPr>
        <sz val="11"/>
        <color rgb="FF000000"/>
        <rFont val="Times New Roman"/>
      </rPr>
      <t xml:space="preserve"> </t>
    </r>
    <r>
      <rPr>
        <u/>
        <sz val="11"/>
        <color rgb="FF000000"/>
        <rFont val="Times New Roman"/>
      </rPr>
      <t>https://www.archives.nysed.gov/grants/lgrmif-mwbe-compliance</t>
    </r>
    <r>
      <rPr>
        <sz val="11"/>
        <color rgb="FF000000"/>
        <rFont val="Times New Roman"/>
      </rPr>
      <t xml:space="preserve"> </t>
    </r>
    <r>
      <rPr>
        <u/>
        <sz val="11"/>
        <color rgb="FF000000"/>
        <rFont val="Times New Roman"/>
      </rPr>
      <t>https://esd.ny.gov/sites/default/files/media/document/FY23-24-DMWBD-Annual-Report.pdf</t>
    </r>
  </si>
  <si>
    <r>
      <rPr>
        <b/>
        <sz val="12"/>
        <color rgb="FF000000"/>
        <rFont val="Times New Roman"/>
      </rPr>
      <t>North Carolina</t>
    </r>
  </si>
  <si>
    <r>
      <rPr>
        <u/>
        <sz val="11"/>
        <color rgb="FF000000"/>
        <rFont val="Times New Roman"/>
      </rPr>
      <t>https://www.doa.nc.gov/divisions/historically-underutilized-businesses-hub/certifications/swuc</t>
    </r>
    <r>
      <rPr>
        <sz val="11"/>
        <color rgb="FF000000"/>
        <rFont val="Times New Roman"/>
      </rPr>
      <t xml:space="preserve"> </t>
    </r>
    <r>
      <rPr>
        <u/>
        <sz val="11"/>
        <color rgb="FF000000"/>
        <rFont val="Times New Roman"/>
      </rPr>
      <t>https://www.doa.nc.gov/divisions/historically-underutilized-businesses-hub</t>
    </r>
  </si>
  <si>
    <r>
      <rPr>
        <b/>
        <sz val="12"/>
        <color rgb="FF000000"/>
        <rFont val="Times New Roman"/>
      </rPr>
      <t>North Dakota</t>
    </r>
  </si>
  <si>
    <r>
      <rPr>
        <u/>
        <sz val="11"/>
        <color rgb="FF000000"/>
        <rFont val="Times New Roman"/>
      </rPr>
      <t>https://www.dot.nd.gov/sites/www/files/documents/civil-rights/DBE-Program-Guide.pdf</t>
    </r>
    <r>
      <rPr>
        <sz val="11"/>
        <color rgb="FF000000"/>
        <rFont val="Times New Roman"/>
      </rPr>
      <t xml:space="preserve"> </t>
    </r>
    <r>
      <rPr>
        <u/>
        <sz val="11"/>
        <color rgb="FF000000"/>
        <rFont val="Times New Roman"/>
      </rPr>
      <t>https://www.dot.nd.gov/about-nddot/civil-rights/disadvantaged-business-enterprise-dbe-program</t>
    </r>
  </si>
  <si>
    <r>
      <rPr>
        <b/>
        <sz val="12"/>
        <color rgb="FF000000"/>
        <rFont val="Times New Roman"/>
      </rPr>
      <t>Ohio</t>
    </r>
  </si>
  <si>
    <r>
      <rPr>
        <u/>
        <sz val="11"/>
        <color rgb="FF000000"/>
        <rFont val="Times New Roman"/>
      </rPr>
      <t>https://codes.ohio.gov/ohio-administrative-code/rule-123:2-14-01#:~:text=(G)%20%22Economically%20Disadvantaged%20Business,is%20based%20on%2013%20C.F.R.</t>
    </r>
    <r>
      <rPr>
        <sz val="11"/>
        <color rgb="FF000000"/>
        <rFont val="Times New Roman"/>
      </rPr>
      <t xml:space="preserve"> </t>
    </r>
  </si>
  <si>
    <t>https://ohiombe.com/archives/15728?utm_source=chatgpt.com</t>
  </si>
  <si>
    <r>
      <rPr>
        <b/>
        <sz val="12"/>
        <color rgb="FF000000"/>
        <rFont val="Times New Roman"/>
      </rPr>
      <t>Oklahoma</t>
    </r>
  </si>
  <si>
    <r>
      <rPr>
        <u/>
        <sz val="11"/>
        <color rgb="FF000000"/>
        <rFont val="Times New Roman"/>
      </rPr>
      <t>https://www.okcommerce.gov/wp-content/uploads/Minority-Business-Certification-Programs.pdf
https://oklahoma.gov/content/dam/ok/en/odot/civil-rights/dbe-methodology/FFY23-FFY25%20Overall%20Goal%20Methodology%20Final.pdf</t>
    </r>
    <r>
      <rPr>
        <u/>
        <sz val="11"/>
        <color rgb="FF000000"/>
        <rFont val="Times New Roman"/>
      </rPr>
      <t xml:space="preserve"> </t>
    </r>
    <r>
      <rPr>
        <u/>
        <sz val="11"/>
        <color rgb="FF000000"/>
        <rFont val="Times New Roman"/>
      </rPr>
      <t>https://oklahoma.gov/content/dam/ok/en/odot/civil-rights/commitment-reports/pre-construction-dbe-reports/2024/November%202024.pdf</t>
    </r>
    <r>
      <rPr>
        <u/>
        <sz val="11"/>
        <color rgb="FF000000"/>
        <rFont val="Times New Roman"/>
      </rPr>
      <t xml:space="preserve"> </t>
    </r>
  </si>
  <si>
    <r>
      <rPr>
        <b/>
        <sz val="12"/>
        <color rgb="FF000000"/>
        <rFont val="Times New Roman"/>
      </rPr>
      <t>Oregon</t>
    </r>
  </si>
  <si>
    <t>https://www.orapexaccelerator.org/hub-zone-small-business</t>
  </si>
  <si>
    <t>https://www.oregon.gov/ohcs/homeownership/Documents/HO%20MWESB%20SDVBE%20FAQs%209.2024.pdf?utm_source=chatgpt.com</t>
  </si>
  <si>
    <r>
      <rPr>
        <b/>
        <sz val="12"/>
        <color rgb="FF000000"/>
        <rFont val="Times New Roman"/>
      </rPr>
      <t>Pennsylvania</t>
    </r>
  </si>
  <si>
    <t>https://www.legis.state.pa.us/CFDOCS/Legis/PN/Public/btCheck.cfm?billbody=H&amp;billnbr=0029&amp;billtyp=B&amp;pn=0010&amp;sessInd=0&amp;sessYr=2025&amp;txtType=PDF&amp;utm_source=chatgpt.com https://portal.ct.gov/dot/-/media/dot/ooe/unifiedcertificationprogrammanualattachmentsfinalpdf.pdf?rev=d2d794528d084e44aacc31bf81e6f3e1&amp;hash=355B30B4446F88B5F40BF3AB45D3F305</t>
  </si>
  <si>
    <t>https://www.pahousegop.com/budget2024?utm_source=chatgpt.com</t>
  </si>
  <si>
    <r>
      <rPr>
        <b/>
        <sz val="12"/>
        <color rgb="FF000000"/>
        <rFont val="Times New Roman"/>
      </rPr>
      <t>Rhode Island</t>
    </r>
  </si>
  <si>
    <r>
      <rPr>
        <u/>
        <sz val="11"/>
        <color rgb="FF000000"/>
        <rFont val="Times New Roman"/>
      </rPr>
      <t>https://dedi.ri.gov/media/1001/download?language=en</t>
    </r>
    <r>
      <rPr>
        <sz val="11"/>
        <color rgb="FF000000"/>
        <rFont val="Times New Roman"/>
      </rPr>
      <t xml:space="preserve"> </t>
    </r>
    <r>
      <rPr>
        <u/>
        <sz val="11"/>
        <color rgb="FF000000"/>
        <rFont val="Times New Roman"/>
      </rPr>
      <t>https://dedi.ri.gov/</t>
    </r>
  </si>
  <si>
    <r>
      <rPr>
        <b/>
        <sz val="12"/>
        <color rgb="FF000000"/>
        <rFont val="Times New Roman"/>
      </rPr>
      <t>South Carolina</t>
    </r>
  </si>
  <si>
    <t>https://www.scstatehouse.gov/sess117_2007-2008/bills/3902.doc https://publish-p131054-e1276845.adobeaemcloud.com/content/dam/scdot-legacy/business/pdf/businessdevelop/FFY_21-2023_Goal_Methodology_FHWA.pdf https://publish-p131054-e1276845.adobeaemcloud.com/content/dam/scdot-legacy/business/pdf/businessdevelop/FFY_21-2023_Goal_Setting_Methodology.pdfhttps://publish-p131054-e1276845.adobeaemcloud.com/content/dam/scdot-legacy/business/pdf/businessdevelop/FFY_21-2023_Goal_Setting_Methodology.pdf</t>
  </si>
  <si>
    <t>https://publish-p131054-e1276845.adobeaemcloud.com/content/dam/scdot-legacy/business/pdf/businessdevelop/FFY_21-2023_Goal_Setting_Methodology.pdf</t>
  </si>
  <si>
    <r>
      <rPr>
        <b/>
        <sz val="12"/>
        <color rgb="FF000000"/>
        <rFont val="Times New Roman"/>
      </rPr>
      <t>South Dakota</t>
    </r>
  </si>
  <si>
    <r>
      <rPr>
        <b/>
        <sz val="12"/>
        <color rgb="FF000000"/>
        <rFont val="Times New Roman"/>
      </rPr>
      <t>Tennessee</t>
    </r>
  </si>
  <si>
    <r>
      <rPr>
        <u/>
        <sz val="11"/>
        <color rgb="FF1155CC"/>
        <rFont val="Times New Roman"/>
      </rPr>
      <t>https://www.tn.gov/generalservices/procurement/central-procurement-office--cpo-/go-dbe.html?utm_source=chatgpt.com</t>
    </r>
    <r>
      <rPr>
        <sz val="11"/>
        <color rgb="FF000000"/>
        <rFont val="Times New Roman"/>
      </rPr>
      <t xml:space="preserve"> https://www.tn.gov/content/dam/tn/tdot/civilrights/small-business/2021%20-%202023%20DBE%20Goal%20FHWA%20Final%20Approved_SIGNED.pdf</t>
    </r>
  </si>
  <si>
    <t>https://www.tn.gov/content/dam/tn/generalservices/documents/cpo/godbe/events-and-publications/publications/annual-report/Annual_Report_from_FY20-21_FINAL_on_12-22-21.pdf?utm_source=chatgpt.com</t>
  </si>
  <si>
    <r>
      <rPr>
        <b/>
        <sz val="12"/>
        <color rgb="FF000000"/>
        <rFont val="Times New Roman"/>
      </rPr>
      <t>Texas</t>
    </r>
  </si>
  <si>
    <t>https://comptroller.texas.gov/purchasing/vendor/hub/disparity/</t>
  </si>
  <si>
    <r>
      <rPr>
        <u/>
        <sz val="11"/>
        <color rgb="FF000000"/>
        <rFont val="Times New Roman"/>
      </rPr>
      <t>https://comptroller.texas.gov/data/purchasing/hub/fy24/hubreportfy24a.pdf</t>
    </r>
    <r>
      <rPr>
        <sz val="11"/>
        <color rgb="FF000000"/>
        <rFont val="Times New Roman"/>
      </rPr>
      <t xml:space="preserve"> (page 1 executive summary)</t>
    </r>
  </si>
  <si>
    <r>
      <rPr>
        <b/>
        <sz val="12"/>
        <color rgb="FF000000"/>
        <rFont val="Times New Roman"/>
      </rPr>
      <t>Utah</t>
    </r>
  </si>
  <si>
    <r>
      <rPr>
        <u/>
        <sz val="11"/>
        <color rgb="FF000000"/>
        <rFont val="Times New Roman"/>
      </rPr>
      <t xml:space="preserve">https://le.utah.gov/xcode/title63g/chapter6a/C63G-6a_1800010118000101.pdf?utm_source=chatgpt.com
</t>
    </r>
    <r>
      <rPr>
        <u/>
        <sz val="11"/>
        <color rgb="FF1155CC"/>
        <rFont val="Times New Roman"/>
      </rPr>
      <t>https://drive.google.com/file/d/1PCkNZeIwmlWva0lZY_JV8lRdLrKN9tns/view
https://www.transportation.gov/osdbu/procurement-assistance/summary-forecast?page=1</t>
    </r>
  </si>
  <si>
    <r>
      <rPr>
        <b/>
        <sz val="12"/>
        <color rgb="FF000000"/>
        <rFont val="Times New Roman"/>
      </rPr>
      <t>Vermont</t>
    </r>
  </si>
  <si>
    <r>
      <rPr>
        <b/>
        <sz val="12"/>
        <color rgb="FF000000"/>
        <rFont val="Times New Roman"/>
      </rPr>
      <t>Virginia</t>
    </r>
  </si>
  <si>
    <r>
      <rPr>
        <sz val="11"/>
        <color rgb="FF000000"/>
        <rFont val="Times New Roman"/>
      </rPr>
      <t xml:space="preserve">https://sbsd.virginia.gov/certification-division/swam/
</t>
    </r>
    <r>
      <rPr>
        <u/>
        <sz val="11"/>
        <color rgb="FF000000"/>
        <rFont val="Times New Roman"/>
      </rPr>
      <t>https://dashboard.sbsd.virginia.gov/report/swam-spend</t>
    </r>
  </si>
  <si>
    <r>
      <rPr>
        <b/>
        <sz val="12"/>
        <color rgb="FF000000"/>
        <rFont val="Times New Roman"/>
      </rPr>
      <t>Washington</t>
    </r>
  </si>
  <si>
    <t>https://omwbe.wa.gov/sites/default/files/public/spend-reports/annual-reports/OMWBE-FY-2022-Annual-Report.pdf</t>
  </si>
  <si>
    <r>
      <rPr>
        <b/>
        <sz val="12"/>
        <color rgb="FF000000"/>
        <rFont val="Times New Roman"/>
      </rPr>
      <t>West Virginia</t>
    </r>
  </si>
  <si>
    <r>
      <rPr>
        <u/>
        <sz val="11"/>
        <color rgb="FF000000"/>
        <rFont val="Times New Roman"/>
      </rPr>
      <t>https://wvdbesupport.com/faq</t>
    </r>
    <r>
      <rPr>
        <sz val="11"/>
        <color rgb="FF000000"/>
        <rFont val="Times New Roman"/>
      </rPr>
      <t xml:space="preserve"> </t>
    </r>
    <r>
      <rPr>
        <u/>
        <sz val="11"/>
        <color rgb="FF000000"/>
        <rFont val="Times New Roman"/>
      </rPr>
      <t>https://transportation.wv.gov/crc/DBE/SiteAssets/Pages/default/DBE%20Goal%202022%20to%202024%20Website%20Revised%202.pdf</t>
    </r>
  </si>
  <si>
    <r>
      <rPr>
        <b/>
        <sz val="12"/>
        <color rgb="FF000000"/>
        <rFont val="Times New Roman"/>
      </rPr>
      <t>Wisconsin</t>
    </r>
  </si>
  <si>
    <t>https://mps.milwaukee.k12.wi.us/MPS-Shared/Documents1/ParticipationPlanforProfessionalServices.pdf https://supplierdiversity.wi.gov/Pages/Home.aspx https://supplierdiversity.wi.gov/PublishingImages/Pages/AnnualReports/FY23/FY23%20Supplier%20Diversity%20Report.pdf</t>
  </si>
  <si>
    <r>
      <rPr>
        <b/>
        <sz val="12"/>
        <color rgb="FF000000"/>
        <rFont val="Times New Roman"/>
      </rPr>
      <t>Wyoming</t>
    </r>
  </si>
  <si>
    <t>https://www.dot.state.wy.us/home/business_with_wydot/contractors/Disadvantaged_Business_Enterprise.html?utm_source=chatgpt.com</t>
  </si>
  <si>
    <t>https://www.dot.state.wy.us/files/live/sites/wydot/files/shared/Civil_Rights_Coordinator/DBE/Program%20Plan%20FY19%20Revision%2001-12-21.pdf?</t>
  </si>
  <si>
    <t>https://www.dot.state.wy.us/files/live/sites/wydot/files/shared/Management_Services/Annual%20Reports/AR_2023_Final%20(24-7-18).pdf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</si>
</sst>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0.0%"/>
    <numFmt numFmtId="166" formatCode="&quot;$&quot;#,##0"/>
  </numFmts>
  <fonts count="32" x14ac:knownFonts="1">
    <font>
      <sz val="10"/>
      <color rgb="FF000000"/>
      <name val="Arial"/>
      <scheme val="minor"/>
    </font>
    <font>
      <b/>
      <sz val="13"/>
      <color theme="1"/>
      <name val="Times New Roman"/>
    </font>
    <font>
      <b/>
      <sz val="18"/>
      <color theme="1"/>
      <name val="Times New Roman"/>
    </font>
    <font>
      <sz val="13"/>
      <color rgb="FF000000"/>
      <name val="Times New Roman"/>
    </font>
    <font>
      <sz val="13"/>
      <color theme="1"/>
      <name val="Times New Roman"/>
    </font>
    <font>
      <sz val="13"/>
      <color rgb="FF001D35"/>
      <name val="Times New Roman"/>
    </font>
    <font>
      <sz val="18"/>
      <color theme="1"/>
      <name val="Times New Roman"/>
    </font>
    <font>
      <sz val="14"/>
      <color rgb="FF000000"/>
      <name val="Times New Roman"/>
    </font>
    <font>
      <sz val="14"/>
      <color theme="1"/>
      <name val="Times New Roman"/>
    </font>
    <font>
      <sz val="13"/>
      <color rgb="FF353535"/>
      <name val="Times New Roman"/>
    </font>
    <font>
      <sz val="13"/>
      <color rgb="FF4A4A4A"/>
      <name val="Times New Roman"/>
    </font>
    <font>
      <sz val="13"/>
      <color rgb="FF212529"/>
      <name val="Times New Roman"/>
    </font>
    <font>
      <sz val="13"/>
      <color rgb="FF333333"/>
      <name val="Times New Roman"/>
    </font>
    <font>
      <sz val="18"/>
      <color rgb="FF000000"/>
      <name val="Times New Roman"/>
    </font>
    <font>
      <b/>
      <sz val="20"/>
      <color theme="1"/>
      <name val="Times New Roman"/>
    </font>
    <font>
      <b/>
      <sz val="12"/>
      <color theme="1"/>
      <name val="Times New Roman"/>
    </font>
    <font>
      <sz val="11"/>
      <color theme="1"/>
      <name val="Arial"/>
      <scheme val="minor"/>
    </font>
    <font>
      <sz val="12"/>
      <color rgb="FF000000"/>
      <name val="Times New Roman"/>
    </font>
    <font>
      <sz val="10"/>
      <color theme="1"/>
      <name val="Arial"/>
      <scheme val="minor"/>
    </font>
    <font>
      <sz val="11"/>
      <color rgb="FF000000"/>
      <name val="Times New Roman"/>
    </font>
    <font>
      <b/>
      <sz val="14"/>
      <color rgb="FF000000"/>
      <name val="Times New Roman"/>
    </font>
    <font>
      <sz val="14"/>
      <color theme="1"/>
      <name val="Arial"/>
      <scheme val="minor"/>
    </font>
    <font>
      <b/>
      <sz val="12"/>
      <color rgb="FF000000"/>
      <name val="Times New Roman"/>
    </font>
    <font>
      <u/>
      <sz val="11"/>
      <color rgb="FF000000"/>
      <name val="Times New Roman"/>
    </font>
    <font>
      <u/>
      <sz val="11"/>
      <color rgb="FF000000"/>
      <name val="Times New Roman"/>
    </font>
    <font>
      <u/>
      <sz val="11"/>
      <color rgb="FF0000FF"/>
      <name val="Times New Roman"/>
    </font>
    <font>
      <u/>
      <sz val="10"/>
      <color rgb="FF0000FF"/>
      <name val="Arial"/>
    </font>
    <font>
      <u/>
      <sz val="11"/>
      <color rgb="FF000000"/>
      <name val="Times New Roman"/>
    </font>
    <font>
      <u/>
      <sz val="11"/>
      <color rgb="FF000000"/>
      <name val="Times New Roman"/>
    </font>
    <font>
      <b/>
      <sz val="12"/>
      <color theme="1"/>
      <name val="Arial"/>
      <scheme val="minor"/>
    </font>
    <font>
      <sz val="10"/>
      <color rgb="FF000000"/>
      <name val="Arial"/>
      <scheme val="minor"/>
    </font>
    <font>
      <u/>
      <sz val="11"/>
      <color rgb="FF1155CC"/>
      <name val="Times New Roman"/>
    </font>
  </fonts>
  <fills count="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3F3F3"/>
        <bgColor rgb="FFF3F3F3"/>
      </patternFill>
    </fill>
    <fill>
      <patternFill patternType="solid">
        <fgColor rgb="FFF6F8F9"/>
        <bgColor rgb="FFF6F8F9"/>
      </patternFill>
    </fill>
  </fills>
  <borders count="6">
    <border>
      <left/>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0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10" fontId="4"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xf>
    <xf numFmtId="10" fontId="1" fillId="0" borderId="1" xfId="0" applyNumberFormat="1" applyFont="1" applyBorder="1" applyAlignment="1">
      <alignment horizontal="center" vertical="center" wrapText="1"/>
    </xf>
    <xf numFmtId="10" fontId="6" fillId="0" borderId="0" xfId="0" applyNumberFormat="1" applyFont="1" applyAlignment="1">
      <alignment horizontal="center" vertical="center"/>
    </xf>
    <xf numFmtId="0" fontId="6" fillId="0" borderId="0" xfId="0" applyFont="1" applyAlignment="1">
      <alignment horizontal="center" vertical="center"/>
    </xf>
    <xf numFmtId="164" fontId="4" fillId="0" borderId="1"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10"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9" fontId="1" fillId="0" borderId="1" xfId="0" applyNumberFormat="1" applyFont="1" applyBorder="1" applyAlignment="1">
      <alignment horizontal="center" vertical="center" wrapText="1"/>
    </xf>
    <xf numFmtId="9" fontId="4" fillId="0" borderId="1" xfId="0" applyNumberFormat="1" applyFont="1" applyBorder="1" applyAlignment="1">
      <alignment horizontal="center" vertical="center" wrapText="1"/>
    </xf>
    <xf numFmtId="0" fontId="7"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164" fontId="9" fillId="0" borderId="1" xfId="0" applyNumberFormat="1" applyFont="1" applyBorder="1" applyAlignment="1">
      <alignment horizontal="center" vertical="center"/>
    </xf>
    <xf numFmtId="10" fontId="1" fillId="0" borderId="1" xfId="0" applyNumberFormat="1" applyFont="1" applyBorder="1" applyAlignment="1">
      <alignment horizontal="center" vertical="center"/>
    </xf>
    <xf numFmtId="0" fontId="4" fillId="0" borderId="0" xfId="0" applyFont="1" applyAlignment="1">
      <alignment horizontal="center" vertical="center" wrapText="1"/>
    </xf>
    <xf numFmtId="0" fontId="4" fillId="0" borderId="2" xfId="0" applyFont="1" applyBorder="1" applyAlignment="1">
      <alignment horizontal="center" vertical="center" wrapText="1"/>
    </xf>
    <xf numFmtId="165" fontId="4" fillId="0" borderId="1" xfId="0" applyNumberFormat="1" applyFont="1" applyBorder="1" applyAlignment="1">
      <alignment horizontal="center" vertical="center" wrapText="1"/>
    </xf>
    <xf numFmtId="0" fontId="3"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9" fontId="4" fillId="4" borderId="1" xfId="0" applyNumberFormat="1" applyFont="1" applyFill="1" applyBorder="1" applyAlignment="1">
      <alignment horizontal="center" vertical="center" wrapText="1"/>
    </xf>
    <xf numFmtId="10" fontId="4" fillId="4" borderId="1" xfId="0" applyNumberFormat="1"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10" fontId="1" fillId="4" borderId="1" xfId="0" applyNumberFormat="1" applyFont="1" applyFill="1" applyBorder="1" applyAlignment="1">
      <alignment horizontal="center" vertical="center" wrapText="1"/>
    </xf>
    <xf numFmtId="10" fontId="6" fillId="4" borderId="0" xfId="0" applyNumberFormat="1" applyFont="1" applyFill="1" applyAlignment="1">
      <alignment horizontal="center" vertical="center"/>
    </xf>
    <xf numFmtId="0" fontId="6" fillId="4" borderId="0" xfId="0" applyFont="1" applyFill="1" applyAlignment="1">
      <alignment horizontal="center" vertical="center"/>
    </xf>
    <xf numFmtId="0" fontId="10" fillId="3" borderId="1" xfId="0" applyFont="1" applyFill="1" applyBorder="1" applyAlignment="1">
      <alignment horizontal="center" vertical="center" wrapText="1"/>
    </xf>
    <xf numFmtId="10" fontId="4" fillId="0" borderId="0" xfId="0" applyNumberFormat="1" applyFont="1" applyAlignment="1">
      <alignment horizontal="center" vertical="center"/>
    </xf>
    <xf numFmtId="164" fontId="4" fillId="0" borderId="2" xfId="0" applyNumberFormat="1" applyFont="1" applyBorder="1" applyAlignment="1">
      <alignment horizontal="center" vertical="center" wrapText="1"/>
    </xf>
    <xf numFmtId="166" fontId="4" fillId="0" borderId="1" xfId="0" applyNumberFormat="1" applyFont="1" applyBorder="1" applyAlignment="1">
      <alignment horizontal="center" vertical="center" wrapText="1"/>
    </xf>
    <xf numFmtId="10" fontId="11" fillId="3" borderId="1" xfId="0" applyNumberFormat="1"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xf>
    <xf numFmtId="0" fontId="5" fillId="3" borderId="1" xfId="0" applyFont="1" applyFill="1" applyBorder="1" applyAlignment="1">
      <alignment horizontal="center" vertical="center" wrapText="1"/>
    </xf>
    <xf numFmtId="0" fontId="4" fillId="0" borderId="1" xfId="0" applyFont="1" applyBorder="1" applyAlignment="1">
      <alignment horizontal="center" vertical="center"/>
    </xf>
    <xf numFmtId="10" fontId="3" fillId="0" borderId="1" xfId="0" applyNumberFormat="1" applyFont="1" applyBorder="1" applyAlignment="1">
      <alignment horizontal="center" vertical="center" wrapText="1"/>
    </xf>
    <xf numFmtId="166" fontId="4" fillId="0" borderId="1" xfId="0" applyNumberFormat="1" applyFont="1" applyBorder="1" applyAlignment="1">
      <alignment horizontal="center" vertical="center"/>
    </xf>
    <xf numFmtId="0" fontId="4" fillId="3" borderId="1" xfId="0" applyFont="1" applyFill="1" applyBorder="1" applyAlignment="1">
      <alignment horizontal="center" vertical="center" wrapText="1"/>
    </xf>
    <xf numFmtId="10" fontId="4" fillId="3" borderId="1" xfId="0" applyNumberFormat="1" applyFont="1" applyFill="1" applyBorder="1" applyAlignment="1">
      <alignment horizontal="center" vertical="center" wrapText="1"/>
    </xf>
    <xf numFmtId="164" fontId="4" fillId="3" borderId="1" xfId="0" applyNumberFormat="1" applyFont="1" applyFill="1" applyBorder="1" applyAlignment="1">
      <alignment horizontal="center" vertical="center" wrapText="1"/>
    </xf>
    <xf numFmtId="10" fontId="1" fillId="3" borderId="1"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3" xfId="0" applyFont="1" applyBorder="1" applyAlignment="1">
      <alignment horizontal="center" vertical="center" wrapText="1"/>
    </xf>
    <xf numFmtId="0" fontId="4" fillId="0" borderId="3" xfId="0" applyFont="1" applyBorder="1" applyAlignment="1">
      <alignment horizontal="center" vertical="center" wrapText="1"/>
    </xf>
    <xf numFmtId="10" fontId="4" fillId="0" borderId="3" xfId="0" applyNumberFormat="1" applyFont="1" applyBorder="1" applyAlignment="1">
      <alignment horizontal="center" vertical="center"/>
    </xf>
    <xf numFmtId="164" fontId="4" fillId="0" borderId="3" xfId="0" applyNumberFormat="1" applyFont="1" applyBorder="1" applyAlignment="1">
      <alignment horizontal="center" vertical="center" wrapText="1"/>
    </xf>
    <xf numFmtId="164" fontId="4" fillId="0" borderId="4" xfId="0" applyNumberFormat="1" applyFont="1" applyBorder="1" applyAlignment="1">
      <alignment horizontal="center" vertical="center"/>
    </xf>
    <xf numFmtId="10" fontId="1" fillId="0" borderId="5" xfId="0" applyNumberFormat="1" applyFont="1" applyBorder="1" applyAlignment="1">
      <alignment horizontal="center" vertical="center"/>
    </xf>
    <xf numFmtId="0" fontId="13" fillId="0" borderId="0" xfId="0" applyFont="1" applyAlignment="1">
      <alignment horizontal="center" vertical="center"/>
    </xf>
    <xf numFmtId="14" fontId="6" fillId="0" borderId="0" xfId="0" applyNumberFormat="1" applyFont="1" applyAlignment="1">
      <alignment horizontal="center" vertical="center"/>
    </xf>
    <xf numFmtId="0" fontId="14" fillId="0" borderId="0" xfId="0" applyFont="1" applyAlignment="1">
      <alignment horizontal="center" vertical="center"/>
    </xf>
    <xf numFmtId="4" fontId="6" fillId="0" borderId="0" xfId="0" applyNumberFormat="1" applyFont="1" applyAlignment="1">
      <alignment horizontal="center" vertical="center"/>
    </xf>
    <xf numFmtId="0" fontId="15" fillId="0" borderId="0" xfId="0" applyFont="1" applyAlignment="1">
      <alignment horizontal="center" vertical="center"/>
    </xf>
    <xf numFmtId="0" fontId="15" fillId="0" borderId="0" xfId="0" applyFont="1" applyAlignment="1">
      <alignment horizontal="left" vertical="center"/>
    </xf>
    <xf numFmtId="0" fontId="16" fillId="0" borderId="0" xfId="0" applyFont="1"/>
    <xf numFmtId="0" fontId="17" fillId="3" borderId="0" xfId="0" applyFont="1" applyFill="1" applyAlignment="1">
      <alignment vertical="center"/>
    </xf>
    <xf numFmtId="10" fontId="18" fillId="0" borderId="0" xfId="0" applyNumberFormat="1" applyFont="1" applyAlignment="1">
      <alignment vertical="center"/>
    </xf>
    <xf numFmtId="164" fontId="18" fillId="0" borderId="0" xfId="0" applyNumberFormat="1" applyFont="1" applyAlignment="1">
      <alignment vertical="center"/>
    </xf>
    <xf numFmtId="166" fontId="16" fillId="0" borderId="0" xfId="0" applyNumberFormat="1" applyFont="1"/>
    <xf numFmtId="164" fontId="16" fillId="0" borderId="0" xfId="0" applyNumberFormat="1" applyFont="1"/>
    <xf numFmtId="164" fontId="18" fillId="0" borderId="0" xfId="0" applyNumberFormat="1" applyFont="1"/>
    <xf numFmtId="0" fontId="17" fillId="3" borderId="0" xfId="0" applyFont="1" applyFill="1"/>
    <xf numFmtId="166" fontId="16" fillId="5" borderId="0" xfId="0" applyNumberFormat="1" applyFont="1" applyFill="1"/>
    <xf numFmtId="166" fontId="16" fillId="3" borderId="0" xfId="0" applyNumberFormat="1" applyFont="1" applyFill="1"/>
    <xf numFmtId="0" fontId="19" fillId="5" borderId="0" xfId="0" applyFont="1" applyFill="1"/>
    <xf numFmtId="166" fontId="18" fillId="5" borderId="0" xfId="0" applyNumberFormat="1" applyFont="1" applyFill="1"/>
    <xf numFmtId="0" fontId="18" fillId="3" borderId="0" xfId="0" applyFont="1" applyFill="1"/>
    <xf numFmtId="164" fontId="16" fillId="3" borderId="0" xfId="0" applyNumberFormat="1" applyFont="1" applyFill="1"/>
    <xf numFmtId="0" fontId="16" fillId="3" borderId="0" xfId="0" applyFont="1" applyFill="1"/>
    <xf numFmtId="0" fontId="19" fillId="3" borderId="0" xfId="0" applyFont="1" applyFill="1"/>
    <xf numFmtId="166" fontId="18" fillId="3" borderId="0" xfId="0" applyNumberFormat="1" applyFont="1" applyFill="1"/>
    <xf numFmtId="164" fontId="18" fillId="3" borderId="0" xfId="0" applyNumberFormat="1" applyFont="1" applyFill="1" applyAlignment="1">
      <alignment vertical="center"/>
    </xf>
    <xf numFmtId="164" fontId="16" fillId="0" borderId="0" xfId="0" applyNumberFormat="1" applyFont="1" applyAlignment="1">
      <alignment horizontal="left" vertical="center"/>
    </xf>
    <xf numFmtId="164" fontId="18" fillId="0" borderId="0" xfId="0" applyNumberFormat="1" applyFont="1" applyAlignment="1">
      <alignment horizontal="left" vertical="center"/>
    </xf>
    <xf numFmtId="0" fontId="16" fillId="0" borderId="0" xfId="0" applyFont="1" applyAlignment="1">
      <alignment horizontal="left" vertical="center"/>
    </xf>
    <xf numFmtId="0" fontId="18" fillId="0" borderId="0" xfId="0" applyFont="1" applyAlignment="1">
      <alignment horizontal="left" vertical="center"/>
    </xf>
    <xf numFmtId="164" fontId="16" fillId="0" borderId="0" xfId="0" applyNumberFormat="1" applyFont="1" applyAlignment="1">
      <alignment vertical="center"/>
    </xf>
    <xf numFmtId="10" fontId="16" fillId="0" borderId="0" xfId="0" applyNumberFormat="1" applyFont="1" applyAlignment="1">
      <alignment vertical="center"/>
    </xf>
    <xf numFmtId="0" fontId="18" fillId="0" borderId="0" xfId="0" applyFont="1" applyAlignment="1">
      <alignment vertical="center"/>
    </xf>
    <xf numFmtId="10" fontId="18" fillId="0" borderId="0" xfId="0" applyNumberFormat="1" applyFont="1"/>
    <xf numFmtId="0" fontId="20" fillId="0" borderId="4" xfId="0" applyFont="1" applyBorder="1" applyAlignment="1">
      <alignment horizontal="center"/>
    </xf>
    <xf numFmtId="0" fontId="20" fillId="0" borderId="4" xfId="0" applyFont="1" applyBorder="1" applyAlignment="1">
      <alignment horizontal="center" wrapText="1"/>
    </xf>
    <xf numFmtId="0" fontId="7" fillId="0" borderId="0" xfId="0" applyFont="1" applyAlignment="1">
      <alignment horizontal="center" wrapText="1"/>
    </xf>
    <xf numFmtId="0" fontId="7" fillId="0" borderId="0" xfId="0" applyFont="1" applyAlignment="1">
      <alignment horizontal="center"/>
    </xf>
    <xf numFmtId="0" fontId="21" fillId="0" borderId="0" xfId="0" applyFont="1" applyAlignment="1">
      <alignment horizontal="center"/>
    </xf>
    <xf numFmtId="0" fontId="22" fillId="0" borderId="0" xfId="0" applyFont="1" applyAlignment="1">
      <alignment horizontal="center"/>
    </xf>
    <xf numFmtId="0" fontId="23" fillId="0" borderId="0" xfId="0" applyFont="1" applyAlignment="1">
      <alignment wrapText="1"/>
    </xf>
    <xf numFmtId="0" fontId="19" fillId="0" borderId="0" xfId="0" applyFont="1"/>
    <xf numFmtId="0" fontId="24" fillId="0" borderId="0" xfId="0" applyFont="1" applyAlignment="1">
      <alignment wrapText="1"/>
    </xf>
    <xf numFmtId="0" fontId="25" fillId="0" borderId="0" xfId="0" applyFont="1" applyAlignment="1">
      <alignment wrapText="1"/>
    </xf>
    <xf numFmtId="0" fontId="26" fillId="0" borderId="0" xfId="0" applyFont="1"/>
    <xf numFmtId="0" fontId="19" fillId="0" borderId="0" xfId="0" applyFont="1" applyAlignment="1">
      <alignment wrapText="1"/>
    </xf>
    <xf numFmtId="0" fontId="27" fillId="0" borderId="0" xfId="0" applyFont="1"/>
    <xf numFmtId="0" fontId="28" fillId="0" borderId="0" xfId="0" applyFont="1"/>
    <xf numFmtId="0" fontId="29" fillId="0" borderId="0" xfId="0" applyFont="1" applyAlignment="1">
      <alignment horizontal="center"/>
    </xf>
    <xf numFmtId="0" fontId="30" fillId="0" borderId="0" xfId="0" applyFont="1" applyAlignment="1">
      <alignment wrapText="1"/>
    </xf>
  </cellXfs>
  <cellStyles count="1">
    <cellStyle name="Normal" xfId="0" builtinId="0"/>
  </cellStyles>
  <dxfs count="15">
    <dxf>
      <fill>
        <patternFill patternType="solid">
          <fgColor rgb="FFFFFF00"/>
          <bgColor rgb="FFFFFF00"/>
        </patternFill>
      </fill>
    </dxf>
    <dxf>
      <fill>
        <patternFill patternType="solid">
          <fgColor rgb="FFFFF2CC"/>
          <bgColor rgb="FFFFF2CC"/>
        </patternFill>
      </fill>
    </dxf>
    <dxf>
      <fill>
        <patternFill patternType="solid">
          <fgColor rgb="FFF8F9FA"/>
          <bgColor rgb="FFF8F9FA"/>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Full Spreadsheet-style" pivot="0" count="4" xr9:uid="{00000000-0011-0000-FFFF-FFFF00000000}">
      <tableStyleElement type="wholeTable" size="0" dxfId="14"/>
      <tableStyleElement type="headerRow" dxfId="13"/>
      <tableStyleElement type="firstRowStripe" dxfId="12"/>
      <tableStyleElement type="secondRowStripe" dxfId="11"/>
    </tableStyle>
    <tableStyle name="Data Visualization-style" pivot="0" count="4" xr9:uid="{00000000-0011-0000-FFFF-FFFF01000000}">
      <tableStyleElement type="wholeTable" size="0" dxfId="10"/>
      <tableStyleElement type="headerRow" dxfId="9"/>
      <tableStyleElement type="firstRowStripe" dxfId="8"/>
      <tableStyleElement type="secondRowStripe" dxfId="7"/>
    </tableStyle>
    <tableStyle name="Oklahoma-style" pivot="0" count="5" xr9:uid="{00000000-0011-0000-FFFF-FFFF02000000}">
      <tableStyleElement type="wholeTable" size="0" dxfId="6"/>
      <tableStyleElement type="headerRow" dxfId="5"/>
      <tableStyleElement type="total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microsoft.com/office/2017/10/relationships/person" Target="persons/person.xml"/><Relationship Id="rId5" Type="http://schemas.openxmlformats.org/officeDocument/2006/relationships/chartsheet" Target="chart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3000" b="0">
                <a:solidFill>
                  <a:srgbClr val="666666"/>
                </a:solidFill>
                <a:latin typeface="Arial"/>
              </a:defRPr>
            </a:pPr>
            <a:r>
              <a:rPr lang="en-US" sz="3000" b="0">
                <a:solidFill>
                  <a:srgbClr val="666666"/>
                </a:solidFill>
                <a:latin typeface="Arial"/>
              </a:rPr>
              <a:t>HUB Spending by State (millions $USD)</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Pt>
            <c:idx val="17"/>
            <c:invertIfNegative val="1"/>
            <c:bubble3D val="0"/>
            <c:extLst>
              <c:ext xmlns:c16="http://schemas.microsoft.com/office/drawing/2014/chart" uri="{C3380CC4-5D6E-409C-BE32-E72D297353CC}">
                <c16:uniqueId val="{00000000-F88E-4CCB-91A4-2BBE61179B60}"/>
              </c:ext>
            </c:extLst>
          </c:dPt>
          <c:cat>
            <c:strRef>
              <c:f>'Data Visualization'!$R$2:$R$22</c:f>
              <c:strCache>
                <c:ptCount val="21"/>
                <c:pt idx="0">
                  <c:v>Colorado</c:v>
                </c:pt>
                <c:pt idx="1">
                  <c:v>Connecticut</c:v>
                </c:pt>
                <c:pt idx="2">
                  <c:v>Kansas</c:v>
                </c:pt>
                <c:pt idx="3">
                  <c:v>Kentucky</c:v>
                </c:pt>
                <c:pt idx="4">
                  <c:v>Maryland</c:v>
                </c:pt>
                <c:pt idx="5">
                  <c:v>Nevada</c:v>
                </c:pt>
                <c:pt idx="6">
                  <c:v>New York</c:v>
                </c:pt>
                <c:pt idx="7">
                  <c:v>North Carolina</c:v>
                </c:pt>
                <c:pt idx="8">
                  <c:v>Ohio</c:v>
                </c:pt>
                <c:pt idx="9">
                  <c:v>Oklahoma</c:v>
                </c:pt>
                <c:pt idx="10">
                  <c:v>Pennsylvania</c:v>
                </c:pt>
                <c:pt idx="11">
                  <c:v>South Carolina</c:v>
                </c:pt>
                <c:pt idx="12">
                  <c:v>South Dakota</c:v>
                </c:pt>
                <c:pt idx="13">
                  <c:v>Tennessee</c:v>
                </c:pt>
                <c:pt idx="14">
                  <c:v>Texas</c:v>
                </c:pt>
                <c:pt idx="15">
                  <c:v>Utah</c:v>
                </c:pt>
                <c:pt idx="16">
                  <c:v>Vermont</c:v>
                </c:pt>
                <c:pt idx="17">
                  <c:v>Virginia</c:v>
                </c:pt>
                <c:pt idx="18">
                  <c:v>Washington</c:v>
                </c:pt>
                <c:pt idx="19">
                  <c:v>Wisconsin</c:v>
                </c:pt>
                <c:pt idx="20">
                  <c:v>Wyoming</c:v>
                </c:pt>
              </c:strCache>
            </c:strRef>
          </c:cat>
          <c:val>
            <c:numRef>
              <c:f>'Data Visualization'!$S$2:$S$22</c:f>
              <c:numCache>
                <c:formatCode>"$"#,##0.00</c:formatCode>
                <c:ptCount val="21"/>
                <c:pt idx="0" formatCode="&quot;$&quot;#,##0">
                  <c:v>458048159</c:v>
                </c:pt>
                <c:pt idx="1">
                  <c:v>315029145</c:v>
                </c:pt>
                <c:pt idx="2">
                  <c:v>23800000</c:v>
                </c:pt>
                <c:pt idx="3" formatCode="&quot;$&quot;#,##0">
                  <c:v>83234716</c:v>
                </c:pt>
                <c:pt idx="4">
                  <c:v>18700000</c:v>
                </c:pt>
                <c:pt idx="5">
                  <c:v>22415940</c:v>
                </c:pt>
                <c:pt idx="6" formatCode="&quot;$&quot;#,##0">
                  <c:v>2822296207</c:v>
                </c:pt>
                <c:pt idx="7" formatCode="&quot;$&quot;#,##0">
                  <c:v>1050846150</c:v>
                </c:pt>
                <c:pt idx="8" formatCode="&quot;$&quot;#,##0">
                  <c:v>298800000</c:v>
                </c:pt>
                <c:pt idx="9">
                  <c:v>90371156.180000007</c:v>
                </c:pt>
                <c:pt idx="10" formatCode="&quot;$&quot;#,##0">
                  <c:v>275090953</c:v>
                </c:pt>
                <c:pt idx="11">
                  <c:v>58991000</c:v>
                </c:pt>
                <c:pt idx="12" formatCode="&quot;$&quot;#,##0">
                  <c:v>21442758</c:v>
                </c:pt>
                <c:pt idx="13" formatCode="&quot;$&quot;#,##0">
                  <c:v>766000000</c:v>
                </c:pt>
                <c:pt idx="14" formatCode="&quot;$&quot;#,##0">
                  <c:v>4116141798</c:v>
                </c:pt>
                <c:pt idx="15" formatCode="&quot;$&quot;#,##0">
                  <c:v>124464346</c:v>
                </c:pt>
                <c:pt idx="16" formatCode="&quot;$&quot;#,##0">
                  <c:v>1273093</c:v>
                </c:pt>
                <c:pt idx="17" formatCode="&quot;$&quot;#,##0">
                  <c:v>3136561443.0700002</c:v>
                </c:pt>
                <c:pt idx="18" formatCode="&quot;$&quot;#,##0">
                  <c:v>178172216</c:v>
                </c:pt>
                <c:pt idx="19" formatCode="&quot;$&quot;#,##0">
                  <c:v>205387642</c:v>
                </c:pt>
                <c:pt idx="20" formatCode="&quot;$&quot;#,##0">
                  <c:v>874740692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88E-4CCB-91A4-2BBE61179B60}"/>
            </c:ext>
          </c:extLst>
        </c:ser>
        <c:dLbls>
          <c:showLegendKey val="0"/>
          <c:showVal val="0"/>
          <c:showCatName val="0"/>
          <c:showSerName val="0"/>
          <c:showPercent val="0"/>
          <c:showBubbleSize val="0"/>
        </c:dLbls>
        <c:gapWidth val="150"/>
        <c:axId val="1616359875"/>
        <c:axId val="1924446111"/>
      </c:barChart>
      <c:catAx>
        <c:axId val="161635987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rot="0"/>
          <a:lstStyle/>
          <a:p>
            <a:pPr lvl="0">
              <a:defRPr b="0">
                <a:solidFill>
                  <a:srgbClr val="000000"/>
                </a:solidFill>
                <a:latin typeface="+mn-lt"/>
              </a:defRPr>
            </a:pPr>
            <a:endParaRPr lang="en-US"/>
          </a:p>
        </c:txPr>
        <c:crossAx val="1924446111"/>
        <c:crosses val="autoZero"/>
        <c:auto val="1"/>
        <c:lblAlgn val="ctr"/>
        <c:lblOffset val="100"/>
        <c:noMultiLvlLbl val="1"/>
      </c:catAx>
      <c:valAx>
        <c:axId val="1924446111"/>
        <c:scaling>
          <c:orientation val="minMax"/>
          <c:max val="4500000000"/>
        </c:scaling>
        <c:delete val="0"/>
        <c:axPos val="l"/>
        <c:majorGridlines>
          <c:spPr>
            <a:ln>
              <a:solidFill>
                <a:srgbClr val="B7B7B7"/>
              </a:solidFill>
            </a:ln>
          </c:spPr>
        </c:majorGridlines>
        <c:minorGridlines>
          <c:spPr>
            <a:ln>
              <a:solidFill>
                <a:srgbClr val="D9D9D9"/>
              </a:solidFill>
            </a:ln>
          </c:spPr>
        </c:minorGridlines>
        <c:title>
          <c:tx>
            <c:rich>
              <a:bodyPr/>
              <a:lstStyle/>
              <a:p>
                <a:pPr lvl="0">
                  <a:defRPr b="0">
                    <a:solidFill>
                      <a:srgbClr val="000000"/>
                    </a:solidFill>
                    <a:latin typeface="+mn-lt"/>
                  </a:defRPr>
                </a:pPr>
                <a:endParaRPr lang="en-US"/>
              </a:p>
            </c:rich>
          </c:tx>
          <c:overlay val="0"/>
        </c:title>
        <c:numFmt formatCode="&quot;$&quot;#,##0" sourceLinked="1"/>
        <c:majorTickMark val="none"/>
        <c:minorTickMark val="none"/>
        <c:tickLblPos val="nextTo"/>
        <c:spPr>
          <a:ln>
            <a:solidFill/>
          </a:ln>
        </c:spPr>
        <c:txPr>
          <a:bodyPr/>
          <a:lstStyle/>
          <a:p>
            <a:pPr lvl="0">
              <a:defRPr b="0">
                <a:solidFill>
                  <a:srgbClr val="000000"/>
                </a:solidFill>
                <a:latin typeface="+mn-lt"/>
              </a:defRPr>
            </a:pPr>
            <a:endParaRPr lang="en-US"/>
          </a:p>
        </c:txPr>
        <c:crossAx val="1616359875"/>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3000" b="0">
                <a:solidFill>
                  <a:srgbClr val="666666"/>
                </a:solidFill>
                <a:latin typeface="Arial"/>
              </a:defRPr>
            </a:pPr>
            <a:r>
              <a:rPr sz="3000" b="0">
                <a:solidFill>
                  <a:srgbClr val="666666"/>
                </a:solidFill>
                <a:latin typeface="Arial"/>
              </a:rPr>
              <a:t>HUB Spending by State (millions $USD)</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Pt>
            <c:idx val="17"/>
            <c:invertIfNegative val="1"/>
            <c:bubble3D val="0"/>
            <c:extLst>
              <c:ext xmlns:c16="http://schemas.microsoft.com/office/drawing/2014/chart" uri="{C3380CC4-5D6E-409C-BE32-E72D297353CC}">
                <c16:uniqueId val="{00000000-B377-428F-B386-5CA282C1C630}"/>
              </c:ext>
            </c:extLst>
          </c:dPt>
          <c:cat>
            <c:strRef>
              <c:f>'Data Visualization'!$R$2:$R$22</c:f>
              <c:strCache>
                <c:ptCount val="21"/>
                <c:pt idx="0">
                  <c:v>Colorado</c:v>
                </c:pt>
                <c:pt idx="1">
                  <c:v>Connecticut</c:v>
                </c:pt>
                <c:pt idx="2">
                  <c:v>Kansas</c:v>
                </c:pt>
                <c:pt idx="3">
                  <c:v>Kentucky</c:v>
                </c:pt>
                <c:pt idx="4">
                  <c:v>Maryland</c:v>
                </c:pt>
                <c:pt idx="5">
                  <c:v>Nevada</c:v>
                </c:pt>
                <c:pt idx="6">
                  <c:v>New York</c:v>
                </c:pt>
                <c:pt idx="7">
                  <c:v>North Carolina</c:v>
                </c:pt>
                <c:pt idx="8">
                  <c:v>Ohio</c:v>
                </c:pt>
                <c:pt idx="9">
                  <c:v>Oklahoma</c:v>
                </c:pt>
                <c:pt idx="10">
                  <c:v>Pennsylvania</c:v>
                </c:pt>
                <c:pt idx="11">
                  <c:v>South Carolina</c:v>
                </c:pt>
                <c:pt idx="12">
                  <c:v>South Dakota</c:v>
                </c:pt>
                <c:pt idx="13">
                  <c:v>Tennessee</c:v>
                </c:pt>
                <c:pt idx="14">
                  <c:v>Texas</c:v>
                </c:pt>
                <c:pt idx="15">
                  <c:v>Utah</c:v>
                </c:pt>
                <c:pt idx="16">
                  <c:v>Vermont</c:v>
                </c:pt>
                <c:pt idx="17">
                  <c:v>Virginia</c:v>
                </c:pt>
                <c:pt idx="18">
                  <c:v>Washington</c:v>
                </c:pt>
                <c:pt idx="19">
                  <c:v>Wisconsin</c:v>
                </c:pt>
                <c:pt idx="20">
                  <c:v>Wyoming</c:v>
                </c:pt>
              </c:strCache>
            </c:strRef>
          </c:cat>
          <c:val>
            <c:numRef>
              <c:f>'Data Visualization'!$S$2:$S$22</c:f>
              <c:numCache>
                <c:formatCode>"$"#,##0.00</c:formatCode>
                <c:ptCount val="21"/>
                <c:pt idx="0" formatCode="&quot;$&quot;#,##0">
                  <c:v>458048159</c:v>
                </c:pt>
                <c:pt idx="1">
                  <c:v>315029145</c:v>
                </c:pt>
                <c:pt idx="2">
                  <c:v>23800000</c:v>
                </c:pt>
                <c:pt idx="3" formatCode="&quot;$&quot;#,##0">
                  <c:v>83234716</c:v>
                </c:pt>
                <c:pt idx="4">
                  <c:v>18700000</c:v>
                </c:pt>
                <c:pt idx="5">
                  <c:v>22415940</c:v>
                </c:pt>
                <c:pt idx="6" formatCode="&quot;$&quot;#,##0">
                  <c:v>2822296207</c:v>
                </c:pt>
                <c:pt idx="7" formatCode="&quot;$&quot;#,##0">
                  <c:v>1050846150</c:v>
                </c:pt>
                <c:pt idx="8" formatCode="&quot;$&quot;#,##0">
                  <c:v>298800000</c:v>
                </c:pt>
                <c:pt idx="9">
                  <c:v>90371156.180000007</c:v>
                </c:pt>
                <c:pt idx="10" formatCode="&quot;$&quot;#,##0">
                  <c:v>275090953</c:v>
                </c:pt>
                <c:pt idx="11">
                  <c:v>58991000</c:v>
                </c:pt>
                <c:pt idx="12" formatCode="&quot;$&quot;#,##0">
                  <c:v>21442758</c:v>
                </c:pt>
                <c:pt idx="13" formatCode="&quot;$&quot;#,##0">
                  <c:v>766000000</c:v>
                </c:pt>
                <c:pt idx="14" formatCode="&quot;$&quot;#,##0">
                  <c:v>4116141798</c:v>
                </c:pt>
                <c:pt idx="15" formatCode="&quot;$&quot;#,##0">
                  <c:v>124464346</c:v>
                </c:pt>
                <c:pt idx="16" formatCode="&quot;$&quot;#,##0">
                  <c:v>1273093</c:v>
                </c:pt>
                <c:pt idx="17" formatCode="&quot;$&quot;#,##0">
                  <c:v>3136561443.0700002</c:v>
                </c:pt>
                <c:pt idx="18" formatCode="&quot;$&quot;#,##0">
                  <c:v>178172216</c:v>
                </c:pt>
                <c:pt idx="19" formatCode="&quot;$&quot;#,##0">
                  <c:v>205387642</c:v>
                </c:pt>
                <c:pt idx="20" formatCode="&quot;$&quot;#,##0">
                  <c:v>874740692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377-428F-B386-5CA282C1C630}"/>
            </c:ext>
          </c:extLst>
        </c:ser>
        <c:dLbls>
          <c:showLegendKey val="0"/>
          <c:showVal val="0"/>
          <c:showCatName val="0"/>
          <c:showSerName val="0"/>
          <c:showPercent val="0"/>
          <c:showBubbleSize val="0"/>
        </c:dLbls>
        <c:gapWidth val="150"/>
        <c:axId val="1791303713"/>
        <c:axId val="1102615274"/>
      </c:barChart>
      <c:catAx>
        <c:axId val="179130371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rot="0"/>
          <a:lstStyle/>
          <a:p>
            <a:pPr lvl="0">
              <a:defRPr b="0">
                <a:solidFill>
                  <a:srgbClr val="000000"/>
                </a:solidFill>
                <a:latin typeface="+mn-lt"/>
              </a:defRPr>
            </a:pPr>
            <a:endParaRPr lang="en-US"/>
          </a:p>
        </c:txPr>
        <c:crossAx val="1102615274"/>
        <c:crosses val="autoZero"/>
        <c:auto val="1"/>
        <c:lblAlgn val="ctr"/>
        <c:lblOffset val="100"/>
        <c:noMultiLvlLbl val="1"/>
      </c:catAx>
      <c:valAx>
        <c:axId val="1102615274"/>
        <c:scaling>
          <c:orientation val="minMax"/>
          <c:max val="4500000000"/>
        </c:scaling>
        <c:delete val="0"/>
        <c:axPos val="l"/>
        <c:majorGridlines>
          <c:spPr>
            <a:ln>
              <a:solidFill>
                <a:srgbClr val="B7B7B7"/>
              </a:solidFill>
            </a:ln>
          </c:spPr>
        </c:majorGridlines>
        <c:minorGridlines>
          <c:spPr>
            <a:ln>
              <a:solidFill>
                <a:srgbClr val="D9D9D9"/>
              </a:solidFill>
            </a:ln>
          </c:spPr>
        </c:minorGridlines>
        <c:title>
          <c:tx>
            <c:rich>
              <a:bodyPr/>
              <a:lstStyle/>
              <a:p>
                <a:pPr lvl="0">
                  <a:defRPr b="0">
                    <a:solidFill>
                      <a:srgbClr val="000000"/>
                    </a:solidFill>
                    <a:latin typeface="+mn-lt"/>
                  </a:defRPr>
                </a:pPr>
                <a:endParaRPr/>
              </a:p>
            </c:rich>
          </c:tx>
          <c:overlay val="0"/>
        </c:title>
        <c:numFmt formatCode="&quot;$&quot;#,##0" sourceLinked="1"/>
        <c:majorTickMark val="none"/>
        <c:minorTickMark val="none"/>
        <c:tickLblPos val="nextTo"/>
        <c:spPr>
          <a:ln>
            <a:solidFill/>
          </a:ln>
        </c:spPr>
        <c:txPr>
          <a:bodyPr/>
          <a:lstStyle/>
          <a:p>
            <a:pPr lvl="0">
              <a:defRPr b="0">
                <a:solidFill>
                  <a:srgbClr val="000000"/>
                </a:solidFill>
                <a:latin typeface="+mn-lt"/>
              </a:defRPr>
            </a:pPr>
            <a:endParaRPr lang="en-US"/>
          </a:p>
        </c:txPr>
        <c:crossAx val="1791303713"/>
        <c:crosses val="autoZero"/>
        <c:crossBetween val="between"/>
      </c:valAx>
    </c:plotArea>
    <c:plotVisOnly val="1"/>
    <c:dispBlanksAs val="zero"/>
    <c:showDLblsOverMax val="1"/>
  </c:char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data id="1">
      <cx:strDim type="cat">
        <cx:f>_xlchart.v5.5</cx:f>
        <cx:nf>_xlchart.v5.4</cx:nf>
      </cx:strDim>
      <cx:numDim type="colorVal">
        <cx:f>_xlchart.v5.9</cx:f>
        <cx:nf>_xlchart.v5.8</cx:nf>
      </cx:numDim>
    </cx:data>
  </cx:chartData>
  <cx:chart>
    <cx:title pos="t" align="ctr" overlay="0">
      <cx:tx>
        <cx:txData>
          <cx:v>States by % HUB Goal Attainment</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States by % HUB Goal Attainment</a:t>
          </a:r>
        </a:p>
      </cx:txPr>
    </cx:title>
    <cx:plotArea>
      <cx:plotAreaRegion>
        <cx:series layoutId="regionMap" uniqueId="{E81522E4-3BC5-464C-B1AD-416F0D695E5B}" formatIdx="0">
          <cx:tx>
            <cx:txData>
              <cx:f>_xlchart.v5.6</cx:f>
              <cx:v>Success (%)</cx:v>
            </cx:txData>
          </cx:tx>
          <cx:dataId val="0"/>
          <cx:layoutPr>
            <cx:geography cultureLanguage="en-US" cultureRegion="US" attribution="Powered by Bing">
              <cx:geoCache provider="{E9337A44-BEBE-4D9F-B70C-5C5E7DAFC167}">
                <cx:binary>7H1rT9zK0u5fifL5mNXtvnprry0tX+bCwAQIhJAv1ixC7Pbdbt/av/4tAiTgPdnh1eboaKQzK9IS
eJop9+Oueuqp6p5/3o7/uM3uds27Mc8K/Y/b8c/3cdtW//jjD30b3+U7fZSr26bU5bf26LbM/yi/
fVO3d398bXaDKqI/bITpH7fxrmnvxvf/+if8teiuPClvd60qi/PurjEXd7rLWv0fru299G73NVeF
r3TbqNsW//nev8t2w665e//urmhVay5Ndffn+xfvev/uj/nf+rfPfZeBaW33FcYS5wghKbhNmPPw
ev8uK4vo8bIl2BHlklOC5cNl9vTZ210O419j0Xd7dl+/Nndawy19///zkS/shwvB+3e3ZVe09/MW
wRT++f6qUO3d13cf2117p9+/U7r0Ht7glfc3cfXx+13/8XLm//XP2S9gHma/eQbOfNJ+d+nfsPmr
SXeF3oF5b4YNPYJJl4jgR2zkS2wc+4gSBzPGJPr+mmHzGov2Y/Nz5Aybvy4OE5ts9/cu370hNPaR
4Jzati1eYiL5kaSIEBvZP9bTw/PwsF7++r0lv4DkaeAckZODROTalODaordDhNpHMOHc5r9YLBiJ
I8YwpQyhJ0f3HJhXGLQfmB8DZ8Bc3xwkMNu7v5udTt9wrVB8xGyBiRD8wU3ZL5eM4xxJQAfWy343
9hqL9kPzc+QMm+2BhpjsbZHh9AgWBBXIflwS9CUymNlHtnAk5dh5Wqk/3NhvnpH9iID7+z5uhsdf
m4NcK16Zlc3ua/k0N29AxyR4MckYovbDWsEzRBA7YlRIwsnThz4A8hpT9kPyc+QMFO/DQYKyLr6q
XfGG/gsosoMdh8onmgVT/5wiQ8i3JRaOA0F/Hw17hUH7kfkxcAbMenuQwPzVqKl8U2DokQ2TDpNP
HyL6jIthjI+ApDGHs4fIA4vpech/hUH7gfkxcAbMX18OEphrpW/LQqviaXr+ez9G6REnjsMIf4ws
ED9erBnnSBDbYcwhD2tm5s5eZdJ+cJ4NncFzvT5IeLZ3/e7r2/ozwjgQYfKIzSytxJgfccaIFPKB
kM2Wze/t2Q/M07gZKttPB4mKt8vUt7Ip1FsiI45sRjmHcLM/+mPniGMBZJpCQLp/Pa3YRxLwKpv2
o/P8fmYIeX8dJEIfy66N33m7pszUm4YdcuQg4lAb4x++64VvQyDbUCQh/DyAxF+i9Hq79iM1Hz9D
66N3kGht74Z3N2WTPs3VG8QgUASIY9N7Meb7a8bbQNrkcIXxJ/oww+k1Fu1H6OfIGTbbm4PE5lTd
xiravS0/kIIKR8jHNTKLQZIBP0AOkOr9a+g1Fu3H5ufIGTanh8kOvLIo7m5bddu1b7h0QLIRDDNC
QC27fwEFeO7iBMifRALxtmeS8yut2Q/Ni8EzdLzLg1w5D77a36Vl+4Y8Adg1JeC2mIAFcv+aJz4I
HdkEUQdzUHSepzyvtWc/QC9HzxD66B8kQutyeEtk7CMkKGeC0oeFM4s5Djm6X1Eco8frs5jzO2v2
4/IwaobH+jBZ2/KubKI3JdX2Eafgq2A1PEAy82WSHIEGSgQwth+QPV8yrzBoPyo/Bs6AWR4mMAvQ
OtVb5qG2PGKgAGD6KAHMg4yE8qYUhNpyv0bwCoP2A/Nj4AyYxWGW0tZfd/EbStAQXIh0oB7zlGPO
qBnGoO2AbiMkmgX/3xqyH47HYTMw1ocZTlbQn6HUU9D975OY7xk/NGggApHiOQWDsv99We2+TvAQ
SsCtPXdbvzdkPxpP42ZwrA6THa8zyP1LpZ/m5r8HhKIjDEsDKjCPorPzEhfpQE1NcsLkz4aa57i8
xqL9yPwcOcNmfZh+a/PW7TIS4gWFOrIQewO9I8GxIQz9NI/IAGt+jszv7dmPy9O4GSqbjwfJhzcw
Jd1tap7m5r9fMQQaL2xhS84eW2JmAQVyfVsKIQh+jPOzsPIai36BzI97mWNzc5DYnJSd0m9c3ERH
DnRfIA4l/ofXS3fmYBAzsYQi288WgeeL5lUm7Ufn2dAZPCeHyZBPd6q4e7t1Q9kRgWIA1Gl++qvn
DIA7RzYGFQASzgfkZrn+b83ZD8vjsBkkp8FBrpjTXWOyXfH17VAh0KEB7gwweblQBD8SCEM92nlE
AzL/5wvlNZb8CpCne5hjcpgU+XSn9e427vRd274lMbOPoDQGeTwIx99fszxfQDMAYtCaKWdx/9X2
/AqeF7czx+gwXdl9BeP4rtF3b8gD7pkzcRA0BTwKMbM+QAF5pZAMuukfI9HMn73Opv0gPR87Q2h7
fJieTYHur99WVuYQcBzQY54aMWcryIF2QQfEGGi5mfm219iyH5jTn0NnuJweZpfTqdL6/l9VqadJ
egMKDfUWG1SAHznlLPhA0gk9TjZ0DT6WOmey8iuN+hVEz+5oDtJhJjn381F2zVsiBMklF9AhSPc7
t/u9GpDiCGw/erdZkvMai34Nz8O9zLE5zP7N07Jo37R/k4ojiPoMOyDxf38BM3vOozGC1UMZtjmZ
RZxXmPILTJ7uYQ7J5UHGmvvoudrllY7VW+49o+SIS2i/cJ6qzDNggLFBhZPbwBkegJuFnVebtR+k
2fAZVNvVQUL1obmLyrds1IBmJyJhByDhe/UBbCPYVgMKAnSlP8W7h2a031uyH5ancTM8PlwcJB73
D9np3ahu37BCQ6D8b8N+GkwfN9TM1g1G/AgjCVxbAoN7noS+zpr9uDwfO8Nme3qY2JTN/50GQajM
ECiQ/WiwnbVnCCgRSOiv5fwRvxlb277arl8gNRs/R8s7SLQu78Y33VyLYWMzkRTaNB+CyzzZcY4I
dA5CMeGnav18Kf3WnP3YPA6bQXL5+SAheXhQ37y7SUBDBifgvGAHwffXnK8hgO5+48eTUDBzct8f
/99btR+gl/c0w2l7mIrbh1i9YfgBHYdC9Rn49P79A9C3AVcIdG481uEgPD1fOb+zZj8uD6NmeHw4
UJKWZtCy8ab70SHkSALL5rFfc95L40ANDhgBQk8dgyAgvMDkFRb9ApcfI+fYHOaezrO7otAm63dv
urMD1ox0YGPHY4vZvzfUiiNJpLwvXT+4PKiRPsfntVbtx+jl6BlOZ4epUF/EcPTHu7V+2+oO7FXn
toSNaY+nnTiAw3Ot4D4lxbAt6n5X4ffXzLe91qr9OL0cPcPpYn0QHOH2P57c8vBMPwiiL975vz+2
Bko50GZLfsaY5zjBmQLQ6QG7pJ+qcTNlZ3agzK/N2g/UbPiLOzmM02ouwc3BcTx3b1ivJgyOPgGy
jB63DaJZfQf2SRNK4IAOkLK/v2bJ6atM2o/Hs6GzVXN5mFWEq3YXP0WANygfQC4DlVGQ0h7pwQyZ
7xulBTR52HyWiv7Ojv1wPIyaIXF1mNrnp7smBzX37cCA/lokmA3/zWQb2FTD4fwah4Ny8/01KxG8
wpL9cPwYOEPk04EiomCDwJuys/sONWxLByo4DzM/j/ry6J66MeiKfrg+i/qfXmHRL6D5MXKOzWGy
susd1AiKqH1TCRr0AIwh2Mtf7Hb6LkHDHo+n2tssrrzOpv34PB87Q+j6QBG60+271zyw/8tzBGGJ
UBswghao76+Z5ikR7FwHTcBBj3LbbAldv9asX+D0cvgcqk//b6jzr08b/HEko79rd8H3sxyfHTj4
n69+nwE4YXI29DFf3MsWHvjt+iuc9whdAuDdfpwRef9HHkc+lG32AvFs5N1Ot3++t4SAjgQQsB2C
4ZQo4HXwRwcAAS6B/nPf6vv91CjoTgTS8f5dca/J/fke0mAQ9uCwL1jKIL5yAUQECvH3l8AHQ3MJ
COKCO9DH4HDnx1GaZ2VmoKj1Y1Yef35XdPlZqYpW//ke6ojv31UP77s3llEg/wLL+y2SsGEFrARi
U93uLsA5wdvx/4kMHbIiieK1zkW3KWXBiFvYld4Qk1M/o22p3bQj+EJjyzV5lLlIjcrPEB5WadxY
SRCGnVg0rdN8hA5ay3VI5nxSss2WsWNFLlGdU27KkdWLjudt6o1pzNY6nESz6JIunDxm0YG7cNpT
xlyaMu73jkl9VuXjqg7pcSHTrncbEzVulMvoChfaCd2eNaHn8OSzMwyfsM5C7tJQm6up7ScPbsks
VG8hv6VJdx4NJT4GV6xidyz0ELShlfXeZIX1BTO1OoEhuPIbJPplVVrnKqwS7cdjMqwaUpen02AK
d9QEXU9N028SgsxlWBmyMI2Oz2xH89p1pvs7z4pUB3bOla9wki2gD6Iv3Hgw+ccoZmxhk7HyEg2X
BarxxsHqqkxL5kay7U8lNQvZZ61n1aj0o77sI1cr2n5Mq0SchSUm5yHsEBvdkjcUL0rTwR1n0pp8
pwsdV4qeBnbVY5ebOvPB5tQnuqUeLZ3cteE5dcORXHdpWq2wik8ENfYSd/GHSE5969sG0cwXfWx7
lA3ULbJooiet1fShqwveupJPrRvm7coZivaKapMkbqUmHFi93Xg0MSR3G10wwIN1J5O0V22CblRi
M7+DewnSsP0UFgYdO0NzZVJDPceg4kszJOYYx5VwcyNjn6UmiHDL/CyJogtNC1L4vSizU5nk9TYr
4hymOstj4VZ5yT9EneZnKbFC34pFfxM2oX1u6jIJWMTHEzNVd61NIuMWZuJBWKvobBoSfTw6mdsk
nHhE4vEk42noZpiHfldY4Tkm7edIl4XHWpGuY96E0WZoUdafj05U1rsmivQXNNTdN5X0+JznFdsk
UU0+ppwmvsWK7oRpXXOv7XOYsqHKm9PORl+GkXZbq7KtwB7QHS3yL2IYSu3lrKjXfUI7N1MEfTCZ
wNrPGyNvZBR3l5PVlV7Sh1nA6zDrvCnvunyFaMeSRcjLIvOyYhi+xNFUIh+bTlWBtmo9umnSYHcC
lAMm2jxQhe7ReV9OmZeiGJ1UtSOIN2ITnveVfTYwfDNp5wY1ndvAoR5BI1BerRyuKsejIq6bZa/h
iUGRza9ZKC+jsLpDdhcaNxFZFTTAOlYs63v5Ic5o5RaOVF4Sc3sVgc+5gL8QuYLoeKtrtZHcGdYj
LnINDzONR6+L9GCfakdP0VKGYxN5XVPd5MqquoumNQJM0ovE6sKzvitKt6nT6tT0pPd1z8dFh5yl
oSRep+nU1+f2ZMt81YU4dzzZmWSTEpSkgdJVkbkjKtmpZiQMBCnjdZyHOKirdnC5sCwfV1xe0yY3
zG2nTYGEtYpaHS9TmUVuyG1rwULTuw4yw6KgiXKjMUs/j4wYP0/qYSOVWNCizd0qNLhzpaapmzYJ
OweROw0qnvYuH+Lck31KvaTO6+MkJZNfdl217KlWXo/z6HTo2QAzkEzTZZ0htmatbE5H1FqfhsiP
u2zToTTy80xXmauiUgajRfJFUm24GT/b4cj9stH2epzCKWDwrk3GUHmKM1Irl1FrbNy6rG3ks44R
sU55L8FTNfU5cRpyCYe7xR7nlfRjhuPBM9VklqEVlsJzsjS9mRKnc+kohg2jOHHBQXzJUpm4cd/F
o8uE0yxsaGVxx6nfZlNkvnXx1MNVIRYxi2jmClV1yzHUtzTktc9F7KRuzAvslzbq1mFuMq8sw+ZE
Zd0XCCx8MbRZvyqmeoBVGpbW5LbVMHAvz1V7axcQbQJoddYnNA+dRR/hj5HgckWsHG0UEpXXFDJZ
ZsLK3XhqVrqSyIXzaGRQiNJ4uLD6ld0UaI2MwF7opPGaD3QMoAEXbXg7IBcitlzoCtknncDOZiyE
CkY7uwj5ZDyhI7EcKkdLN2zUt06ZrnSNkNTNK/C9A+4zHwp09bp2cD65SZTWPhrJWYNLzypH23gM
luhpXEVqq9AovTSrLM9MqeMzW+Fj09bhYujqzZjndYCmUX9lZTN6UV4NQZJl1UlLSOROHY3XzeT8
LZ02X0es+Vo7URd06fB3ntMuQNjgoOsg3OAmXstGR6tuyIifh3Lb4/Ci1QXZktwuXNn17HygKl80
lt5GJrnokLbOhzg5G2Fej8OR2bAas20k8mkx8tSB0Kgihlzea75gk258mjpR4bK+a72GjuaKpsa4
QwfzelF3KuLHU9Ka7tRoFJWBDZGzcW01ksptETFR7NKhNCjghZxQEIdONX3MFXKsz4O2R+MrIeTk
K6ZtD/VpISZ3THGW0UC0GJtVxdRHJhqe+FM/AZXRaUa3fYobeKwYJq6dJEnpItzkd6bEI3NRN9Uf
7NK2Yr9KmumaVN14nZdoPBZtgjddXehlbayh9fpcjNzDJu2PEU8HcP1ZAXPQx+3K5GgKcA4eU6YW
35lEJj7wueS4R05HXNgnkV/IqVPHOcq1D014AdSfhoWxZfS1tjtrqduBnWkj68Uga7wgTZsUbl6A
e01rAhOUmnRcxCiKPlETVr5I8tZtqlQD6cgJXalmor2PJta5Q9nhwYXoNg1uSSuyaaouj4PWbiqs
Xdt0jnQhcqEF0xDbXGlimXhadMqd0iw+NhoXkT9J3XdrFJtuk8WptbbqmgPxC1GXugh6oz9gZvHW
K9upVouU1U5QSmdq/Jh03E+jGt1olsTYHxOUnMu4qS8SJxm063CjvBI7bKlVOC4aKCCsJhyPvVun
Y49cZBqhXdGY9jqD7MkPtYNP8kTmzM0A/M8TUXTBNVuSNuxqV01tZ1xZDATGq9DTJelXkbKG3rWU
jgIyWvmWGp5E9wyozrwcihprqii6DsM48aIKhbEXdUSmi8rQoofHpUWeatr2MzjvKSAwSZvSwX9T
kaawsBnKXUA0rN0sRWZ0nSaNg6HtEuM2HbO9tuVT5VEe5x+KWkvs8TTugpbFpxUbqoUz5O3J0Am2
5rGsjFcQyc511nRpoFmRLWnBm8AB0I5lp+vezwpqvo6hjL84wLmvbMPFJqRxwT1lenGiEVAzP4xw
5JzmiBHPNuJzmxN9bcI0cnnE6CKzpsizR4bWjW2mxtNJwm9IRfvB07JqVgpyUYgltnOaJcbc2VYY
eW2t8A78qTpWg4UDU1P+ue9Tbby0yUW4sGoVS79Fk+1Gbd4sTNGSiw6XJGB8KNzSiDRIqXKWzph3
ARv7fjOJftgaHQ0XWqSNmxTD6CUstd0yreKdqYexdu2ypAusypa7Fa6aoLb71svLUbkkbOvA4jFf
2D0SX+3CHk8qraatrKfqYzVgwTzw58m3ssX60ilQ9jnCKIt8ZhLnuDRReKxEho5RFdYLAc/rBtUR
PydTO3gDqsq1PSH4gIlZLha0CkwhMHB/xAPGws4rRRun4JrzYjHwii2TzCrWIwIuXjnZcFk2GVlY
qAnaqk4+qKiJ3STJ+20CLTMbcBK9DwsQFovobSAs4PlI2igvtuoqSPOEB4bivPTS3tRumWtY6w1N
NpUCjpLlqAYC1Wa3ccrZtBJZPASq7vi3vi2HrzwfY+lVmTOe9rY9ksXQ0HLx/CsAXmSMt2VlGhXF
j9+/8OPHf12WOfz7/p0AP395//UNP3+C06IevvfhP74LTvq4T571/E33+f+Pv/Xz2wfuc+4fX0Uw
y+IfviniFyn+f7z4uvwffBDIY79O/3+e/P9TM3gY85j43281oHCeKrSDUvAqDoLE+jHxh/0hHIN+
zW0qoCeUOVB0e0z8CYf+A+7AeQUOulcLBKTrT4k/gVId9MM5oL/CWdNwUsv/JvFnEiSE54k/tHPB
P4IY5P2MgaVgxPPEv1a1TSu7o2uWSel1zOq3TdH2yymMx+MsqtlqssrEeOUwGGAdWpywlNaRC41i
w0VZdsjtdGXtMlhYpymjznYqQnLJk0SB66l44Ueaim2c9frCJL26zDXLlpDKq3UecfylrEIZZIlI
jqXNg9bo+u8enNNqtGSjIEINwFN1V023qEotT4URt71wTO2PjVbpsVNkxSYUJFt2RLtkbIvTEhgT
cNQw960kj49xr4d1ofI893KLE9+2InGc1x2Q5jAbP5SVzJZVJp0T8Ep94go+2uej1TlboVJ0io1C
p4YYq3f7ktQLOGoyW+LSjj5jRzlbbKVneOTdaWjjywmZ0of8sXOLmjqWi+qKfCPGxO6QG+5J3Be2
1+RNe+YYTF2cCBIQykbtNpnqlixD1ddhgA8hDUndWjXZsujK9KqmCSgLY0aTJWghycrRbesPdMh9
JAz2Wmx316VU4Ye2i4fztlTTrWMG87loOnIepdKsiEmaLSfJeA6bYpSHbFst6pB1GzTy+u+cdKPf
F5FYVH3WLwVO4TaicQQRpshWfTHYEFVp99VyiKsaZjziVBu7iNY0tMagUxlyU1QWvmbhaZ5W+dqS
1jpLRepHdTld076pl3Xds2+RA5RLJ63atJwOSzgKN1zbeZyf4UlM9sKxkvQ4Njq0AjIl3aaiJvkU
GeXciJrnQaJ4dRxWfPhY9UN96YRUnU6Io9NBIyAOXUPUddhSfZJ0KPtIgfMsczjnyHGHuoScdMxE
4qYZIeeTEeo0iui0MEJkmWtVUlwUqsK9W7S1hK+XIf0JHxQ6cxp4Vsqo5aGXTDS77cax2oacZysz
dgTygipb5hVXN50U6nNdxXhbRBU7z2U2rcbYjFtk9WRjD6xcNV0ZfWhpqS+TiTjemOtsnVvduipC
yGicgsmtXVf2TQGHlJ3WEU3XCmfVKkkymrt5qrPFQGP2IauGjR2DMtOXdbOyUBt0cQTF0U4i4xqg
wCD+hGJXk+GO1SMkAabqQVPJ2boEEW0hJGR0RhT2J0LTWzOQKvKsiNo3QhaXZU+mT1pXZjmhAp2X
MefA6uPQOmaWRjEoehJt4x4z7A0Wr3c6bJIzAblM5sKhks6tAoayLHoYFE0qu5IK5V5PrCYAgp6D
OAIgDoSoNe8y7kua5R9BCmj/htN1+sZtU3wJ2tw6sgd+XA71sigk9yYu8sJVWZKeg7CaXbAwW3Ez
tMc8nIo1TfPS1xWQ0Q6c5U1bOmotWB4ujCK1L3Q7umExJheVRvRuGuvSI2kSe1NsUjepWPpZIGu8
EkVlnVc2xF4AVCC3iVPbrzmuzqxmXAwZrzd10wM7dpwFa5N8GeoBnUJzUrass/M+DPvPVjiUfsoJ
Pk9QRFYFHKqhvWxA/bZAfXNLWuCIIUX+gEaxLPEwBn2GOyuI4dTAz60wdeVWaMqUOwhTBsVkog+T
LtOlNbaTco1hwmv6kYOQYQ2lG4Um6IpJa3cCyUD6jtNfRZOhCbBRp/KzJqrBzWmVuU7VoE1U1SCT
FCEKMLY+J3baSDeKJhKozBEueADkOQ1wycxS16kc0DpDGgUlSoCKJWn5d8bjaROWsXPOcsnXWrMx
d6fIas9Va6W+EKCRFZXe8USMywQxeYY0KLxelRO07WWJPBnmU+baMuNBTkrnkwNRYzvROL5uJFUn
+dR/caaWryAiTp5JdL/VEVXwKA3JiU544bXGck7yjjZnbRLWpwnobp+sUGVbneZVUGIdLbBTQr5i
x1XAdE2u0yG3V7yFu2xCWS5AxbXvJhF1pwNzqh0l9X1w6Sb6Oc4zddXakKG7XKXOgiROtOymOA2A
Lw6ehcP4DINS6g4OZW4f1eNH1MHUFzGbfGNa0NlGW27gODWW+GNWxh+ISAZ40PDgORZlNSDbTUsT
kW5ZqLFdp85UXWVduFS4SoLUhNNZ2hMaVH2PKtcAnU68ziqoy6Jxweuy3+I+so8dHKVfhtpO/cHm
0u0xhFsFS3yjQ7tagbQ/lpAjNs5NykFYzosBfc5ACF2BZ4rXYWv7xubsbOoS67aCRtTjqpXWIo+E
/oBVka1BEAoXnEb6PDODvIoGGS4wqtHHuFcIPk6EoEcYiy9ILJptY+q/Cz2ZWzR14P67pp20m400
Wo5kwP5EJGTY2tqwAgF5d4tGAa/vyoHlwKyLDinwaAqdQwNmA7E/SaLLjgERcZOuzu7TIac9r6M6
W5UxLGl3rO6zLpAUIKkQoay/OZDyrvsstkGBGqwTZeeBkUV+1vdFumpZd8MaFrnga+sYlIyh+ztt
+Q1T8Q6F3TeRTTeyHC8KPOWeNQ0VfF6dr5tCmKCp1aVdR9VxFQtx2Vep/SlNhuKWOHy8bkIY2Bfc
gkddmbZJj6sI7qI7rmpI0tplxsd64qdAtYqIu5OdIhYou2xpwEtQ2keoBvrdMHbyrG5rwz9rHt4r
RUSusn4A4CwT29XC6qfeC0u07AywnmUeV+WpqmqrvKnAgQL3cnofj2G6qFMT5cfSShtfD4ntA8lL
NzgyxTFs5BQ3zLD6CxJhlJyFY5xtBOh4zSWocHG4zCDFnwpv1MMEVZ2oZclXGY/aumI1CDsBjvsQ
0jdLpeW6For4hYXMsnHKYtFzfa1FNLjNGGU+MoBkG9Hr0bKHFWjEwjN5223hnePCyQTQSZASVENP
OgckDhdZUOVII4gyluitFXCRq2KKswD0YXEMEcT6GFsqOhlFhr2owGbbx1G9bQDNY0jR3DZWww5U
JXPcONxyNbW6JS5G0PW7e7pFJrtzYTd9s1FqnYaLVHDj92XYrmRGqJfWUi01NAR7JqTn+RRrP6mt
aD3RqF13YRgeN7mtjlsUnXAQkjwkcHUSh7z1TSTqLx3hmSdHZpaq7tUiabUTWBEKg0ZlZTCEtIKS
TAw5bRtW2mMA86pDle22mZ0vGUgm32gXAo2u0gpyeChzEfyVywKEZo26Qujbjoo6ZVdhTYFxeKrO
VJ65/z+J+/X3+v1MyAh8rwKkNb/O4ub1/e/124dBT/VbOHQJusWhHAyl0u8n+f5I4+BATC5AW6bO
QxZ3X9p9SuOcIwpJ1X0Jn0CaBztnf6ZxkOFBv6WE+u1TJ9lTFvsiG4fC9ePPz+u3AkM/wPM0Dk7y
gkIN7JjmkCtC15qcpXGy52UJEQuvpDRFNgA/lF4Dh0t4U2HqEzWQYCzCL6aA8iqwpSi+Qh1wP/hq
tnKj4qjbkpLDU9n0ZMFEiOGxhs3bZ7GJqk3Di+yyLIBBuHCS27oO28uwD0GkNl29Q6QCFcNvoG/n
SjdW8clu+XhW5UOYub1tNV9ZWEDZN46cE2pGtitQnU3eaGu2IxWHN9lwbtynlpfWXTqK8Sr9H+7O
bDtOJAvXT8RZBAQB3CaZKcmSZVuSVbZvWJ6KeQimAJ7+fCG5TtuqXvbq29MXrbKGBGLYsfc/bPyu
Wb/bRtdUhMUozW3ehaehGZMoW8trGJw+ulDEpwfjs3HLQ+bM8nbmABdHL++cB47cfjrsebuc+gjA
L9RDdRibQssj3VDWWzGs9RG4LoKvqCPvepyWiGHpPO9SrCa7KXsxJ3OlODqozLtTGhkTnIV25SEd
qy+y2dvrzBT9IYh2eQwGWX0YyrE9BSKVRydUQVKnvnn0vHK7a4CaKZPGubjo+qZ/m8a7G0J65PKK
ksX5OI11cZzHdX2fu2N+rAqS/YOGvAofgbVAvahGnfi0D3veH9YydfU5jbO6SMJdTt4bXfi7PjvQ
LA+DjuTnuZf5flC16T/KTEY3vDdBPKzGt6NcCcaC01Q8xFXgeofNM+KBt1oS/+s+4OMnv3ah10HO
bkd8XnMSTmNPSQ1b1pyiYBHeIcrjliNz0G11NpSm16Dpnp88/WcN0b0nlGeDOui55fe2vOFv4MSq
8KZv1/4jED9FeDA16WMpo6pIgllFkO7SKQ41xKU4ZmsQP0Zd5c9JO6XxIynylB2GCOKYpSnFgycC
HqMBPLgwYUdatU6xf+XnU/C5X2s9Xkg4soLDadyv43bj+lsjumsvE9WelHLngUI7KJ622NpU7RxP
TrRxA0boNTuFWcnoNkvaf6xN06Sk2pQuwIeDXx4jziV5jMJOebfpUpv0PE6pm11N/VLsh6wrp29w
CmAU1c6/YTz42Jwqrb4gxZl00jntMsL8OS4/kOQrKcm3ffhon8rdJgyM4GBWvrPr0L+SqpFX65oz
Lfs49R9VNjuJdHoeIoVJfhsVi7p5uqIKZ2iBBXjjytSCtakXj/EtTZY+mqGaogScIQuP0njLfjEM
Qn52t22MEpmt3bVyIVm1J+DndLAOAOdlIN9l5RyfKl/n3VXhF8N4StXs+4n2Cj4/82sea2uiiBOy
Vn/Jqdycx6e7pPSds8t6k0Wb8KJObjboFavM8XxxGw9II6hSRr89jMowz1Wz6P1+MlVXnXl7GFOK
GNqOSbm54+20oRmJ1dhdb0PHv+OtyMpDFGejOjjdXlxUncOCiBtdXIToV9JDWFIWywam61zovv57
3wNWZKkcu6aEV1M9BU7UXHTzYrrrUDTrnOR9tSZrWE3mOMXefjnuyty5JlrfLuXWf/RZaX7iwqdE
rNO2EQdE9DBuEYhwH0QbtI6joQw8MoK5aTM/QRAS3iqSr+sy3uJHJlPlsD2huCvzbdoP9TD2Hyc5
j+k5LL31fmEVX5Qmas67LyyflQXv5mIav5YOTQAPNWDgYx3X632knCYJvYGF7Q1m4GEYgBvlkgkl
bVN1PhVh0I7JZMCij0HcjjphyBbQiDgILw0eta8aHYl/Em0X+SeZGofgMFbyKstKeeW3dnw3av7H
AX7tRs3UH1ywMW+MCORJUolkJ2fyzcHTqYgPzSD7K38t/IuujvI8GTgx3rWib+/qpQMIWKoazCes
cu993O3h2THD9l2Gjf8qHabislwi8a0Owv0xyuY1PLuEwBs9qOK7r1dDURBsV33Tkt6XdZp0hfN+
KJ3hMffkeGx1NXWHGoHBxSac8uCtTn0j1tbwvbU9u1GzndrM3b8XGyBY4pt6vI4CAwq0lOEGM7un
/setKsfryaShTgBjxdW8D9XrBi3yMTBmgOxfJw+WBZXSTWBTUQVfyEuacnnao4GScd309qqd1ui2
Ns6daBxvPbnwi0NSRcsobuonKcJuVQlQgBeT1Snsi1UsWO2CsSqGyuoZ2mUgmqBwaJ/EDqJtP/iZ
EXAwT2KIZS78m76imnqf9n73aPJ6uK+NfJsHi77bPFgek43iLhUivG+hKQ71vE7RG23lGFAe/cnN
cvcD2Mp6LVFt7BnyjdkKORBkdcNFYNouZn/0IE7LsNqNby7XPm6SGVHIOGbdAYFLHpxqqxkxVj2y
pXpy341510GDhy5lHDqTsfSHFZZ/ogwH/mjdY57m5lPa8yLpRDyJVdwn4QraJEQsjpD1aUFbRWLt
Tg9eW0UfC9pbjByFaGBmq4ZpXKe/WpTPqjZ++WnleL829TzfTlZMM0T6dU8hOh0AVXqVhG063Yxq
L4+LjL37jQr8eltL8a4Savp7kevwaXuS76xPUp7iSdYzDXt1ldVVm/R6+AA9lr7Lc5EC6KAI4qUO
680yCT+pR1KaUA2v5tF33gzDpE7jk6xoC5vv9WTWG70XyOCCzXtXFtPyMSoQE2VNrt7GfRy8WWeT
hYfqSbwEHN/fhk5avXZT7bXIOVznnUQEdgzlbE4MV3hYpFpf9WPTfipmRARB179P5959VbnD42S1
VLlVVY3Iq4SXXZUomm6cLZAfjMkQYYXVNiQiHcUpdfL8GkAle+NH3fx6DodLiuLpUIXedMhdMRM1
u36VNyafwBWRrCZeLv36mEELTBx+zq2yKjGXIrYxUXfp1eKvtJThIasVai+vk0lrpuqo1rpGO4P2
bPR6ecoBrDgp4nQ/ZlKrA6QmgrX4Sbzmeb3/LsqkehvFw3TfDXLmoG8X4LwSjqza17MToobjBTjB
oZ+z98oq5drBKY7CqueydgvOiBya+6LsENeVVmfntaI4oskox1Pvrs5hnhTwyzbm+dtmHfxzZRV7
rtXubVbFh2aFAKWy7jURaLksVvpUHacmfudPLgrAdqZCnOBGrv1m13d5AIOXbFY3OD9JCHOrJpyt
rrAolHscUnUVTWV001XZ9t59UiIGzfyYz/mHMm3SBIdwREKxLtn7pY/1IRzXiRN39F8pK3FckVQd
ZJwjwpkV8zANJWrIpnGBxKJwVtCrVjC5PGkneyujlE+KyjqPs4MOG1gMI6PHPubBl34d7tOyC8/j
qtPyxHFoLqNyLI66RmYTpenBXQdxR3Xbwj6UuTwCOY7XnUQ/dXii+1dLIZonNpG/WV+HTxwjIMLy
rbTEY/REQT6xkbklJvsw1JfxEENW2tSqtwRmbanM/YnVrC3BWViqs2yXAj1WBBLXC++YbkgdtwWS
u7I0aWUJ0x1G2n/P+Va9ntraz5ekgUF+C3HgJ2MVdHdzs2bqro4d36pG4+GwTMgQ4f/ll4oGLNk5
Vm3LBnLJBSslqjcZh2y21OsNwszxtM1VDO08Rum7kTTgtVf3CA/bzc8+hM3SduBXJTmWjD9msNl3
e2rK/tBkOZDLvKHqC4Jb3SKFO8RaO8e5C+ZXfldP16vQ20UEyPdWBNP4kJvmlTb6uo/29ahjT79p
xm78CtbhXiyTHqCmgvRiyKJHEjVzDpHMLOEg35XLBisRLFVVncsVpe2rMd+NOBfxviOgkUNf8o7S
tisPjaf2u9l3+y9r1SBNI+TVy6FvAQ78Ft1Z66f7TTUPTvN1W9bxrRNv+xsH/VNxyvoimL9EU//Q
z1tbIa0rZpl6F41DcLtCPHahcz+860T9V+/Xa37d1jpMb/zW/TyZuH+9BiRyRcRauKpMgRBiL7fq
FAGvh3e8Yypw/yoa/msAKara9G3Xj/ocgEgPTp0Evflrz2WXSH+IsvBt5vX6Laff1dRwgprLnyr5
/1IaW+Hyz8Jm3j2G1TsWSJqlwPFNdf4zv5nFZt68jLw2HAZ5ZXwqUaBA7wEaaPwWD6K4+P31gpdK
auTYPvwsL9IKXWmNS79esM6XDZRp7C7bZohvppzUfSQwf66cqcmPXjd/zWtXyttsiWb/ahiUn24J
quq8eV0GZU3kY2Mj82zl8KYZFnELb7n3rwbaOzwiMopPS9WRAEp4VtK2Ro3f3Mz1Ywp6Oe33nnJS
NBNrhaYDPeHHqS+Dz12wmOl+hLgezzv6KDMmraK916edeqJK0milYMvSwCfXz6hFKiLGQxP6/UcU
1OM3lkz7N/rg9t6PMzL6SY/8Psr5/qPbyHW9yaiNHBs7XQosgXp2d8Z5PMclhcNFlHXD5cYvDm9k
1wt1MeRCradRRN3Hp1q4UVpgS/x/8M1/mXSLdvw66SFMNkhNFNDvN5QvJr0iQ07V6HaXwWbr5aAo
qQ1mMPMM1/DvLmQ/6F8XirFy8FLVyAd5/3Wyo4EKDnVmd1nnNVPcR01zmlrN/LD35OexiKits26l
CNk5ZT/+r1enOzvWaxVJOkjEwQvRfu9sIkR/BLtY9t6DMgb2UhfbnWjr4bJbHa6qppAiwDENZdvv
Ly4QQrx4dixE2CNiT2BU+dezmzJAD5oO3eUoej59MdksX4eV9h7aEmLmKIXi4Re5dddT1pOjukM7
U/hBNdeXmVzFw9MN/XCF/Jj1Z1fDzyqRn0Uj/z9rVL7+7BT/x19pkUpP/hbcfGG+/g8s+vR3P/BN
pf4P+KHPm5gwgtDT9D8yFezH1u0XM88+WKaKWOI/4E3c/X5A/2Dl/3i12Q+JiqDns+/R8SQWFE0x
L+D8XyQq/q/Qpr0ih3aMHcrD62Jfo/brHgNaGlphquB7JNKJ0Ehy2XOMuBZ3eQyCua8+S2cgtLV6
GzdJ0rYGqMmdLnW/ZO0gWyfpvLUKX8V5sM3HKnZafWlilNNkfg2bCPXZGvRfgmoq1+7oQPCXfpIR
VsT3cMVhcVfnYD+fCTZ9+tVvfK1uMwW84B8aUYzciuyDoXmTC3cy6F3qYKj6g2W7mhsBucstZ00j
tmuv8dvyb2dcOv7m95sRu9hPe5H2Pi6nKgFA2q4ZDNcL+Bcgo5hz1ITfYaLbUl9OjazlZS2XcQgv
9zGbCpPsRc87Wms3Lbz0WR7G1vrv+LP4VUXE9W2zTp8zj6NWgXO/OPT20o9GRFDFt1JUPtjT1AHK
IxmIwUbK8wCyOkzHIYcsyg+OdPa+fWukv6HeFRK4xX81qbwdq0PXaX8AKAoizc9+P0a/ZgKQmjSo
kpgK7KvgeE9i+OIe17xwvHzwnW+K1N/1jhmEcKjPdSQnH4E3BZ36BDiaTn84I17Mjb2ujHnRBm5y
bF7+y+uSYHVh5/jRt2xjzSny0r4eP+SkWy11e1nMxZs2zaeJaiwHh1Z/iNNwDD8vDS7P+cfp5EFQ
41kPXxwSWbAUjrvm/jcnrEPtJ4FxVfCZjeRMV2BoYX1bOKITyBH1Nt9Xo+vu+QHbas2g/H4Cfs2M
mIAAND9C6mab7+LnfjEBkypcssQ2/QoQ3gbDRaf7Bi2DkzZjvF1s0bAyK7+/5L8fni7ACuaG9zGQ
BEn319iRh+CTQInDN6kMu/y8CbWL6hwMZh7lqYhSqT4hzfE8DSBJR4BPnbstAzlW0bm9+cNCeEHS
2AGwyeHTRuXYhvz59W6yeC+RH0zOl7wYwsa5XKfcbohm7fKxS2YDRC2TogGYAe+PPRwDh6Bw8/ke
lRHcYeuIob2PkUwN7VED3Hh3zVK045ffj9mvOY1ECMi7ECW5K3pZmo2+VATOJo0GV+/rl3WYBhYB
am+XwXKhElDGUkkvzn3vIUhn00yms1+KPpv/18Hivdq8GhB1LdZI8OmXtxFpj5pgVN2Xtg4cYnhJ
9ELMvmzutAXXfhoQ98dsHqrPTRm0RNQBj5UILiOndBYEdDnR1kb+jeqJO9zr5VquVd81fwgr4uUa
wyfiq9CzPB4zrF7mgEge2j5ud/8LUgwA2hPccF/Pb/U+FX2bGL1pbs6htORn3aabbjtG1b4596bv
06sRULzMkmZHP3jd5BrmA9uUq9IJMabr1HeqiTOkCp4fr4REzyk30b5y97jmU1G7G63/sE1fJHZE
KiXovhQrFxc5ry57mVayMlu9tEv/KQy6oAyS3qXc0QcMnnEMqLSHDqE93Z6jZz1LfjY/hZNepBE/
Ws3kK3yexv/zhpYvozhth0lGAmgaz7eB5MVJV63V2KR513/qB3aRPvljFcnXnsj97dof543hiKFn
9scmXzcQ1TkfjM4TAr5Rd5neU+dyaGS5Pw7OPKpbQDqbIKxyaeoYXWpgp6cb/ZglhLg+WO76oaz2
xx1/oMH1UFMQeUnB6DNBXRvnfNNHTw2E3awrc+cH5caXcXezKTr2weiP+KpmO3fVmhUkGPrp8nGU
OZs5IEUp+YiO5IE7L5zW5gZTHzTV53VUrcYtsAxiuZd+t083w1ClACt1M3gwcVkKcEQibbKPbUQ1
+Li4i2CRhVFGnrHotiNF+X1seBnCGf2QgopeQRIu8182YUrVNhNxX3/aBRBPdlg9zFUjbpOyq6/8
WRsCxe+v+DIaoYGWric4t4XtYvjSmDzi+QNJ8c1Hf8fsGCRmljb8eRgIOLzVogP1KS0Rf+iDAa8c
s9chgYV1+vvb8F4+uR/C4FNVUtC7nrVL/xq7d3+ZtROr5rHBtDn5h6lDK/2907kmGuXV2AqkZmFX
vF3GKCPiAJd32QlPr7d02HKhp5bD5GX6uk4jdb/6Qw11NBqhljukWG6R6GCHjWMRIbUsXZlSUuGN
E3az5y7rsFtysourtKwmu/MXGfhvaFET9tsBJ4G/Ln8AMl7GtYhXfyAFtk/N0/rUBL8+caXSvDV6
DN/jtnRJYoMB78g1FKJdt5IkS17mwO4s27WKfb5kwNI21KneLml/Lo2X3oMl2W96utgbMInew5N3
KvU+uuKs6wWi+2IPtopdl5rG5tRiixp2Zyg02+gPk/hryYpIIkC8QWmirOEd3fuLUkL7bbN3Zeu9
j6bcZ29NPXhGcTFBD9qt+7SPISA37g35u93ixEobUgaogeqzk+Mtu8YuZr/V6WqsPtdxGWK8MrUd
B72ZTt2mGj8tqgrfPiIiLTWeKycEgO7hjPwx2TgveNw/PNqLLJNHA+OSnmCr0FyafO/X2ZrQ/ob1
3G3v/WyxkWoaNEtrr/ei+zq5UYWrb5s6vT+GHm7H6tA4nWBCVpwp2XbaGyUmgFPfmc17stSB4YAr
81l9/rITTSCmYpYYlvreRreZsHlZeD1mPDiqxkbBAjacf1FjCYaiySRDMU1h7kxJUGNjNYc89kr+
9Tw+NhRWn38/CC/2KC0UkCZwfgURZaf7r1RXmF2qTWnnYWnCjujwnN56ebQuFS5vL8/aP4WFF8eR
vaSkH7vncizR5u5l4eWWHSlkv4YP4yxYIdPGS3yKC85+xkeWveyCEyRrh8pf1bRSGBD7pS0pC0GP
UTKoUaa3oQKLxsc9yYhgwIZc7ga6t3ECNA4bf6Jbgbr9MW2ZNi1DudZRy15hF9npyKrVToRTFoIv
MW6n5c7tmo47CaqKs6lSk61Tfz/aMvZZU/9Bv9hOyh4CBAkhJFnQy8qGdHBEA7duD3m+qTo9THPl
90lq3LS8Vd4uh+2k80H10SH2vLjMDwMKS/3KrWcfy2VPtuNcD1njyNcpZn7UBaZbs68uloJLk84S
D2HYdvU3ibZkQE2jmuGz2UVt3shFuOt+jMo2DvpEkz+O8xmhToR5RecpWliFxVLcIDAV8bFth1gk
5TrNOB27FbcYRmUoV4mDdq2wtB2WfTAbdK4TlLI8A3jN8l7V0yazxF0FEtKLPjZwguRvKXLBKUc5
XiPDqc2+U9ayFPurFS3vDKHTl+q8xGEGAd846/5gVOcVj7Oss/Too9sRyUZ92m0Y8xARHuPCM1WS
BXV2iUBpOuJWMOitca+5F8KI3Dtnzhjl7qmvuka+34IlqxzYdHddH9Zp9afXzji1zh0nRjh/Q+2g
hvfY7DKo5b7rRD6+i9e9ri7SAnTjvHcyarpDjFbAy5Nw2EcdfRFYK9tvqE+7ZYX1nDb9PZ4nY1zM
bmYU5eWUtjqIjtQBQa0u0sap1G0sQqeqLhbVe2Odf89hGyZGeRV+NMjXu98tLGlMvWOfv/OVOyn3
1LYSpuVqjtMir2/aYK10diqXbDLLjQnSrCjOqWzMHNylrefrK1XKPIvOrBWFI6ZfdpdjvR6jwkAs
OlLpCX55gHm4gv12ckRBRcNpk1SxkQTYpS/m4EPnzCoYr1gcxknhkElbxO3ck3XFhwn17are1F6I
pffN9PxNpyhqfgbgKrkcClmpv+wzBM7yqlRDn1mhmEMjDZTqQTWj52pLAeMSyMWei27gFDxO5gcc
Kp/XdMPmgsUxj4PszWZ604dvy9QpTY0B0Xe8/gpOKY6WN6r0gyI+6Di2mEQ4YBatHsMsTZ39Wsp6
ZKQcelqI5jVRW+fBteOnQ4jiAcBX1G9L+N8oPZmSQJCdukLg4k8IWfaWtsWpXc9KALYC33lPS4jo
2E4uTSo+eJnXcr2mxGf7fs4irZOBOpiR9aK54ARJAHHth3D/pCwHrWOb08uczh8UBrlofXUuc2NH
zK+nii/dmE/OfduENuTLZcoiegaYqWMB7C35xgUtYhp+r39+VMRbO8OnsUkypugdUq5W54IiEz7X
To9A1+YFf4l6tePcyrgES3JmZ2AqHDQDufyuNQWNPg9FQaaVmEhsKDrA3gMkUyz5Wc+POKnnomW8
YDO6ixztv1jpJxLaWy6YafzlipVluTN+pL9gbrILTA2OnXlYcL5Xx40dmmUR/CpHbKQN97C0wPxh
8uN5hsH39RcAt5zvBWvfqXtscWnsJ9LEAECHPoT/cJG0PK2edB9jPjIsHftw6bQ9DcbMqhmSHzlu
HOyB/Zc/BhXy8mJw7n8MtfP86/8M8vPvgRR41evQ6xtugM4G+fKlwjtVDBdF6288tPZ2BAaHDPFC
4d5TgGddDN/4NFEdXWBYalTe85BdtSLe0uAgKstpvYmbuWOUFq+p+RWvB2MbEmCOdIlxgG026c3Q
zvDNOsxc/SV+HkG4P8kTwhrbZ8q9ghot6btWGXG5zZGtzt3nqX1eHiqtasZHwW/zJQhr+/Cr2nLW
aSYGe5lc5opvbp12w/z97hRynl7xpL4d3ueFtKOf5y55SPspAiKKv6Npms/qGqfc3vrzgGIB2PlH
V/udDE8O6v2qvNoR66/9RWYRLfdkCrwLy01cZhb5GPHofSmW0NNfhMpals8YkLHy8HTJYbmOYNn2
A73FfkEyhcSB7iyu3Q7NHtj7b2eV5eb9XGd1VpzbLOJzc+0LvEPYq0MxXfvPa6Uox3gKL34MeVwu
A7eD3KriQzgBOi5e9kXFOb8IzAfuezK3MlqOGAamFqffmKVcHA9+R8k01T3YZg1gAGTDNOXzVdhl
djvPnK98r6KZUBmdK5LFdXvlx2MNtYRnzUW3WceybhY0sBh/rkQsoJ0POUQgX0gag/oWTyX/vzUG
EC1wkYs5Bw2WX9N1YUoBBcxQcnWRZ93yqNoUS/4p3Xa79nHWKEDi1dceESYa8nrGEtpwxDb0NGnT
eLwKYo6q9aOr1pJ4k9VdV1WXP+DkcqrzoTzPOZx4/3WTI2a0y77MGY4L/2nP6A5VItOemirdH/08
6sz0HotcbtTl9PzoK5pChsjv173iiarMjMFJ7a4gyk1oIfiZWHu7asCr7BJ/xk+jsTKMgJhRpjqH
qSg8vgwscH5fF0ChDua1HVw5ll7VxnjLik01r/1eDPyG2oStYZdgHllXzyDLLoJ6SM9zq+lidJWl
eucz9mfoLaUsBzXUgTVBXKSiovRtGmonHFI1wERw3VSYtXBKSFMAwqN7mwiVvko3zrxxI9KUZ2o9
O3goyixU4M1RBRZf1m3Gn/NiTZ7yoyE9w/Vn0nEYitvYLy1ISRsLwk9Ypb6a3klgrC09rWmJa+Ws
TE+DmSPQBRw8BDAF7ieZIWXU9F8wMZO/O3LnqVTb2GOjCVK73AaEjCy+55Espw4k2i/cwl9emR0X
X/iu2mfj3A8k06AKe69j9Yl4y/pyTL8zAqV07TOkfYsd8Ux5aVGquiBfJbOOm870n1S85Zq+DWut
6luldL+lZ+l14+T8bWjOtaYnTjSfjmNjDf7tJFEtwuERRNJU04ObafpPJSi6/Hy9MyG5jf4WL8Wi
vY9jGgFNXAw4mWkw5Hj7WD3ucvZkB8+sKDgO8OwdOWUYBvEsZlZ5U8YerX26DffLITQwU+vxx5M8
zyXSTABilEIYjnmsp3BT14uNf/GW2WhC9m83bzE29jfaJ/Q+LT37vUC4SGGSLdvsL6Y+6ERzonK3
3EZRI8HrLjOyxfR2nzaBDoeNandl3Nif/Fiy5JREIqSi9kfPeLgNp06WDCsa6PAgvMGN3s45FqDu
gMAP9Fyil4u9K6OxfeekZbuFA0d4Ir7gJyNa6N1lfUsX/uEW3NLeeVXANH76caFgiDnSNEvFuX+u
2Nqi3EM8mm0/y3fVc8CqnoFGzbuVWA1OrS0IOaLIlPLYZI3u0kOu1ezcz0XQ88yTgcVbXhVeZtO4
HOmfcx8utb2t+WnDOV3FOXLAB203ee9ZmvFIQwq7JsMUOTZtknKEDg1Cu5rdeH4eEHBgG/SqSNkU
SyLcKK9zz8ft9Afg60VBD5ZDfGAFewQ3Jf4FK+cT7hHwau8ejaXirsMsW9kNpiPMakfaHVQvAC/5
YSm0vfc/VHe/1nb28soSJ3hEAsH1X+Csw7x2jhlDoKrn0FiCAXMX1AHspN9f6gWAzm5yQ9flWkBW
/L+yZf1PvQdNhDcrJZX8Z4241dp1ie5TKd+EMZwVERkpAV/momSGO4nGLECw8hQcf38vv0II1jkD
KiTs24agw1nn3q/3ki6+B3xbZve8Ho8wVuDgIESPY4Roeu9Inf80zv++IB1AAQ4UOgrAxfgFrkjv
RFfQ4CO90yuanE9ZxYl/FeKasLDm087+/QMKC9v9p2i3Twh2a/s90LhfQEe9uOBalzJrp1rd/YgY
Jt8taL8pf6M54SrHaKGLWLoP72ZD54BjM+PE/oRWi9DgjLvkPPrDHf260rkjSin71nT6WQQSiO4F
0LjFroPx2dd39fOmMuR17PF1rugNdi6ipWAKcjlv7MzY53AgtXByeyNl7+t5TxZNZX8OMBfTgWol
tGwJoV7z6+yPVNzisqSeTMwzn9U/h9nfP8TLaWTiMEvRXQe7De05XrKsnLt6QoK+3OZjZSPT/pQI
9fTzmd9tTjTLm//9eoHLRNr/2Tdj/bpOQ1oRMMHufPvj2FuzXJcHtyOy0hlvLLL/CVoLcDtG9kUO
bAzeioJy50U48A3acqSb5e3zsUSSbGcjrGr2BTYDe2D8/gHtB/60TFkQ0E+SHYgeRYJovsAzzbav
tLMKqsuwdVABJ2GDIO2Twrr1xy3470sxdRG0VySp9MOXz9akXrPNmcoun1ORJQAdYR15uuHL75/q
BbfGp6PQiCHjGUXqACLrr/PWulOelkjrv7qot//ZVp6qbKo4+I0tJw0u4yaxgjkvPIRDDdNxqHdX
4Ovw2zV8XxqXIPiH+3qWiPw04GCYDEGMcOdJMMA7DH+9M9eFL8IsPl4Mu+fmNDClYxNTPKMBm7u/
x72FaE+6MQPzxfiR7lSxhynIJtFck0UgDcoSujiBSN14EkzEfdukQZZ1l3R1gqu+TdeiEuuWpB5U
2MdR0/YwOw2lJ1t9aup59yY8Nq4am2M0BECAN/5KKym08888Y6Uokvw3Kf4bvb6usnyJkfLMiyqw
obglEpJLCqCwaI61U/YskR+JU+jwZzmKRmOXKJVDxCGmnsLrcwlUPY0m7Rg9jhRKVpueGKyLJNqd
F1G/tN7McJP6qTm89cfaJpnOc2TuIW2ZN7ePBH0aqhEB635oxyFui6Pqw7qcD/9AMZrjHEvhc4L1
lNnB+BnGd9eRTS5CjRHiipqnUh7OxY5LNhXVDk3mYFGKLKlpGUKdB89Ql/V7n3Q89m/VNtEn7KpU
rmNBinEZwH+35/owNsjc9TGv5gY4GGQohP04IK+PujShnWhm6GKmectO4L2NddyH5pRpehnph2CL
l717gAexTBu5qeup224aITceih4UPKPrg0TmcM4HLUSZNIJk+O+NkniMXgVqNd4nEazbFN0C56X9
uzaOy8pD+z06LhU6AW2lKeCUw/Gf2m5jbo9m9fZhwyIOYrIkpIwiwGFKlztzU9HxZtzpklOagio/
jgb42iJ3sfu5+C6+KLeptvyYSgoBuuWF6G4/tCBCDhLoZyrwR4zU8PSZuon+L3tnshy5sSbdJ8I1
zMMWQI5kciaLrA2MZJUwBIbAEJie/j+g1N0l6f661vs200IyFSszmQAiwj/34xXrSbGvs9Il5/jH
/g9Bftu/wjDbFsPfL43ya5dae6XgKNnhZlXYGTvdJQIGO7HxeBumAF42CW0MnlhcGv9R1oFW7qvc
SZ0wS9Pp0VlyyBBLPkF8sEfrmBNUP1XdPB5RWJoHrwNoRDorAzg0lDpa9tg9JVzURzuFthRy92Uf
RSdBmel5E8+BQZyTQPtw4BCO1GXWzpUv9e8NCZewnqS7oWsgA0LX4NvVtW4PlsPeFU2ubteiHPQd
e4ph5y+6VXLFutVnJtWjaZBz6GwtvarGftg5PdI4Bpn0ODYqiLNg8u89mbX4DWT+I+/bJC6BVYaw
8urYSYL27K9mtV+Smul0LR34nnCHanjAtbef+CtPPufEj25u1AE/RvKjDQQQqNko13AJCmefFXrz
KAFoEY5DOiIuaDXp8zSv/juQNQeJQVVPk2/mO90c9DNu2CyHUKBZ1zbyIdTpnvaWwkvuETVzfFSD
FfwwGEFxzjKk8TCaRZbv5VJrO6Ovhod+tBFCeBTEPSSfs9V3EGEcwi1R4gVJ5r/moxksJ5wR6rM3
7cLYNUoOHL/yKlvCEcP5T39wPBBTidadqwCbRGwbQ3E/j5bg/FY1V04/GC3O6qx514teAjWw9ave
JdnFs9PZZrvpOJ1nttkX3RPjCVVeO+fCyszY5+n3w5gmQpLr6hsZx3mpvU2ynX62mjZHEEHX974v
GhOng8TWuK49V25WwrTCydWpWK6TmM+uSuF06Zhzb/AJ8yDmqBeNk1VaZ3JhpTx3cwumVSrzyimr
OUSBfnEmoB7QEG5sg9tn7AkAIXmCeUjnavQIA0H3s72hvpGZ3b0tcmavqDN2T/sQpvQsROSBAZWh
piz7nYl5E1pmWRMzg81o6tVwPxu1IDa2QAAXw5A+t9nSvnazrKBMzWqOEoN8Q1jw/pgE+2iB3Hhz
Bst79qe7wOyzMqrXsXgvKrmGDJ+ql7qBHCKJHd0HDDdO0uzgTnR6ciaCigPbBwFdMIcgGIEQzIsm
AKyVRjAyVaAefK0hfmyI4L3T2GzFPvvGInSKvr1zJ5cEhtm6bhTkq3ccjCa7wz+E52TKumezqcH1
qtk4FHJ03zsreZ44vz+vbbX6h1baMJHbKv1JANM5ZIOn1I7t6fI4dIGThJ3dMkkW6UDeZhxPbiDk
oWV/bIQwWYLnoB6CD5JO1lPRJc0HUJD1p+ICJyLSmBcbw8NBZ6WI27kdHtn3aiEZvvFa63rxfYXG
dbBKg1hBjcx9kwH1Zi2beSLpRe6jUznCPRJeSCLZ18VBOKp7xnNm8f5H82zotbUHHNq/oRe2d0Gd
dUdjKYPHqurWq7Qv2t0MFXo7nlf5TW3rw7lT9nRXw4N66nzf/rTEyMPBbJcR6mbFzYPWdmtYg7qa
O2865dNsNehJfn1IyDjHHNtxfiLHBKdV65JrmJzdPfTm7NlH0nlrV394YsFPj9xs3gXC+oC3ys33
ZZA4kA1KsnlED8rYX5ea+BIeuT14ouZOMBq4I+EsCXfKUt93U9G+yUHZ5Dqddb3uAltdYaASqBZV
8wSXBER6llbzzvKEfzSYRUajXO1bf0wtJgad9kNLTLxx18Ts1jwAdjKzB489hdTuXwvHGr1hp5NZ
KwdCqDK5njSZ3qH+lDeavdQv5dC98zMA3YfceOkrdjCF8oqbOSiwhTrSyM9BI83vSkvUFJGwgj03
euo5N8exPWTmhjEJMsMjw9lAIw70qg7OVebLmPmyvYYjc/gYAGvlhcU6BIC/rKS+aTR8CFeLRkjM
jl19GrrrNhgZQBlkwGDj2W11a822du/VQS4jd+6yZpeBjnoo0nysdoyil+yqggaTx1pXQ0BZksTQ
Dt7Y9+sD4J1OZYdt66HHQTsT4hb81popFWeBVgBw1/DYuUROpZLxgopT9JGljPRp8lbQy41eutfY
CBMjngy2iFcDAsHwQkSHhC3PkU4OjsvGKa2xOx3HwfXOjjnrdfG0WktijqSVW1CsZ5OHnX7ybSYV
YLmWGgjt2Dvqke4BUeAMSktyYh1Y01JEmh3Mj7mFmyck6VjeNwSI18PEAbgA+9KaRFyDYq4js2O+
cCE+u04xxj0I3Shu58Ic8ojWLnEetGXui9sSLlKwWvz6a32uAPGYldjcY9J0qtuB6gEfhoxbuKWJ
8N833A8+Y9dIGQvgItuAkXMtMqbGgH6Rn6N1mNs6tKqFgZSnCnGsc9tpdunkTBeRI9/GxZzPRyu1
DT92fT3zkOpI355ECheJtKTjLSFJ3+XJHczhRnOC2YuqIrHJ5tiCaPKClvhiSOAc4watsjpJuhPY
tmHtUsj/yozYwmVaE+EZwCI3hV7mPiyaDbk0apW/5DCUGbjwBxqi+nR58xBqfXeXER+GWtUaW4C4
8gwv20lzbhznYmijq54ZMlfJsdhQFek4fl/XLH1OM/k9DaRD6rydqscJzwnIjaQ76CweOg8Jt2Ms
561X5WKWNzD+1H7MuiCSrVxl6GEfJZpXOdVjVwOVI0y1hMrPbZ6v41B9Dmmy7ukNYLyYzsmFyaev
RwbcozZeWWzsu6DPrEcPY1MX5yMaFNfDVlaBT2/6YTRS3Eu4z/6u97z0mjKA5lG1/ZDu1JyOyQk1
m0CvVs3BqWoKmGt1W+4FYMXHWujGLhiy5kokjnYxxWxfmZJhapP2DNUDjkWxaSaUaipPHdbZNKEq
eyzCsR6MLfFVw21gm/nTcJLdhgeEODdHrUgLoML9KMPAqBK8rRg11YneiXTeLYjvjyv08R8J8/j2
UDD3iztuyilcF9HdsMqz+OeuKOO8YH/BW0geWHXyvaJ7JFK1zF5AdhrfUQTnPWai4NDoQbX3pFfc
aYXeRWPlZq96XT2XBQ61lIPb3jOT4q2ZTIL4jtU0b5aeEI82rQTcXTcXfgS93QbaaPKhYSURWZ3H
iEO4dVtwLDmPk5F/CnKG3wX04ldhWNP1yEQ5dmTbnICALy8MBUCe8UybZWgVentxk8Ri38rDcbsI
7U8YgBzSl7raVm24Mh/N6Gv5rnRzBrSI3I17qp06b6IeCNnADGxtEDG9qTAico16DY8jL5xLKXvz
I8uyQYRkKA0SxaUHVFfw925ROa6JbJHOqXKV6cUc4ceyY68l0nMlm+Gb5NSWRUJalv6dhXciGqr5
03jUBuHGJPC0Y9465vPmZ9gb6yhUmC+avHWcufhQoy9ZHjh57huV4NJqEse6ZqTYXckFs0vYpWxp
rudeyQ9hDnMe9cifY5iTZ/0choV7hZuSc5qSqKs/RqZp0FKKcdzVxWidEc9TrFz5vLKZx87608ba
muwrLxuu7IXzW6ixHRniMmk1Z6e1FV5kfR2dF+A05ZsnxzkC19FT9EIhyY2aPOORqZ8f4FZiD0e8
DBbBYWJTdebpVxNdb7OsYCsXsPXEXaI1N1Y2GVqkks0hCCDdoSVCghsNccpwEUV2VmWFLcZ9OrqM
eCoRFYJNWrfbjrGg0GhmMdlTW3Wyvta9qgWUdmOiG2PsE7HxXNwG1nZnqLRcDppuFrV9C6ok8UNh
QMh5L7GzanU0aj4EnT2DPDEDqs0aF+IBp+2Zlgpwf1UP8YYF11nijLmaDyQJl7m9xPW4JJW4WvwE
SSfqFQcweVeOqFYWZTCpCtS+U7LNX9NUQO6KJ24VxjukhKyaYDLQSXfYp+zV6pPKlFb91rf9PDq7
DF9WBTaoZQb4mOhwycmcY+Aa6rhbbE0v7golBd+DrWHjUgUOa2YTI/Z7Pv7PSgtgLnSyL+olDmQ2
O69Q0szs8XcRWZPbIGQog02yNY1klldg1LfxOz6GbT7Dfbh6P1I7gQB7wO+9cr+1Rh+AMpVTpmVh
7SPAaZxsE2LoLBE8jocXEvFW6xNpXXTQpkWgU99CZ4dqxWFl6sa3xZJXNAVIT1WPcHPKgXDxlaX4
eGuYN7g/+ggzjlUlj9bgyNwFjddmuXXWlWqXBn9UPrDH4eyQtnsJv4nnsTaA1sQddTExmbF1lwFP
zAUsYD/49iEfvGpZJOrwiMKbR1i9FGCMXVrPdl7u5IQTKEA7AHdyvbL188EhlG7CdG6kUkCFht0G
dAYsq2UfmEdWL9JX5bOG62cARE4oLrQV984OF0z1Q68Fuyxc+VkHHtLtgyweO/wzc7iaLUPR1VXL
l/v/HABduXNw7R7Rp/PrRk+sSJiAggtjWaqdtCpMZGPAgFpq5WMRzJN3atnCeQS3JXASMCaiPnSD
jrty9iXgQ6zd4odc9UTwaLVhB7msoyoerHV56EHdz2wQNGga3sAJMSmk4xzIpg5VnFT+/KGtybzI
0Ein1niAvSSceMrr+rPTGayD7Rg5GtSrBqtR7woj27Gd6Pqjyhwx/ki1eVNc2FGbdbSKLN2THxsT
6JHK8DENmW1QR4luQwKxF70/Gn3jvZVjaSNYeomZNhGCYu5wQvWW/qai00rFpu6o4RVLBnaOsJO4
/yK8JlB0amWY+J0Qt25STt5VaLfswy8zg8A5nCzh7TzhlmeNah4s9soh9IHnT1ZYSsxF9TG9VRtb
QRsyILZQV1dvTrXQwvN3BAfUgtZEMPtYMVJwbSTBvdLI7kJFlHuAr/MdxTlzbAeJH+wKPB8/NUxV
iIeFTK81HsP9dw6XU3ZP70K37bosMz+yg3HPHYTv/INHpLUcrNEuHhqwWxfsm+mPtDP4zfvTOmOj
SxTKyLrmIONzfXqGJ6juYPVkfATidUytvarhaepVhCiEEzwYyIdeDDd5OhmIFnlMfj3/NllbW44j
evtI/UyBbbJzHtskbfaDWeuvbtfDKPLwR2ZduZIc6OEGkMtabsh6mnlsqn4kbFYCbQ2DfAzGU+p2
uOb6mmIRkFfTzNsNys2ywWk4kpAxzT2TK+a/ukXgkVYqixoAdj4JKgzMXGyPVrrBNsFy9BdLSXWd
QlT1Y91JpQcrsZRP0+wNuKEHYJshLgXvu91lICErNuC3rbbteHsfKFbInnrJQ8grATYZQcNAzIJe
4AhDLrlbKxSAcHWldHdixPgXW3qV79Z25mdSB5sfdpZKxqMlf5v6rN6ZST9H0+Asbx5Pi/EKQHgH
Ibcd/Yfe6QbFyzkO8Wi8RmeKT5qLVSbmlZ+Br8a+lCzgTYwkuNK0zPxYSoDjsyb7OzyERYQ3zXwn
raNq5h9esES50xdd5NGassRqWkBIlJ0/JACac7/k+dtZ5VVhmIBLBndy4Ndmcr5BuRIWYkBTLYDY
KuMtD3BiUBtjdDcNzhd9503OwqEgMElbtInuVLvKKLInAaprilg32dWxP6dyAwbc9ntzbydrQoa2
zCa58cvKem1xf6ThqMo3q6+a125ompBWSrRHnJ4YuNKRS77s3lJt0lP2VrMWaew8Lp0idtSju3yv
U6WduoKbGtKf8CCND815cNqNBueJa3QB76gluv+CYpzDhQGA+iFN4LuzrfcPY7eYJ9E3g0mDFYBh
dmt6haUHtkfo9b1/7K2MAos1gA4VVnkwH2rHHMsHUryQBRG34PX1th21lqN2bF8AwSxNhmdxMl6z
hLKjIBmMUPZKJ9LpiB347eQ37M56bDv28Oyz3T8YdmJ8NDjjX3V+xAm1mV8cUYRXskD+ZcZ8cJBg
i8LZV+8Yp4c7qfSFWpSh0Q3ug/UuSDUS7J1hVwfWg67mmNFb0OAwzfDT11Nrdt8KxA4wcRxUWnr4
aKTJjOZF80v7scgsu6KDjV+jlLXBiA4HqLCsz0Wh/nc7IdGDug8WKIBoMbN50lWvnGibSj50dt/Y
zu1QZC1P+R7wNJ6priWXjXlhXmhEY9bAILS5tYG6YYuZTDIkZmw1+jxkJ11lVbGeMJgvw3OSz5Pz
6dR2I45F41dwhRK70wct9kfHnjoeXgKXDbM2fBsFzXSQbTAEGivbRgjjedQJt9Pnk1pmVMzQNWdn
b9v15H+HuDLwUGmlKOeS55iT6U7MPg//RKwtbppitLHxfmGTZhuP22sho81Ng70ervIyZrL5qbca
UI6YQSsGwl0vKa/LmKTmqcDFJNNkM7dzDbaMQdIiXfX2frT8gSNMbs1u1700/pSMRcyA2OfcR5Qp
n4sbCHm9gis0ub5r7HRpqb79UHC5jCXkb5H5Ek2NzZYsXGXGk+EI+MUpNtT2sn0S2011SN8Z4B6v
/aa0dDWdENK54P/h0ffc+Uobeg7MVwXo+tKNZj2ghG//z+O5P0/ImRriANE3wihJXgawW+D/V4cE
Upk/6KQXflaN3LJN4+8eF8upOwblvZfZCkvaCPWIAEZeMKL7D2/gz+Pt7Q1gFCC8Cz+XKSFDoT+/
gRyoleekufdD/P4Gqt+dJ5UISq44rWEu9vuk9P9oDv+hcRSnoG7+cnX8rXH0kjPn4x8p8z9RIH7/
uf+qHfH/hbeDVIZpYUkwHJe/8r9qRwwaSXDaYCz6b5KDxb8yof0qFtX/ZWCqAd7AAA8zk/O/6hfZ
rotfhsrcKsyULdvYIoM63mvexp8uXH3wswGM84mDyXrRKTQ8WMW0ATC5bowYT3r3Oaux/WTBS86/
/Frufn+VX6G43MB/e3UHBgV3DLmgzUTwl1fPPY7dQvbiVBXNeqGqYN1rZs/Qb63oQXCGTD8OLQ6f
0CT8VIRGu4itWcGsrxsCBM8r5VJtiGZjpiAikDLRXZYGtl9iznddbgO/5xj/toLApQOpZz5IcCP3
FsWOQJo7yxjWC0EQ2icCCkmY0JA/hmldjz+9wgdI2eY5s6sMo21YcPs9bI+/CJvsfAA6O99hgVv3
0soWpFY7OTfOhgZ167m+5m06dZiQI3u3SB7vCb+LuFaadVrUUtD9mdlaLaFwEsvuHo1kVdrZnzmH
h4vGt/QDPTulUS/wNPNFHwle7CqVzh0FGZnmvGV6sDAUCSYUrKtmsIRvUWHSyumuNT2VYUTzp/SG
5RpYWSMWI32YUt3d66WoWpsqwkr39yZbTD3WMuBMJ8Pe/mRqZIH3OoPGqA9uq7uI7nhVGMVzmGLq
A1U8NiYfdHxkwOxKYUVVbqJ74GTr9KOCT3Y7buUIzVdPQv/VmWCkrf+6QjrUdgBC5t1Ut95BuWs8
8F/4o6lecIp2vPH8gj4GsVUzlAQd71ew7PG0FTd05T09O7R4dBVlL71fHlA25Ffbw7gVPxBU2Ld2
K+/ajFII56sfYlCoSdoS0JhJ0+Kz2IokYKaJ0KOYNGKPgnDKAeuntlVP+FsJBZmJNmYuzLycSMNp
2MoqCmebeQB8oMmuq09s+4azTbsFUavyIdsKL0Y2qwDv6asBr9ceNGNyz2iQpzlYnrwaaQ/lJug/
nIbmvkpkXjxv5RoipWYDkb+68vSyZxFl35FtdRzNVszRakZ2YCQSfLrp1tvRbRUegGNbFFmDXo9Z
LjqUVR8CBK132rnOXH6Khlb9niAPW4uWACETvaeCCtM3101hSJs0ieSma7y4W7mIzeFkn5QJaCq2
MpxSKSHpaCNJkt5/X9EVd4GEsRDyTBjeEYh2xZozX9oqTYScrsavkpOt7oTYIRhDN01wp251KLCL
3Qv9k8bbjGmZo0yNMGqikGItKJliLEGkbOpVWOwhHU5UrghEmKtpq2Ept0KWKqWaRW4lLWqUxSsI
t+KNb7Q8zLOyrhRQyyPgYnkjtqoXmW6tL8lWAJN31nrXOsN4XW31MICUDHzwW2nMUgwEDphC81gB
gnrx8cjew3h2GThwSxzLuUu0UPo5tgU3tW6Vr/rrERH729wDgA7JIuiI0mN+oVisfVJCTY/ABOXZ
Emm902aqb0DyFS/d6A5Xg9MEGp44uNj6V1+OAQcCjYESHYk//DAQOI8RZfx911K244zU7pDhXr5R
fUEVT6CdaiGr00BLD7wqbB0q07H/OjMs2PRk0umzMJ2k+9IK5Vb3g9wExGqrANK3MqDakdQCcQg9
dDlDfTPTZzR06oMkBoorvZ2Yx9lsEN3anu6Lxmlvsq16iGk0hcXLtLyqrZjISYzxnl9IcstYTn1b
twKjcasy4j4ZYtDfxXH6Kjr66jwibyKeCa6UB7527hZtaveBJ+QPS3OHw0rgvg/nROeY4c6As7dq
Jc/YWpbGrXCpMEfqH3rH/I1akK0gYKtmWraSJvJ9T5Lg3yVLqju2/cGNuVU6bW6fA1GblijCQuMT
+139QimIfgkGEdxoTWXeL/OIFmf0S3BNuK48QOW9LdutTcrYiqWUSmEp2gGBiWQa5hOWp/QsSRzH
qe+ye1ZWfVHtwOmcyip/K6/SXKc4m61tPLq09AD/HUip0Ru8fGZf3VfTVw+W2iqxMPC3HxyddzMY
9DNrSUCZcWN+LxRlWmVPrVZr5/mTAY/8IfUG78bcemc01VK+ohbRPvcUJdzM4HYvY09ll9zKu1g+
p4cyb5BruXu863qi5mv5avyiwNE51rUzIbdUI7U3xngzQgQ5m6VZ7/28bV8mztx3s7Mk8WKDlmbD
nd2zsgGrDlTz4Q+199uSi4FuFYL50IDSHxgTip2drwFZJ7mfGl8BaO3hngJPAtnE+8SE1Wsn36B5
I4SjOb4zXTXKaDRxLkTuqhXnMrPblwRr+67xaO3znYrSR8ctxG81ya19zwzlGwgE192hyFYfVpr6
h7plAKSIJlyNfq1RVrJ2J/L0x0AJhi9M4loZ0nJe3gy2HtxSNdlfhLFQr+T3zblttOGSDBqjN1s4
N1OJwquNtfpGKpsZogzGHlUenSzsrUndy7RHbYS2+FO3VEkpBZb0Ogz4HV+V06CRlnXctzZvePQI
rbFJzGlFvT20JZS4NUl25LWbW0/QxprrSc1jaVxiyocXIywSxz94QwPZUvUTQEwzwMpQGVkTzY3n
vwsdKYsMxbvNpPGipbXz6NNUHRrUzV5PaF88BhfzjmGmjn+6vmxf4LktLeOAOhqNC8a1oGjNi4Jl
ShcTROkuq5u7hhzVs+cPI6N/7E1t2zgHzcWfjzHb2vkui2MpUIY4CMjTgt//ntOC/TkgQIHmHeSK
IjIGj+DbJZSu3twjoRpPTgJ6NKo0ad+JpN2mb+Mc3JdpTZluxiI76dY1s8CJr72y9UurG5dhg+IG
g+kT6dLan5nKgdiSTwyOdEN6Rw/vX9SXVFTSmdrfybWUd2KR7bHIAPzPnJei1cm1aJrWYCVB03nf
2AuYT7MV0N2pHMv7zaeV661qfGefCPnqtCWhsAIorNn19Ho3+oCMOvn90eSRl4YFx/LzJDuNaaBJ
czNEGzLGntaun7nsqCmn4HRiOD3H8Hunq0X4KZem3aNeCOcuYW+6N3IWa+UKgseT33kMZHE8FNHM
Q/jGSlUb9233UusAxsZptIlXr7p9YL2jjcVWIi5RzEBGGt7RhMF9y9h1ZlXw8jc2aG5PJtxnA7Ik
RyWLJEozEZh4ojpD0PeXGhFXdnk3NXKE3W3PhRN6gM53gOqXndDE9MCxGh1wtaaTqy/17SDaifvE
cjsujoDTINUEO9sW5kHoPFY4OrKZZuQ7I+SZ+vQ40r75rIumfMbG5u/JgwA4cpK2vZViCK5W4bJb
SZ3kBEVEVWGqFwzzRMMKFvpMWHM1dms8p1ZxLoYAYTcfjZzhWRo0x6o10/6nVRXYZajXJtTiMyJk
PJHg342hX3dnp8zae/p6rIttd8tN0HZGzMQTqnbazmfgFuvWMp++rq5/VdjuU+rmU6xMTC3Y/vmU
9rkSnvE9x+sYEo0qozZxKTr2KveVKZ55IsiDMD9lFuFGjamttb4DQP/IPe3el0wKgmx045Ji27Bv
c52a3Ho66JZGF41T0r4jzau8NCrQ2ekzX4u1V4uPwaPHFmJRLxBqZX6L5mtdesd+M3qG2vOIZJkK
Zrh4Wzoatkp+MVuWtqw2jdmywM55dn3GC27ta+XvkQyWM0UBt9li0/nGkFxENEXhLnbrbr/JwdFK
Rj1KhLJi7BgDXcHVwfNnpsZ5AR9dM+n0yhmwVYF/wG/j3c4uJaj0OopLzeX3rvXeDmkgeaqG3j1K
NFP8Gb1+yejVisd0siN8HCxzAMVOufT8/dIPK76jxMHdqcCkNEN6A72JlR1L+a2j8+EKv9zR6Vtx
TpDdEOGk7cN/Phr+/VhK1MIidQCk1fU5H/75WJolNmouRoFTQRycLdzsUf+z+jylHbo/yKHUnEjZ
S9Us2bqI//nF/6ylUIHJadwlhIbnnAoYI/jLi695jU1hlfnJmJvucyVSci3zMrv1RSAe/vml/ups
56UsXHKWsZ1+ESP/8lJkwwusHBUvJc223nGPkEirl7T5+c+v8xf+39dnwqwP5s4ACPr3sBL4lsXu
hJeeFJ33+wwEwMlVs7kr63y4A50igusxyKDcLHb1Lr2UE/W0ptktKvh2uE4y3t3XW/o//eg/6EcG
EE++5v+G2P5NPzq+T+/5n6SjP37kD+mIIod/UUtECuBv0hG59K0GadOV2NnwR+Dr/MECNc1/0eCB
2MPaYmPU9Ql5/aEobThQUmS+zoR8Sx0Fxv8GB4r+9KukZH/l4v64hzATMrf6871L/rYkJZmaj1RV
MsGVK7w8+vB4n9FaVsG1tNPuHnxh9yk9YbLZEtqDGYDmrm1tkVFJLBeIxMy5Vk/KCdwnHaqBRm/g
PMo36If8Pfg9uCq1EZpTgTdVhBreilOTzWIP7Qx/vlEE1yZUxTsqcSYMNWI5AJoTD3Aw1yMEhz7M
8M/+ZKS6dqTVJ/uW01x2O9clukbWD9M7IOXlHQl/yWOqGTwjygiXU13Dirr3Sr3diAPyQ5lZ8T6k
03KnIbTAZCiWt6Wjvzuge86LrGUdfo5darAHLTlxm7pxn2buvTEAsQibsjefifKu/+kB9hWC+x9V
7+srII/o8a0SYkGR3jBLvwT2qtW2Cy3p3Udi48HJIWu6Ob2gDQdAhyE/MQ33wtysgjs26CZnCpOP
Jl2/cWjHAa6/ZsWyIxjbnIJVjZc1wf5ucnr/YeRC+wZrpH/IFspl4TYXF+UMrKDIiOVLCTvrgGQo
96pn3uH73fNQWs7RkdM1kVTzyczMg5cFMOo5mf5yk/wbNTH4swbPh7Z1b7uASUEhwDt/DSRJ3/XT
RJekFJsqeTO2bz/lDPhqEHe5wzvcnVRhdUiN07CjnB1DM0OUdd9bxXrBbKZ/SGHwawicab5Na1uc
QSc6j8nCv7WWaf4Ev2JcpZo53WbKNa4t9ih3DDJeALyZhwAoyYuop5Eqeeg4eT3Vh0zrtIMYMQQi
Sg67Va+4pi3KC6701fpRu+p66kzjOKjEOQLXxNFAxCHOZ0DtszMBBJFBtndybL5BcbbtZvrMMzb8
JfUun7JLLFKIYKS7YZM7Mij8clR7OLLzAzeluPFGjZupFzk6yw+msEUXuknn0t1RrEQS7LSiN8Wf
VZyTF2BbUgQHfe0AGLLuxl5dzw9zzbcUwikoLlVmtdeLX5rfmBDLn37JYZ40Q9dji+VAfpxXzyCw
0ffHYJb5VTkM+iVB2bnza2O8OAJXXmhy1qp2bbYWx6XLmODQ7Gc+aPkw3/Zksa8Z1mNdWP31ODnb
vamJ9b4ap/4bMJP2I0hFes02EVMQcsd/CLj+5Zm1ZS7NDYtrWXBX+C6/QEq/3DAmdsEkHT3tIaPf
834IVI2e15cvywyyu/NUEAFf4trpmvVzMv01IvEil8ieluxHIZv5Rrpmcm4Hvf3mtTYTbBDyh9aX
r3OACt0qt3qGvxBAhevod8P3VR9KvvvrBi91qA/puuupE90tVWM+zHqHyu0tfNRFacvFzhJq6A1O
ESDlqFCUxFzPnSMHY+cMmrmj4hKlsGBgetOJZr3/umxl0QYRWtVy6RDQrw3ZJL9x/NBffa3qvwWF
0X+rcRXd5H2OrEx3DOh7HFH5R62LQ9t09BhhpUJMtpRyD2TIcXZg1/Zvfb1tlt+3Av9fOrH5byKv
rDueTqLZBD/rbbf2L79+TC9wqgAQPJiddAHVGx5KeNdqjwVx9EtnFBgU3bbXnoolRzSC2hJQcdDV
GUq8nrO8WNyDCmdgm5x9zO3vYnQJKwUchtJom1y8dfbCh9GpRjm1udL2//zs+XcfAFckbwuoPgBh
ZwNx/fIB6lVALcpS76F012FHoc1808o03bdU6OHfqXnOJEyH7xwTO+PWTavtKJeUFJ7qzhXCcfIb
957Fg3lp3q3ZMwgJzZRtk/1IgPD5yRNkYDxFWZ2W/n/aam/r8f8sFtu1v+0MocqapsdM6a/vfaoo
B1ztyXkAmMgGe+r75Deu5sQ/duy9X0jOrZdi7tHRvLE+DBX2zf/H3nksx61kafhdZo8OuEQCi1lM
eVL0IilRGwSNBG8T/unnS1K3RyzdpqJn3RHXBFVUAUikOeY3K7ssvRO/TobTqvCT9Qj64SQXY3uC
qptx2yGJukfjCRx22/Tl5eKr5EzaPP8IDwDPTTWqH8CEUUYMEhdZ1rE/MaHSDJiALtMVZAXAVXKQ
ZFCpoE0Pzhvpsj78YseIXRm+4Z+qBGpaCM13lysn2tUogD9ghIh72qjzUpoWiBnJ0l93tj19tyLF
fmUXrjGsSeus7eLUWAlXGdJa7QGMcdlQSq3rEwS5w4dSstSJCaar16UXgjh+oVAcD1uKANxemYWn
Czi/m9xWc78pIAHiTtXELyZWR9Bt4vCBmQeSMy/0DqKHBmbIKepGy7lrooazcuGR3lA4BWphF9mt
CRaD8l7jJV9lkT47ABxOmiiesO4AkNe29gACJrfPYsSjNgjuTBeptXCWfDyJCRKPZwKdQGIGC12D
13DwKGxgry56lQ0N/Q2rQz/LZIEB42NvzpGRhFaATiuCzTwANrXRjlCsfvTsbrleLPYkRNTVSQyN
YUN7JD9tklyhbVWYCXwDgJNUD6Jy1yHKyHK1pPlEcR0kX9J1T/boDt970nhjAyW3kBuFBEyyp5OW
nw9lJ7aFNGfmgVvCicuBAOU72DMVxdGl6A8+ALgN+Zo8mdzibhor+CYS/SuELu1kHzSece2wsMYN
AJT+hYYjWyQuT5u2aqrDZC3QFFm1B5knOuTU77Uek+6LmrKDMDIqe5OdLNvAmb9YYEOAbdBu436g
74HLK/dB5DJZU1u5azJZ+YzadwGwe8hOKys1D+gAz8bKc5ZmvzQ4YJ7bEwCGNabo4LkHJ7mntgj+
falHx4eMWqRfwFmBiMyzBsJzTNwyrVFXnTDJjOv4BVypdWMMow5w2qk6NbEG2RuqAFsPbjlaOXHf
bTtSSpPHzdjy8koxUGqEBEJFt2cZzLG9hGvfA7Kjix/lbYTO3QkAQU6dxUqdp9gJAV1ElldnYCc6
Hf4E8zWKWZWxXWBxPBV5xb7aNYW/mZHxNNdGuVhnkRiz05mJ4K9QH6k+Qamh6iksx/lqIRsCWxSj
7WsUASnzWzKdblpiy0NnlBgkwVRZfthe5p/4/WJs8x4I2gp2GdUqs13GrTsMID6Ul8Rr6ncSxI/B
LEyQN6ogA7T4AooMilUdmhtMN/MfyLneIKaprUUIW8FXI1SI4XtWXEiwe1d2Icc1h0HAyOC5c/26
kP6T2f4pszVNzr1/ndj+T/749Fg8/gqKsF7/yl+YCPJaonhkhIEEWKCISJN/YiJ8/x+cUDYWjD6d
Sh3j/zOxdcQ/TLgXMvBNxEk8oBH/TGwdsmEbwBlVFg9aBMizfyex/ZtajT4pKaDYmoN/DLFJKdG4
ynGNQ2AYbrpK0nk59IGrbn8Zk7/JY46OY505k7khteEBJPLtYzeNxVLtDJ3QOFCKtW7RlARE2Zv+
ZTGiT/6HLV+Xl345+vW16B9RZ0OcHFmF46Ofd4F+2eCEh9mqgkvTa4dzJBGgny4kT7VXJH8SjXCs
3x8PLxoPLAwKuBZa1UdnzJQp0VgS4/tkbkOIfk3VndGExMGwguQngDuOwT2BokMPogfICkgdg4C9
B4ul3Dci6tdioCO56qcSSCAGRged0ybQlFvzqUSSAvKcCvagbYP9uLTJvvBmm27DVJ4CsyyucRUO
9rnRdndW55WniHfj6R5ClAznLrlwo1SwxUdlvJ8bQJBJRKG96VRxbaOQ9R2K+XIfZ257L+vo3Ozn
ZDuCKljTX2Snt52MQrbt+es4dfprW/XFj8VZqkvK8+mdbSbpqqSksRNNXAJPLYY1TnXjwaxCNMc5
HPb+YKINgkgxFu/waUj0FBaoXXXR1j6iYQASH6nXG4AkNEGqxYqrmUHirdwpCD0AcXb1rDA4OvOW
YoJsu8T9isYvKN7Wd3emstsH0vdgpPoet5KkT84Ym6mHQNhiVmdxWac7WUrQ4mPIPF+bMR4LK9Mp
yqe+lfVDiv7klzTI7JsAzF1M+0eRyfsIqq4QXqPUXhC+UotJk2kHRAOsKqFn/JTFGKSu4frml2YO
mWaNPkF1JhFt/TTTxL73Z+wqszBpN9CsmHvpQj/MhfRziQTaTTxRmQ+ndL6J0RfbKstsHxAPHnYV
lpQ7f/AMQUPDK17aooj3cRk/z21abyJqu5+iwEcRwFpEXGwVgxOXYX7e5MXyBRMIogJMB87MBaGw
lZpouHjlYBpYW2LkjHstilheIk5CJIWR/CjV1qFTemamUf+CvW2Hkx2mp5yHBGI4ribBKUOgNlj2
PTddvh4hGV2U2rIZZ5oX06FgT/D4KTSAm2RZdBcoEK1NCLrBqH0wlLDU1moaS2QJXXONAKu3knX3
KTVaHP+mLkIwx/TTR4p4Ib8svzkhDQFIMjMNP6+5CUfCQy9WV2IaQRERh7hMbVbPBFIX5xAXcQdr
+D4V0tiJlmYpctPLU4d5zpo3K57otmeXYFwQ5Fm67gY0hYHFs3/TNEGy7cXy1ehb58JeYnuL/6a6
MOSybMfAGz+XZdATKwTDbi7c63IsvkgnrOxDAjtuwCYRxuL8XNKlt1fh0AP09PBCTuno+rWdrhZC
qE0WFRlifrbuLc954y1nPrZm0wnHM44sFN4a01yFBhnifaYIFbWqPc3ViIGomk0/Dyq9dZFVjOhj
IxnnD+OtnLt4G7yClsQrgAkrT8BMQuOags4vy/04oEbydTJcBGxRc7LhjvmjInzIjdnfKcwYwUpF
RYeaYUYl/GbIhJa6JeWJLrxGR1NV0ZbjVUQtkoCwJj2NPwWhrklqIUPxYNcwklH8KckctuhIB/Z9
ilye2MG9EvJFvsK9YuznjFM6oBoHlhWopwCFDlT2YIg6+xwMRbJvzZJtuCqkOAwmNTYZzobWj7ND
zAZ7zzmlLkqENy7D2K+EEQd70TnwyuywwW53Ege7MEwJXWEG914sgUURrgJMpxr9xzL0ws/z3I/4
HpZwskqrrHewUKmm5lREV70LgSnrKV7WyixPgScH267ol3JdNCFcF2h01afGdeHLkrBZOwsz6E0O
BGUr6qBbl4oAlf5vDBI9DINvcJeLdUPM93lRiFCvRGn00AGGsbieHLf+Tm3bP+NGqARlSPXBsAsK
etNelMfbFvH2E3QHgstcJN5jjqk05QnIgLtQyeLaIMZDswClz1Ir3POZMLriB3zw/N4xu+kqz1Kg
Z/5SVJ+jIkbhQVEft9g8Mq9n3eZvXaT/RIF/jAK1EcGHUSCy+++DQP03/upu2AFOZzZ2Eii2mW92
Zm9BIM2Lf7jo7ZmBLeyAeh0djJ/NDW10hmEAclu0G17htP+MAQUfAbLiU+TiXEI399+JAXUD5ZeI
6c3rjAaMhQOL6XJ86Yjql0IPyPG5KJBc+h4D5Eh/cJaEjrkZKaAD+u+61J7vUzRju52anRx2hkKz
7XkK8xpl40pUjb2rDc0Oy5C/4awkGTKpAPp5Fk93rVlgHkOfv/YWDww7JGZjPTgDkjNwYXs4cHQy
emVfguatoYVFZm2MdzH145YedR9hZwLKLoE+uPR0G/eOisDXriaOUiDppPCGH+7KAbUT2nwqDrFV
+eVF/k3oeiRd52qXM8dGPZN/BUfo8ehU6KcgQ7SI74jwDgEI0UhC1YE+4xAaBRGUEiR5rKQsfjRe
m8y3WAVoxxqbnZLnASMaTXcf39JRZY5bkjKwhES1jlYrra2jF0ZiPqGz30YvVm6ij1q7sBVOFxSn
ISnEBoACnBZQ1bI0thZuIVwy+knoM5g17gfINmgnCdkLjWoyB2XG2yWMln6z5BOvYtt1S0xE2Hoh
3RBvIWe/WJbM4tcKMgPRoIug4G//IWx/n4mgKccg09Il48H/yWMtvJ+EYZxNiZHl5XdzhLrxGfq0
Ud0UeVgtVx+PHivq19nOhRwMBFFEE2C0yc103faX2T6zxwaLN4UveCzYyA/UeZi5aBObrPDJkal7
OapK+8jNnshxjqgRYxxuOGkxpPj4Tt6nDfqRHaFF2VCVAhGAlt/7O7GcaDaDKfVeBuW33oWowXZ2
q7Yw6JKeEo8t4Lw+vuJvg0zv3xcoTYJso9N67K5iWJGBMoF0nvO+aVGrb+Za23IM/qIF0D++1vs8
TD8dG5eLTRUT3icVO3qhdgLuA8Nf+2WiUpm4323C+jg+CeueeRdVjR7ifPZ6TF4+vvDvD8kc8vQ/
ti/YdHUv95cXjGK8QjcrU8+wYnp/WaUyx+IipB3I6H58qaPMTz8kBiigDzysd9m8zaPJlNKLy8bB
Ll5U7lLkOyRBWN7liHU0SDijpB/Vl1OwhGZxViVtqaXFhxhjp1TJGicN4CrhhC82Xt3BdZp6Eh5y
DJY0P8uGqAXJ2o8uxkOHj2/6txcj0BrFG5BGtmVa3vGGZgWZb2OhVD6Xc9dyF4jNZzg3WbOBcUFV
eJUDf3eosPj4+LrW7y8GDy1gKD76si6Y8qNtKzQABNatMJ4Q07TsZR3AX+3h6/p13CKR4VB6zg8s
k0w+IiwFYnzTIJIRgAMyJnu4TdA7hwOHscrS4bFJO3znlJ49fxLF7Cp/8/Hdsi6ONgrtBQewgGUS
oBlOVef9PBIRELuib6un2E+QTUQfau6WK4VWDZNqmYnjh32gauVdYIuQsJpUCS2NHMObZzbLIHOj
+ZkJWKQ/PFr8fEMSulpEfbDcKv3xtgGjH8fuIiakIL+qKIBVCJBYolK1GnLacc6rRSTHcOlYA28k
LkK9RYNsirmgPWPJcg2ns5selpl1D3FhWgC9b+w01dIH5pJ48N5stxGs7yZGkoESiJsW372xtxKL
zm2oliuWfyC+lknJ1GzxKuIeLZBI2HlbcKO/QqOswYr23oTD2dI5crgF6I3Rj0r5E5TxEX1gSOLY
q3hnNhV9Ll04cZLN6xSyueYMgmjlYSozTSmyz1AvEVhTI0JXCCNaScivJGgcF95eDFPcXXeQkjnM
5mbS5j0K6V38gtIo4NJ/qXs7+LZgnBrNtXfhgLBrHho/gfweukOTnOdu6UMdsNRUforhuPSnPf1w
5tIEuJOhS4YEvyR/wOcLg7WQFjPufegtsNpqn+KIjdJHWaNZ/vMBRNq9WvpJBDbTjWmG2p9CmCXT
T02R3sR+isc3KtR+fIms5yKlMYN671/f0dSN0W6dBCm2eM2UqyCMOPEiGIPeSbRPz1THbI6zU/FM
2KnpUXWzbGTkhA9WsT2MI6j9U5yWe6xgILeYXMoxJFHbXIda7LGeJb3MDRu9ni5V0HFqOYi1M2nS
0EuLG1oPlYQfTduY6YIIjs2aGhBLZNZEdpvzzpzJ5Avh5Fmh3HVRBxfn1HCnZH5uimlgDKtpSLm+
0LCs8LOfoxWbbhbZ+/l4ElJx0DLwS6ljN5qGDp/NtAz1Q6RB7eEFgXtDiWEIulvcsbQHdoFtuziv
XoU06biT1mlcHo0stHGG0wAaOt9SzZU2dQDx4POTEXWSswtpio5bmnl6/nDsU30vbhBTV117SOjM
z7PfoO28cRa4hoeBCiW3lxYJiOz1FA5mllwozUH8ihk9P6xpimiWa+oGeowbBJbSH/00aq+uxZd6
zuWEgO4h7Sbcb5DZ8PQU1aH1cFv7Jf9tLB+wwEqmoBMvCB0XogzE8VnnczuDBVgtcUYgljaOdryK
8eXhS1uYdbwJoYgbAbLWljPcSioMjEIMoEXNh2EyVVqca5EDvrChkcn9UVfq9ax2kkTzVbNgscRh
8nOY2pvUvMV9OAmGDcgqqXemOI/TZeeZFEwQBKqdXZfNkWsiLrPkMRR7s16uxAw23qYxQdXa3QYF
ZQt8BV5NxjwhhgxsESl7Q/MaQbjkErefJIR2nvb6DZcJVpnWTuuVD8ZJosw8mVdT23SVWk+5UsaI
OpGS3GNoKN5N4/pJJR5LZWkzzRK+cFR9DkjDXTTEVBVMPjWiBAOwLRsx2822wyseAnlU91UQ/KV6
jwVmFx9CJ+0Rf135Gdus97yAuEBqnc125pnR1soW8uc2nuI4OsuquLfkRTdRV2XyJOiaMhO7ccaf
DUslPS9N7BOZQ6GToIH0qVqqhc8ae+hb62IRuGHcq6ZklDZFxvsoV5NpWH1zAefXZstNy6bnLZWW
a3MWVFhU8F1BQ3fRAfKdaadHM8EaY9gB7h75TVKYhs+6NtT7EoAlXe7sUh0RQrSN2J5qd/IYvy5G
aeViYBRZC5bdKSbU0LTOXJ3w9rUxoI/Wlnvwc7Vw4zjK9VzaxcmG+2e75Dga5lpyysOmrll5vpvr
Q7brem1+N3mCnhiHcjuzP8x+bLiXkznjQYR+UCHcQ910JY/kV23Vojht6xDLpFAxPxc+jcjzn3kI
u74eHGS1nQqPS6q9DZbU8EscA8zSsqCzBkY22jQwCsOti/5j8/nNpC2pOPzn7TCPkjuWMDcZpQqv
LhZ22i+E0wc/6fUI/pzWRTLqz2YXRjDYYqjy3DkGgHq7V1Dhl3uAJiZj7EhU/8cVkWhksj6NKGHl
uj4IY/j2aNzVF8B1ynQDuLvtjJVcrBnfh3LM289mMeW37wzFvLIesp1XDX39/LurGDqNSfONsqu3
7P6VoRhg+Zwil5F3FIUcMdblyv+juVjOsQpIoBvA0fOO/mAu5gKnsrE9ao25e3hnMZY2bjYZK6AL
c4hr1792GgswEzHbXWgvVMWouNHp9LrsfDQR+dz96jkWpRThOPi8Tp4qym8+CJbOPnIeQ9BFasE7
aaNs+oH/GN4RVtmtOomX4DoOHWFcvXmRwaRv02pv1hKKxfZ3SzLXcNVy35XM6tU7Y7IcGb+23iN/
Ei3Tyhxk7W2C/49LWSrAD617WEAS/JcSnbn/N7zKKj/rYYJaopsXpIiczjGii9bmYdKrn9G3Oed4
cEJwLSrEeMcq0QdqXThFLe7GWdS1u6nDsUVQqDJNkPkHBBux7FOhObJgcM3QsSYC5tR79y0enfpY
CdhIWNyNr8PHlgOc5RCj68bWUAjTYytJjDm0wl0652OU6werR//T0kTakFLEzcDRQ89B22B1JUjY
ZT9LyXfueoFYyrJCTlNnDhIUB3cLM0tb2/ZNkXhfRalwq9qj/iezYI+XD7WGum8E26RQisjezyhu
2nvXFkTBICh0FB1gXMZelvqJPjRCY8RkfoMIijC34G69xTkEro0n7aGkr8meUvSFyYMSl4BX1XK4
rd4Qi9zmjB7pgRKajHPQMUBoy+iTEx+tiTttoxi46L6Xi6yWz6DRtHEyKiggsUjMqpBtRuF6zf2r
INX7ZOZK7YJsp1bAHZXQaaz2MWhRIweY8WoCbHd96z2NuJNUO89OZXkWVenAsdjVtY6lylrqkCUO
YHIG+w5Xqs760RtqzoINyqKIpqw4D6kb0C4JJ8Y2MFvB8LOHa6Hw6rXcg2i5PqV+nmCuVTGOGcKW
7GheMOq7t5xQW1jXkZsG1X5O0Av8kfcwxDAA5lzhDnoM7Jg+f43E0uDqt+qhlBCRyjLmGyuaBSh4
ZlYJUHJFQKSnYmISB9yIYgrF1xyZlwwRcP0aOTAtzcg1++7Wb8KJJ3ZS8DftAfEfibhMGWUwV64W
9MrC4GHIpEBpEimjqBhPXMLR4XZBMJ+nspZaF5/aFpZhfFKbpQ4qzI5O5Yis5qwTeR8FQu9rQb3O
mtbJiABat4EThP9nhHQ5x+VQ1W0rDibEuMG/WrrYrpIzL5ToARzmxdXrwHFak0cdMoLM21y5eokg
Ea8LXmXa8AvhgGjJY2rlpMZJQ5sOrGuIRZ29h5WOROkGdxR9uqKmG3Fo9hXtIW8NJYYo0HPQwjog
HqrnI4bw4LXXJiOQ/ggXWfIDf65/m6gEqZcx9yXHpRVzX8hpxFKHhhTxIx3MO7W+27flkXV0v27z
fqx4qa3CXadAtd4Zom/I3ES0jnFYx8eDVgZzIV8nMzFBunNbUKZAZ0s7KM+L0YqGbhPhamghQdQV
aPlu8hFN9GTdGwN4KVx+kPsDwzXQG04VWP50EwwVKV8kg6R9HFqsnMAKZX3dsbnMo4so9mh1GQIB
wmaeFThfM7JpLcjYTDRWeSHKDQgvSTx5z+jcLVhnjzb5E/AHGK77yXaa7HGIrYlBCd8iHxWZA7GG
qvyWp00mPLLmbdl2er/ylzIgMJiiyCT7KqPG4aeInAUVPwPJ6mdtnrxcmcZgmmsHnBHpCPg83IEO
vlc7/a235A5WfcZoMf70mHTSDXFHR2HtZOkkH9UTHchHdcX8CFUY8da6goIumui+sQBGbQdBbwkJ
5Yo+HkEIe8BiNeS8J42sy1Hp/IHp5AkuT2kvXPRWWbMnQ1uSAqmcLUpuTP0D4BF6ilD1iKPell45
5Dq0yo0iQEIfG0b8GDfdMCg9MRBd5zaN0Jn1lASEOpaXpjuBbmZAFp1xi8CAt0jPVuolTrc+qs89
2rUEr/OYRnt8lqf+2pvkglA6gtL5waeZrloONsPFgtSZUKuTOy/PKr4mcLuWvSpFF4E3aZc2u/h6
fMsapyzKWKVNOlhsUgT8vYdm4cjuvEXmSWeBb4lFHi76piuI43O0ZpXN9Ks6X5NrXeS2mOgkSXT0
12NcQhreJlavb70vJ07C7RT3YddBUAfFfi5riiP84jIzo3Ae1BtWx2s0YiiMKkleFTbVQmcAGGT2
6FSTztDnt50jmJQOdAsr07Py46rR39SMgOxgaEFDRwrruMAKzQ05oCAfn6YQDYtkPcRGHosNsLEm
x7Ovb3neP1zyuKpGmQr5JeHqch544+M664z/gI/TafcksERjh3+bGrlv6Mrux0/3+6U0VgkkuW/Z
FM+PnaztOKqXgerEE2K3en+qPNcZCArZrNm7Pr7WazXw/3A8YJIoHUvLEXixO+AAjsuU6EerXOtV
PU1O0ZPIICkFTWgtOjdmGcZtoW3YFrQcs8e+dAXQjx6ZJj9f151N3k0VQnc2AlJevfe87cw/ex8l
CoA6RJJCcSaANRj56ePb/22ogF8CBwrA35OO26b+/JciNCIMBRQaKR5R3Z64Dw4onRZyuJJCfXyp
3+acQ2E4oBVEJwiT+ON6N2FUYmNGVz8GMTT4+RDOaNcBcZZ6iXhhhMDJHx7uuIUCxsmSng2snaop
du9HFfYWiKIfUb9/xCRV71HdlFBF7PHO5ICwA31mhYEXseP1Mz9/x+vWbC/Z7Qpx8vGzHw8zXVMh
dC+DNqmwfvNWH8tuGsYgcr5RkyBvnuOYKpUP3ocd8OMrHY8y+HeTp4WMw9Uojh0VrxG/aYCFpta3
Hsea7BwND52aJ2jocMjHto4aP77gEfUHwD1tMB9EmYPJOkHT0QzqUn9hM5nbby3ifMyg1gn1Nsem
OPNew7bBvxRJvWiOg7XMRMzJ+PENvAp8/boCCbUcOzAxKJW+5NHt93MYI2ow07UsvzUxTqvlll7W
km2pesRBiviqDluGNtahMdpPev/+WRQ3RKdLXoUHzSY+Gd8GpwCExhhR+p9ZxRXUE7KF5c1RHEPL
ykdH0+mAXqwSK+vYrdEg1IflMPfVUIFlMFn4kAnooaebTvYUj4AjTWNC+EaJbottHbT8k4TWso9o
Ou4oXEYBo2GzMFpbksUAf9HHOTgKYhsM9fQRX9dtzW3JtwK9IrRn18RfRQdNaKi/Rny2pYPlMIVl
RdVGAS+jPBalLZVJxANAKH+Ky4yy7MfD/9uEk7jZmJ6QeLQ5v0/tnswiNsxlfqggVhOzRpiuk3AE
S6cjgJ8l648vqdftuxfOVoskLz0aZOl+Z+7SKJs7dJbHBxxrdI2xTwIvO4fbYmfGhalMbfuOhlZP
EjVZeHJShM0LfTcf38bxk6NjjN6FBamSx6bxftR4Kb2mHHmX8UNWUf48TYq2K+5seAPtma26P9Ck
jncQQKlCOlSKPAetT/dYrgsCVZTEtVLfBu2EeS9SqadFmtY6svr4ueyjJc23Q97A5sSTdN7Q5T56
sGiczDwvB/uuVKhtoIZjeV20iyijkukm6cjpsKLhXfA/ScGGeTkJJ7gnWROtv6op61KCIeXR/Xuw
9TjlbixokUTYSUSGEks2gee4StEvXruTocsAfudVLMLB93SZGDQWvz0YFqz8lYH/l3uIIkN3iqyh
0Ps1CUE2NSdojyZzvisrM3LPPx6Eo/FmDBB4c2Ci04HEZe14DATmXQGK5tNdX2DhjbBwRasCzNVY
Uaf7+FLO0XzW75TNywNwgUwb++jRno3EBDVVyw1vfbd6vVYvKJ1CBtGhfs9Wzxb01nvPAekwCrAz
dJX050/t0OsKgTGaDK5wpa5nkgvW7HR2ge7ieGJkaW8sZ4qlil9EUhfZuJ8Re2TtZGVIegz1T6cl
Pxt/dIt0E8nIU5u1s/jmwmdDVegXvoiUqxiv3XH5VpoYLCqguI5rWUvaj2821HJg4682XZvowvLP
Fhorkrmb0vPg3AtRJeELZ6sYKYF8PKT++9enJRnp5Jt4OOLQifPg8etreAJQsHX4jBy5/IqMgECm
l/boAZ5D7VLjj1Eed6cA8XIMYDe1i5RMYWf5/YDvN1LLPizEQEUOYvUzGFUPO+e7kPxVXeWTQhAk
9gdwlkF6XZTSfB5qV9Ur7NDjeU0vx7scRFh9gtKvzjmR4oVsPR6yjaFSB10nvx5OQwxXxKoGZulu
qBpm98ZidCQHOdDEtQraK5dTKdu5ueGcQ0ccUMqfmy098fw+pod/muc2XYK07oTPITLSwuus/Buo
CYFkUAQmu18a09o4dStvbc7nxzquLIE8thdTwoiU2iMGX95i/NbfJ46DlKhvGm6JHKmoH7I+UC+5
UbefPVcpwqKwP6RTjy0YTYoacCrN5TVoxMRY9W4xnGIuve1GfFNgIqfplx6qIVXzEAGWbmyr2wW5
6A3hp5ZOB76PvoZ57Xaz+YSbqPpmycW9i3vRr+PJKz5lUiVoIM3Jp49nxPvNmglBW5nNDGELevoE
Ckd7WkX5RwJhL194X9NVYIdltvXyqkt5baZ39/HF3i/ot4tJgHL6mCeGO45IwsUltGuD8sUzZQFG
aDJvwXbaCjuO7HxwnZ78L6qKa1qE4CY/vvZvM//1McHq0LJhEz/OR3qhggqUfPHSlCWJq5PX2bQr
HEwx/nBMvH7T/x3Dr0/pwlsk7gssDuTjJHKCPmejrxy/WCN6gsQ8HBerioQnAeSey5vSLsKbRIUG
QHaM6uuNM6DlsUef1dtMeQfsC7Ced9l6bXBawl2747xVxEl93t0XBcGL3ZVFvbI7y702h7T8UfSO
f1ZSnr0e7NmGSUueurIqy6yx80bYrgiYx4YsPKo3Gb04Cwm3g9kG80taRd06xQl1Z0XCfET811kv
vL8/xEJHIDyGRIcBhEGMi8MZfRwSWIZUkwuo/sXt9eDHiRPvnSrND9MyPaLijsy0EUyb3o7QGmla
wzuA8YX18PEUEHoyv3szyEzorA4wIMAx79hw1crCgvZBjItBv6Bqk5dthnozPJ6NokvSbQa3mA6y
6Cb0goy6uKGAXxwq6lbnQ+0hdA+xwbhcrMg9IKFP4awFPlwk1NPRODbOk7mUZzNq7iUigrfUQPPL
yuClwXFHbHy9dBNtF5SFw7WsA3lD2DhUO6S/f8xemlw4sk5QRKLkmURVfVmILkfdLlT905zH/Z0p
7OzaKLXRoDdZ486xO7DVTptEt2MexOk6bkweIJ6wthy6iBaATJsUbiRn4mdXGP5Zgp7PF0t7bms5
IDH9Ydrrw/h4bPEoJd33yGalrdffLxlzT0mY9y7x6UtccWE0TnpfJ84MUrspzQtr1Ijxj1/n776o
UIQ16hY8kgME71hdwYIth1xWnX5P69Q9pWwGGSnsZ+MThUqEsTB6ZKcXUftSO2Z+n0RTd5YkgXlt
DIGz+/heXr1z3z8+oSbbJwbJMK6tYzBgOxZC+VFZfo8mGgzk7VX4rULpatg0xSxwVbQzKhxFhRNj
J6gVbtLYE4cYOOyGOkkQrGl4wndvKxgAmDoOuvRLCb00VHyeeYk6NI4zXXg9sriRkBECcBCnx5Wa
LRsN/doseoTG/WoN1lzUe4Nh2aVZZ5zDe4KdTinDOPNUPF+hHsBxluImuItGTu91hX7GWUGbl4jS
KSAy5E2OhugwIreBK0F+LwZSU2IR9bmzp/IEkSYHVywJ/5WZSLto7VH1u3KCBIk8CaIOFdWJvlLn
5Xm0xtehPh/rQCmIpLUHrta3K+sEcArC4aYX2V9wwEy+wrnpfriJjf+OGlIw/B+/nd/3H2ZKAGgO
6JrH+znekh17BAI7jdl3LLxNqWVq0ydQHvNuqXhl5FTyZVG9tmcynuYhxTtj9ob6T9S2v5uweNgT
NjsgVyEVHhVeQEqpQi0y/x7CAOs3ry/EW/o4P0tyLF/MBUvQpi373ezF4bYOwukh9tuhZp4s1u0f
xuRvFqyWsjJBW2ppqWPELjTlcahQVv8eSdP73HiWurFzw9ig/5l84lzsL/q86U5rtyxO8slBR6+U
HGQy76arBKMjAMloi5wl2Db+ADnfiJXfJNnnP9zlbyEDKubA51niYKZJKo+GbCgwVAgat/9O1buJ
7ogshFpTSUR5T5nDhe0NGT0lhRzbxm9F9SNesMZcLaFdj3tHVupeBHl0Zsoxu7NbfFnWPafArk3b
nOGOUrnGyg75mde7/g/P4nauv//3fz2+FEm5SRRJynP3jjURuMSXH/As2oQF9Z5o8fpX/iJamME/
oDAIKP/k9Fpw/L/+YttaFkxcaLgmYA7koEwtTv6TaeFI2LZaq4wz4PUT7uEvYXKYFkiw4khDzZs6
3L+lS06Q+u6ME+gW6VpD4BPMcD/Utd+fcUUjFRR8bzyzkho8Dun5SA8Y2IfwKvMTioi+XRBOSTrk
+8wu8sL80hGJWmSTdaFuEXvo0HbSpXlUzpiD9ZhCUSqb2v8M0R8oarfu05LGyboeURbYuc6Iqzd0
tvmQGuNIe4R8zS6GEwyLCopjqwUrka4+L/MZudhhSEjJAr8uz1DJnE45UAbzJNWCK7MbhrdASmsC
Su+roaphP1aDxLZrCjZYF9RniNrBSyWbsVZCaAksL4G0lMTQw1aAyKDxsxEF25FiwwiZaoEc6+Xe
dLNkg3g0a5s9m/xnOE+Qmmi3dqyjExLwhO63E5k5wgkD0qVDm6OhHlTJiVdEjbwIaAGCspxNiIeG
gceIV8/dvmuzoSfNpoASF252qMkKd+nSSlp6wHn6FQ42IRIEQzhc2iIsHwB+gbfwUEnfk7l0m1gp
DrKonvGvA6a20OkswNOJZvjaobpyHy4VLdY2aurphJYPQgZhK3hQvK16+yvN3uZsFCj1KttrcVvM
UNmI6saird+eISNgaa9krK9N0vV6lWSjOPHAc92jBzqdEZcFak9huel2sWrxrh6Y6huD0r553XjZ
1oZqVuydLg8588VEiTTVyleo9RrwiHHMpTfuttXG7DG5IOwsDg1adyhaDogz2uM4bscurdbIdQxA
ce3OZKCjuhZr3XD5IcPEfFzQp9/9L3vntRw3smXRL4ICCZ8RE/MAU47eiZReEJQhvPf4+lmgpHsp
9tzu6XnuiAnFqK/IqkIlkCf32WftzORu3G1DrIEK+vO52PD9O9kW5n6o5vpOlG18lll9/oSt13JD
Fb3Cq7FlHnJA26qvtfZVUSwtVTmbEQGfduORdiFYNGIWY0CN2eyWEUQQ3W55NZsNabRhi7WG0I5T
zOZlu5VeZHcWuC1CHuOBodNUqY59mGrHviAKGfU0/Mzd0KIs4Mf4gm9dMDbd9WO2j/pGuw8hLh6n
tgAenXOkcmUZdneOMX5VcQf6I9BxP8RFVbjcAQmgl1ovyOjF5OpFliPOCwtJIItN59M2vL3HLWyF
rsleKnxzhNbWMYeo+13Y3JuY6C4bFJ0veV+E/tBEy8cBQegQrgxAeoqiytStFeJpxlrprpZqLi8b
M00Zga7SFPjMuOGEu2yzAITVgxUBbJ4UWR7JR40eewZ8Z7S8ML/NjFrzcPYRAwyssq8c1qEdGoxJ
Gpl6g1Fn8JZ+1uWuKg3qOwf6dXhWb7FmMM3qq7YI5a6z1Px7KbLlyFw5EN+YHMNxXqRbhv3XFL+l
DyV88kxCLQ9pTm1ZGdozXdtHM29Nr8wijlpy1OwWDBT1cZSD1GzierCup460U142M61haf/ZFb+X
fdIvf7ErQq5hI/nPu6L3nCcvhAgmv22MP37q18bI7icQuLFybW07x+QX/sRQ0DP8wOanqojuTCiK
jaDzc2M0tA+qsJFOVeZ4cAdueIhfG6P2AckH2zAJG6/b5t/CULwrbE2VXhctZVRaW6dhCrDp942x
X7G8N8MwX5aTLgNQMDwXKz3dhl/tabxhIH45QQNDW1LVrP/UV8b4kBndDOtYls3jm6t3/ePQ9TbD
Q/yu07++GxoQqFkMV3IktbaByTdHUaQDjNTxQHXYlOKSBA+OvINdEbc5j33F+Xgyhk82NzLsxMLh
DNSkLRtcuHa24TnSLr/Jvlev+B0xsXN5Lh5oezliz0RZ+J05GzH/xenx9XD879Pjj3eMHEGriG4G
hI13Kpyx1dOWXPpLHX0i8i18jQ8jOgYOb3upTLpos0hJfWAaet3qc3fJVH1fjC2Ax5ZZn2/x3HXC
Q7QwfYKiK7IKixjtyW7NLAqwr8XXiJengvjBzrcBNH7s4uYsyydQ/hj0rIukjcdi/+ffwx+/BvpR
KsdQes3MKb1XBMg5IV6wzrvLsg/lxyrClcA4hMbSqMsB7tbcyrs6FPnTn7/sttbeXkt629gcaKkz
mrf9sb2tN9++qc6RUXdReVk6q7gUWTxclvhiElL5Pv75K/1+NmG2iFeSKqIGXXsh7fdIy5pddW3Y
GC+dWjWem6kidSDsnUUjliIO1GbIV09XF07lKfbg4q8Wze9q1vbym6jG5Bp9AYunw7tlbtt6Ekdb
nrrdZOZzgXv+Ocu392CCNw2I56vcReWr3095Qy5Dk1X29z6X3XGSi3E+Y3DDWIUgRXqqTUSv3tYa
/AZnWb7Xylj7qkIouEexZmBK0zmm/tWh/I9fFO00HhuchzVj60z8/kWp1mCWphkqF2IIi2fmH8D9
CyXrS8NFNyqjE0D37EvkyPp8XpsYr7ZBkq0mRvulh/VQeQt0OwLS0vE7eRsk1ODSsv9CuaTF9345
bXOk23znpuZuvcbf36XVOonaxr1+QUVXh9KB6xSv+/l1j+6hR3jt3Kg3pEeYAyNUMWE8oqRwxKqc
b1t9Bpbyts5xW3JynqLHKQWkRoXTM7vT1A/YbmkkoslhPtzqCLJMqSnCtCsvp63QaLaSI4Jlkbrk
cVKJEFBRHEyqtlstja4j0utnNx/s5rKniulf6xlrK21Esmg8G4xhxd4/Oek5PibnE/WtcYq30mh9
rZImNSbrhbsrOZIZQR01bSWV2IqrNZ2/0n/r7wZVofKait4GatAMRyPUtPsmFlO2D22Feo1xmPAL
liqquKRslM/DVtrVdUeAHzb6o2hk/i1BQOW+38pBZiypDJkgj05EyVDubIUjyrG8aqZiZtKmbXbi
tcLMOQtG3jhFTuONWxFa0PQns1heAXyjQhVMdh/YarTJK7cS1sFu/jQXanym4Za8M8mL3Q8yVTQq
pmJ9dqyqDTp1ZpxkhKm/U4i8e2ZmcXrpXuvn9bWWLl/r6nkrsfWt2F5e6+52K8GB3xSHklLbla8V
OrU51Xr6Wrnb4QS54rWeJxEi9PBCUOW31PuRsVX+03YISF7PA+nr2UB/PSfMuj2fW8R75uHNMDV4
OV2y0pey/RZDudbWT90EaJxoT4kZNqu+asx/9OhvA+zBWr3ss77ICDdImnU/SmacwIEmCOyplld3
qk24U7ropEYNfAeESTXMK/N1FY6D8TlkP4TfMzUgBEme8fBKivAKGdmyycFZ7Cn2mU+UPbphr7Oi
prAS3eQN7IU7S4nT8Grk1rGwAjo1PB+hZ12xA1bcgpZv2LzCYCY7HMYGug5pfSGHEA/xm5iTWA5T
uCMRA/ZqxyxZtjPLqFg9ZzV5YpYaKQZeEWPydsduibrrLlEKfNNR4rwow2gnqq9WWr9PDIdQH5OK
NTyVut1jR/ZKzIHrcug4mrVEyaP1F0HYjSuo+LYrk92SW8VyULuuqJl/A+ju2USR5ATUNEQ88LVq
jwj/K7qxbmUcULJCVa4IL1c6LnlZPqZFIYuj3so+D7K4t27XAbLJjmONJs7iKe5ADtkxx9992I5w
f9mM9RO5gxoU6Jp3EFR9DlnVETP2UxzE9XRROAtLW+FWaf1Q4OhtddPM/SgkyAHo7cjXmdgd9Um5
kaK/Y6mTlu/wBgrK/CJujoKK/0DOXmZ5WoYX2k+qJPTXIczIrJzaWl6n4ZQaHpNQ6QpXNV2VM5hP
xk7UYUR6AxlbdSBobVfHOIF3EGTSiDkS8O9cISHwsHwivaGzmRDJjFlMwdO0VCAEmWxwtEuxAi1K
CF8wFP2e8QNtuLRq4sCIr2r6C3Mo2ZKizs74AUnEtb4LYRuUn8gpL+NTsxT5vOsmc03OyFXo741U
M5/NOaQv5wgW7w4Dqa0HjNOjJRQDHlU/x2nceTg18ZgyN5pPE5VFGqXjXYeJ8kvdxvphtKcoDJyM
4Dy61iG/x8yrdN4RgoWFdq5146ZDiL8XPfnf7kTiA1xOsdhzwDh4mhzaWdOmY2lHsC0SxZakaTTb
4kzTptvbeQfXaF6M3vHUZhNH4qnkjVUdD90zdjD5kehLVnfBU7L1HSFnjr2dDDXY4EOW3WpOKQ3Y
kHhGLvq534rPjUwMMNCag2oqeOmqWldITVrRr3s1s7cPv731iecT74vY10vy3PgUDGJsFFYmEpnI
zoj38OocQ+9N2drc8u1AVRDxv/FMpW0YXzW0qjfPcR2rfN04sIaLQsFA4ybq0My7eYO8B8vYEHjH
30Ho8Il4gBBhvtXJNB4/EmouT86YJA5tbTDK3sy82vNE04sBlRYolt7PancWUeamaGJllt457Bb7
rlTFZSOj5hNIFCDOsREn2qlyIjmcheB/Rn9pcU5Q4C76nuiBKfNUu1m+ZjmpJ/PQEbrcqMuYPU5o
R92hCAlGX0BZ8gzBGBb7nAMcPUhwOHQ7OHHyUVHDYleA22UawuAxt7RTfJsAAzkjMT41fVNrtYjH
HtYQosU0+bFNlTEKCCriNlkxZ8ujUVai+V7wQCYSQ7Ckgml7YgepCah4RyD6GLDJTM2ZaAcN27vM
+5GdVh9VSu8m/dxKFH2FsVFxWmXfim99R9wx3mVhj8dk0vhVM0E8q2dMkRUda76WyVOIU6UxMY79
xbzY+V06Yo517O5Ad3I0D+sElopkOtGt+xp7d3VRWrNxrvTEaQdkIhTjWcTwDSPKZlfE91Qi3TdV
bm1XHp3dCFOkm5AJp9EhYC5cmrs8akSy8TB1Z3RXKrDloWasSfLLOrS82CbF9qSE9fQFWQhabW53
Vkb6nCpuZvQC+LYbuYT0jU3tw/iV6tdzlq/mZWHVYESbelQthl9iY/YWqpsumOKab21ySsJw2tUu
eHZ0HW3pWWfqdczBIxHU1bD6QdtGtr+EC1F8DOpYzeNkLuI+xT2MAbxN5EfWetFdlxI1ZDdoQMl3
ThFbkzsPnzRnmByBGXC0H0ytRLacMC8ZFyTmwZNoQtwkbO6s6IA+Jd8mBwfku0TvM0hwbR3r19qs
5tYxJPqOzzXPSnSRtUo9+ZiHeGZQjQ39BXh53n/LZMOui50s9jGJqceF6byWsWnLBqwbxvYPE9Y/
/YW/UFLANGjU3/9ZSrn+XpbdQr7XOzHl5w/+VFNs4wNHDu7XjWqJmL+dnH5BPdUP8GvwrmuALqSp
i3+3GVBT+E+IKZuRgQ7epsH8UlPkB1vQReNEBqwdd8nfAjrRffv9zGGAwgM/BOSFc9E2H/Cul04A
d4eLUF0O5jZp5A9bpDvQyQnc3bYaA8n0mu4VRdIWu4lpGulqXQsf2sHzseNISlshzlVFek3X56Yf
S9NS0MCpJ1r5tYYscDVZ1nJWLIK862TAiLwWcGfcQungDIiFPDor12oawp1QApsxDVD5cSi0oE05
/ED/qD623dKelrSJLzFnEjmurOtDqCn6FtNqY3eWQAgYfS+auyhr5/KgNpIkRMz09jN1jFV6maji
1K2Y+yezrSaMtBhmlNe4PCT2mnxXhIi+TpCpLyjT7SdzqdLBJw/TOKcDDaZN4PkdXGQAUoSZG9fg
EUzmtXSi/GzUZXrFGHJ/MSJo7kWYklakhkyUVv04BxQO2S61qRc2xTbyZugArtJaTMFT3c2uBNkL
vsPUH5yWy4x5JeMltFjdEhkJusIjetC0JgpICJFQIQ1xIhqsuO4V3aLtvRY35I1W1+ngtBxUHIKg
oBSUJ9PWag9XeOhlU4ygLTXS61qnuCg55ajBYlsT8+0Z1gW6POoj2kN/PlTGExT+/k50XensHQwn
ua8pRFBTCjnZvmwH/eOcZ9ouxQO0L+ooJdudOLgLBt8Sf9HVzCsqGN9M/HW3tlU5aWBZoXnScUW+
IPyUgVGIW3u8BoJe+pAMCYCM1Gtj2AJLu0rTL4XSDZ8ENMCHttDnKxzZpocDNKBgYrC0AHFsxyjZ
ejnnJ5m34bkENnJjYve+APH4mDA47zPYmPE0HBaC3CLYfoPJoUMxi8OkEitVid7LsjS9JTpXvRpI
h/LD2ZiOkVXts1R3gsJAzY4HtfJp3PC0ZZQtPKQkS+0IMche5DR9FRDRd5VhMAtN6Ie4ZZEj7894
YVH7C3fNpR7AGJ/8DJ3Kh15yU7HaPGHLs2qjnTH7bhE92z2tBUzGdYZJGVNQMBvn8C672PSiIQpx
74vkRHtEeULQYL8mLOzWzOuaBpspTzhMGz/F7Bi0YmafNNr4Ej8764Zly54E9XVfU+y7Q0lKfaoa
4ZaKRRAKvcv5dpl6hL4oIX9wbxnFEokHJwR4uOukmEjpMvEKQwVMpziKHbpdc26BPlDgid5pWmZO
dyZ9AdNwzSaLxUdhsBYC1UyTM4x89g2ZymH8OBtrgXVWpDlZX7JCAM2tZOH1x+RSIlw9Sp2kVWgQ
oh29De+xtb8qjK2z1Mv0OFWbepdXKxrFnKrY+fYtGJDxjmrQmO6IVcehC1NdSfXLTMeb9inL+nYt
fTjgJd272MS9ttSWXPHtajNPtiGJok8446LcS2NBlBrhhgXLk2lGNZgXvFZMkyYzH59ZCuJ+87R0
nKAp2KWjw9I7xqeNV9t/ZTKZCOBPXCM5jAgifXXCl6XjcirDrEcjKa0wO6ZqZSogiJhwDe/LbLAY
6Wx0Cjetb7WQG0vMwev2889O/Rc7tc1j+882ajSlqn3+Vr11D/z4mV8dD5XmhYFNhk0YcfPtHo15
+QOOaQMCHGAXjQmLf3c8BB0Pja0ZPRaXD8kd/96jrQ8oeJqkR4H1mb1V/h3o4qtj6K3KzEQNxYNE
9eXlyDDbZMM3KrNaxDUQIU7SdPUaUFY0YJxleKJHbpTtKVUB+DVuRvURp3tsM2B7z3XOKhOJBDgi
7N41q4Vb9IRO4mT6RamgZluLq/TU2CmrHV5ptx+ytJ/DfQYYKUnOIVqNDVxe/ivG45ACWRoPqjlO
DUkN0cD2GZ8zB2ASjOJOjq2A2lI4TYDMKYsT9jmOcZk+bUQXMKmj+kkrW6ZqKguK2HKXNnRFieU0
sIrdOPE8xPIqSXp6zZKCmecjoxyA60tsYvnApObiou/z/IoASDr1P53C/1OnkHYC6+g/l7fe5kb7
2idfh99sNz9+7FdxKz5sLhjgZxjNtvuGCvZncWvrHxhLo72DT8Zga3tDK91ahcygMjiEJey1Jv7X
jWOoH8gzt4Acmj+8N3+rVWgYW/H65s6huNVpy1DaUoCbFNPvel2oblTZQDEOVRkRT0bqWhAzC85k
aP+0WNkXh32DiEcya+gSEU+UUpjNBFBxAM9qT+2de2d0shPYlYyMrPx8dIwOX4hFt68liUrlAW+n
OACWwaDnPhB1b+hETzTwkrgjGrLapQImyiL6iN7VTc2t4GNagT1BRFUgGnt2yZnoXBTm0Uvxp3uq
2qg+RMKnMZf3A3wdzrQVs5lm+sVSahWgFP88E+vo4alpj/XYPgknrhmWG3WXZCslKEL7IxXXbaqL
L2PLyzNR/pRXtIWjHpZ2ZaNDWtqNgLnDdDafx6rnPlDb5smCk+f2G8l8Uvh4JXqUNxel6o+KfWxb
5xiVjFWHHZdmRHKN+oJZFFKNGfmaXcviUjJ83/lqwy/NRy6BAembj8BlUJ1jkXSdj1KJf4D4V495
DSWIQwz5A7iFQ2oAoq/yKPctcmC8MTNuJocsj+0nU4NeZCIJtl41MkqihUtQ53ofmL1Yb6Iqv5Gc
04K84yVRPM0z02h4+5OuBUPDG9JrK/Nx4D1kHSV3CHzMl1X5spQEoADW0kh8XTIfLBHKMw6+r2Gu
CK6DvGckqQ/0MocNBI0OgxByPjocQSXqqHltKrv70AkzkPuEsTMbuO7qVSW/y+Hq6QgXqAD20RHK
/esiSZqFwBCj6fzaZh0gOJLvRXpQq8p71IMRRZU/CtW8GRPeVJRmxlFXWp736dD5JEXPJ1v2Gq6Q
bRX1/Fu8aCRYCawVVacF9og12wotZHfEHhfbFjhE07xkPb+AQ9BdpnMdN5+SL3A4+e5X/kZe8wz3
Sin9qXfgK0LC4KzHVepEDRrQrtcLtemk13bt0+v3XUQOht2cZdVPfF4oTXJjH/DVN+wXg+XkJ1VE
L9zkrGp2A3Q7Vqdjs1TIhwf21vTLQx7zV2AXX3ROVkQZSMcda+BqA5cLt9P9gtIdTA33CUEm4WnC
aHwR29wd0u6ebEC14Nr4hp2BxeRwN75ejLLmppgU/mmdFV8KAhOCEFHvBCrSDCh/QVpkXXhaSilu
i44cZmybqTuRNkEDpa538Kk4c3J88It2Cy1TR95DFHdnTqfM+4i+87neEEXW9KsWZDY35TLp58mU
lm45VKwysN3o1gTPOho3qq7yIHDGGO1+ifKASPQX8P/JzRgT0L3dXuTurQdVDFowGzjVBrxhbjWk
lYu/uvMNIBPk5Krlflb1LIBjw22Y0d59/W7xXG9Ih/LcGsPtEcISKGsSz3TkLu91la92tu7Amsh9
FxkZyWq53GEhy30YUrX3ugC2Fc4tfpMYa7nXFx5jcuT+Nla5ksLNV9cP00YZYxnNmdYHYyrCZzCt
ysHcItkgKDCHNAjlEEoSoLB5f0kW/p9JZC8RrQHMeNw9KoxhAnx66WmlCE9qO5TndFXmS3M2986U
foGsRSliT+V5mGlZkNvcEZC7lENkcp9W2MvOF9oGO9tikZWFXp4rneTV4anx7C3gwfFwoC2Aambs
GeHvIIzN/DJBFqHR6ZZn96ru09Hq3Abl4jhZjObR6nD8OSlU0idMPVBAVnt2JHi4TXx1r+yhcNBu
YqYPgHSUyx6RklhNY+QYj3vJC0fewjQI7iLYTgcqFv6wc/3Hs0mTJMu+3rQ0pciuipR7fnd8bbYs
idY0brRli/QIFcc18Yiw7Uwspmau6R0mfH9Vrvr0xkr65sZ8OdgcOw2TS7NwB7xea9SkzM8KfuUg
+F6NktafMffkmzsmj0Dmz2kAK+G1Jlb6SuQA7Z2weWls/nMxpNAdt5NTwvPEUPJkJ9r2K5NnJgMA
tECrxv5YVMi7mRJfK9NwaW8DWjoxGqclmQHnK3mXC2IMODQxaMsJrpwVzoprvn4mN7oYXYuKwAqk
IzqFuPg2/aKl1ewLKKHEYKjavRmRoczocJ1e0HEbThB5+Ap1ld6aG0bCGIJUxWUWV0TzxpEBlsC1
RB7ZOxA2ODiXrN+Oa/TYgtWIa+FZTaOc6nB4Vvqq+kagy1cjISXcjfQ5e3EaXYEmDoJl7Rjqm6dD
X7bVDlV+ljU820YnZK3lnk+NUSHqFN4W5qbwAmDTquxyHTDLJT4Sx8ZdZ3TFARRXrzxBQhxRCaIx
Pw9jqYNraXNhec2SNcmlOUKaDSIw/sotIdfk2NnW/ZtS7H+xHb0zCmx1zTaErCPqMvXMjNvvJ4Jc
KtpqVO1wsJNl2TP68QJA1eER5NwDP4SeySHAM5K/JG1wrnpfTxFBAKByI/Paf5hKxsuhAcaqh4OY
Xh923IN6kn0rJ2ztcMNf/vxTvjNt/PiU2DYsDU8Zhuh31ds6RYqBM3g45AsLZKsEZBYqQaSQU/H6
Sv8cnf/i6IwfDz36Px8C/O85aczt97dH5x8/8+sEQPoUJ1L4LqjH1o8y/9cJwORwYFPLb0bBH8fj
XyZ6+YGly+kA4DdHhFfh+5e6TdAVEBS8h5YJClwjUeu//+u3IM3u3d9/c+e9Bpe+PQBshAKxicIC
fDtO/ndLKEupidBpmsNiLfETfu2y9q1aR4SdCcLwZrst+l3dLNd5BbTQy4mRJW1LghdVGWoak5Ka
U1/FU5gMGCPKkr43zajp+9yT08nunnr0ezOqzv66BKNDDzT/bCgttyKO3l0ZYc9GGI0C8k84cXMR
k0NITXaX9mx489yvl3lq9nhvB+pGmx6YscEj2hMDYBklAZu7Yueg22IiIOkGtGczSEPXKggCVGYz
3U+8OY3RPKs+ImSHRxSy/pZEOeMEa+NzajfKU5IX7D9NablGQ1jeILUIswKlcu109dU685Ao5u5m
dKJv5P3xIUM+qYi1G+71bCclfabF1BWa3mW/hyH4Urd6gowue7rujKUHZo33W2t6kKcrrx6P2o0F
FxgnQX9BCB0QU40iQzj3BOBcIJ4iijEniJIgzmc2AaL+ytHViMvhD+DnS3FuOPUTUBwAnaKfiYeJ
PlNgH60Gr2Gu6zfZkn1uTGo/u6ruoD6vnwgDUP2aEWqf0fJhN9C7Jf219FiC97MeBqGNZScLre0t
QJE2+dWymfU9JD/1Ss8UZYcNnFyUTuYfKw5zH+kPUhNtlT8isr6j3Yus1zMdHqvFS7fW11hkV/jR
yqmH1/RcGaK9J/BlZNw01HRPr3N6jlp9jevxEDor7Wuzb64WoGJPRubcW11S7auZeC6B6wTUHPGy
K0NJB+IanYDBhYd8rZXGNfTpITJCpBtCHGxKlC2JiwDBr4rK7JZnN6p+05MadVkkuKT8CaA2h5O4
WYM8Lu/0TWME39DSsK702y7v8XM7IQFfekwDmTvHTYFbk1dJpxWIbCP3LUCy7BjVQlAgLBUkAdNx
e2e0qktNzMMZems/7IgfNB/ocydnRmGpnw0+uN+RH+YRs6wl+N3pFO8EHYTW1UFMnsHKNftjlapE
EEHHXl6U0lwVWgwVsbyLtKeLXGuZNt1ip6kAE0xHbPhwLFPxY8brnwf9XzzoNbzZf2oMv6jK/vn3
camfP/MvkdT4QDdy8w2j6mCjejsvZW27AFqPRTwNLJo3jUzkUyy+SC8AkcwfcTY/H/WG8YFhcpNx
KQ0IJEDtv6f1vIumMXnQq4i3/J9OUsbGZ/m9JtpioQGCL/GVXddSeMDwFI53sWZSslvZcrCrTC93
4MHizfuo1xcRI4henkTxN44Qa+XaUUHXzFHjZj7Ga1OULvcccOhWk0FRJo5Bbm29nEMRa/PHZDWa
86pb1W+pHs2Sbk3GJLcKUZGUKWUc9X2iWNWD3fe2duwawshOgLfb6aKtaYTFfTYz96nli5uhQ13U
Qhoe1lSk2kU5V4elps+P080TablqfgPaaRw0Zp20OD8a0L0Xb0kd8d0y1QG/mx4ZO4nnmBPvVJqx
Z1hxcpGP1XQc8GselHZoj7BD0HpJpppvxkYBPTFofqXJx6nkOQh6ri8Y82HUxF2WNX2czY5T4qDX
/oBRIZYCWmS6ipZplikTIWT1Kk9nTmB6azL/D+TP1aq87TgVhtkqXL55rrK6DuKaSVtzS7XrrjsO
3NbZhFT3lSuynHFQTcP2frXq9cisVKcYZ3YbzVmQtgKENW2net+S+JAH2qxNF1Vq5ImRk1S7AAMq
d9bqMMPjTUaMZfZA6l5cNcxgZfU42GcrAYmtXBlUArk2YwPJhjQeXRlhthqPAhC3HM8YhmZkrXdn
wVApjz1Hse3arzXT+DTqmrjtOoxSeSOV+ZssbYh5W3D4C/ZCbWuPl51ZiDu7CMXO6hPmP93aDu2n
esoHA9qIHM8nht9PVjnUXKg2C2NvyYf0mBiy1HnIZzeYShmYAlqEJSubrja3AajvhOGsfM4qn9GC
iBBfIU5OmlVYc9V1tyZJtgdJfsVY4HzbW4OR+KGSa34iW2IVmaKNTg7mVMNj70jpNqVOeFDLTczI
9YWUtxlAMyf87rnS6vyr1jdC38mss0y3bVYqDSeE3hr16SYA0g08dZhH2Yei/AQIPxXAEobPMYel
3lsrw7xWuIKmW9Fe+By1hnoWpQZGqNlU9jg2S9/m5S5yS8d1u4r5pqx6sY+nzEmvDBID3KJxKMUy
Tc3ONBFhyJq0bvSdzCqP46Sal8k2v0X+X26cIxetpzJcVSRHdctki595j3hw1ELshpxUupjEX38w
LCZwkYniOQs/xy3KQVWs476GeBNkDb1xYO71Q9qtlyZQv5ttZV+FghMFhWoZWI24WFN7YR+ve8/R
a3PnJLXWcgVq9aUSi3pVMebwFFHznLWNMZ1XY5YfOvqjmGmtaJ+mzJOFEDeI9sQMpU1Zt2cWXd5F
BkmNnOm0cyezP66aelXqKalxSmidZ+tongMBVw5p2k2PZlPRnk8ZIj+fE137RJtlRs8jWxhnbK7q
txyYhkCUnf6i2A6Jcj1XY5etaX8c+vwrHg8EO0j7jq8MC7aBbLSMO4reOfY0FL6vBtT3ezOl+e5W
WWt+6YstbZq5eX4HONLcyTUPMK3iNmASj5NqVSdITwUe0jSFc4uzUS8j5zCbTLhBIh8ddL853fVm
hCBiDz3uSkZi7ila4V5wfe67ublhWVe3jracgw9n+DAL5QGvd01lpDf2yUGolq5ECPs2W2V8LXMn
OYxhVX5DLJJ+rkLudOuCyaSAZAdyw1VBfER62xfI0qhOM832xbwTSsUkvZgW7SAHPfSmfn1w1FTg
LjYjPNM2x/M0H3myD6r+Gbl5cot4UPx5EkbqzyDWPpnOJH1d1OttNSPyGHY7PWJjg8Chp9WFBsql
w9w2f0VkGvFv6j1i16R4mUnRVeVxt59Jm30iXrKA3pHIqxEq8/VSmhRE2ylBa9t6Q1SrdzYQ0szr
mjZrdsC7I9C1jfpM+dr6xjxUt6mhVD0aY6yTpzowMIpl9WVeI/VQjqX9CSjHinOepRUQns30ar+M
6BxRPPllxZPfoUhzbSq3C42eHXQwRd8ZkdAeokbWZ85kxqdKtvV1I+BG9KidXFkZL9/Jpe3v4DA0
qddoGNE7EOOUvaIriCFlDFmIUTuuLdB2z9DwKxYJbgeMQi54zupiBo/hKXrTnq9lNd3kthIQaykv
mlEzE9p4SRwedUvJLmJVNEQS4FvMu1G7T7u8BtXqLHfqJDpOPVYsbw0594fR6edjNYcJGIrQmMCk
JuoVfufssZBV84hO2V6XQx5+rBk/PRvmZsYg66wPguHbAONpugfdtATE2zauapVd7Bt8Wo5+PZ6Y
Y5mvI1qYPTxAc1EXNzE6AEwEeNE1QQNr1Fi9bjo70gPbCasTQofRe6C7SBJKlyKD6otRyakMnevY
T0/GbFPijrG1X+YCRFXahOuJ8Bzrq8bvV4CFl8l11GO8tFJVPi6r2R1UY2Wjd0p1Y3lHXbIjLNRC
I63r+9Ae28hVTKz9bhQyYuk703w+NFW762rwNt4/Ksj/ZWiSamFT0P6zDLLDQJB8e36rgvz8mZ/F
saN+4FdQ3TEWCVv7dTzrl8vP/kBr1NoATRsKTbdRuX7pIDgIqKThV/IGVA1N71+NUAYtTYptuqOM
QLzaA/+ODvJeLpQWvgEdNrSJRqDjWvi9NN5ggqtTVwNWsgEIU55JJiMMLZbnxoCpzbXNtjyHIA6J
QcYo42+u1f8iVr6T8XC9b81efBXqxomkyfT7qzdNtMpxnfv9NGhjYC8YukSi5f5iJ8Xh//FSkBPQ
aIwNnvjupagHRiHAGe05jyf7XBMTfbi4Dhhoa/4fn4pLKfXNiUkne5NK35gyqGayejGMfp/Pc7Kf
cfX6bd9nXj/bw/HPP9U2nPZGxHq9gGBJVAN2Gg6Q98nrDJIOGSk9/V4mIROli4bhfrBe5tHyI3Jw
PLtCntniaD1mA6sfD4XfNLW3Gtp2bPrji9MQ2lYxx753n7OfYyJu6r7fK8C9t3xhOOSCs8+ff8Q/
rhETzoW2Bc1hu0U2/P1qdqQ3dWMTDvtWGpB7DIprzkJzY49BWhfMov35y70bF+WKmtuI8uau1Vgm
r76BN18ecAZNj0U/7OklE5qTtd85pb448OAQHooz4op+2kz+xmWEloHPEuMDY9N/ECKp71OiJaph
jwjCXDzeSr4sWQV//rm2y/T7l8WrML4GFIvMV1g2v19GYwhFSZE77HXClVxdUc4Ry68W8T/Mncly
40gWZX+lrfcow+QYzLo3JDhLokTN2sCkkIR5dMxf3weqrKqQIjpU2ateVFqlZQRJTI7n7917rs4g
X83E4s/f9ruz+PO3fblomMSDimCWdkPktAadM1oEHZK/Mk5wZIPbQGGavPz5K/XZaPr1CNFDWYLg
LoTTX5eyMUwsp+957LTQMo9mYaZ3QP1pDhaTs22LgB1AhcZ0dJZVaspXC3jqvhTGtg3qYtMRBbRq
2Usu6t4ufwwDYSCjZSJphoN5TVEDdS1k051U0zcL05dAQzHfcYZq2mhlZgbuL3ecIxkgFw2PUdS3
ZrIwSUEilHoQ3UpRDHqlUoN4QcybZ3D2Vno6mE/qZA8M+JzyAsiLsQzKwD1iOwm+eRbEr084P431
eX7CBf+b//tPD0PsppgCRdpgNA1XlHzCw6E9YLWzmpWsAnnLJoQcnt5CDwx5Nd8PeVwDMs3AaWYD
Pc9OzbFPyHhRjbm6oHb2PR/Q/IKuwHgIWr0GnTQpu4lpoVcxYvaAndNYZf581+Lzums6xydLLaqW
tanYa1iOEAiN2lnBDtk3SU2wjZK2y8YX7mJIxSE0k1v8FgzmzBF4KaTpdU2/ndF2cyxce9pWqLoX
o8k8luhh/0wNR/VeqatuE+eJQuNzfE9G49Q4TbJw7SDZNrBFj3xyvv7z3frrA0LTi8KAp57Iz194
+4Nkhi36+aLL8EJhk4YzXN2hMb1pJ79ctW2m/e1Hkm/ERETjB403683na+nWQ+e4U9Jsat/fadJc
wVD54ebmWW1gicTs8/DnI/x13QZTxGqDBNLFjKB/ma8QQ9mB6m6bDVlAYCK7WUpd9Gj79Hr85oX7
623q0NizdBV7NERk68ttGrR0/KGI8RZ0OnEolErbFX1rf3MCf/st9CkpU7AHcg4/n8AMoWXW9JxA
BSlzvahsV9liSXQu/3zetF/XMY7GYTRFtUiyt/jyPQn2Rs2CVbcZBq3wcLvGa2vIwDHIvMDGI21K
Cm58hrBYl5173GObwkyi75Yl45flFL4HTVNQpRhQmNN9PtyqKswp6my5MYfURnLjpmv8m83a7JvI
QSYymTstH9xVrRZvadHbp6SJ+00g1O48myZjj0/4O6bp7LL5ssTzmyAKMLEjMpfW8OffRKNEUfzQ
kJs8aPOdWouVq7Z49fKmuvBlCaTWbsvHFAMj7S5lPLZlNM5gQN1znbxA25G+pWjiLxJn8Kapf2px
ZS+rqCmvx7yNFmUTiS1kzn6fj+mFotL4/PO1/f0BYOzBVsOAk/nm5wPwNRKeRqfnpIbjKajtck3E
SXAbsooty8qOPV9q6jKzrYY3Vp3tscM+O5F9I2vL3bWl75M8Wnfz5tW9KsiaunHM6W0CPrU3HPpZ
uAxHurCxwruiSdfYictvjkCbL/vntyyX4Kcj+HJ39k3KDy5Ghpf4P/b+5Ob7RgywHBUCIKOaRR49
O+RzdWcUjNrYjH7HLzR+excw86evD0IVn8vnk+gQeESAWSs3mByaEjWbI14oqy5tdugLmM2vRdoN
97auhT8gbjRtFyxjLAP0gUIEaoFc66okKtMy7UWP0zgjPLQlSIsv3DA4jZfExGpvY65pLJX2tY3G
SpDh5VmKew8Bqd5qnVDPFMhc26konhHsXVsjXxSYH8Q0V4pvzvmvpZtjsRtk+m0xyWC39Pl4mYbb
iY+icFPF6X3ub+wuTj1lUkNScJAo/fkW/c2ybVGRsPOEakqt+GWfJFM6rDWLzqYM8ncXXAlvbeap
Jk7xb75p/qQvdxLfNMNmTBOxytfCvvKDlq644E6qg5uEHPP7OJ1mkTfRDgw7EkybqqU4e1LsvmO2
/ubta6kAmG3D4MVE4f35jDYB4Vt+rCJtt8dHWCmXg12dMMK8p3bzwpbX8v58Uj9qz1+OVSD718DW
CwQMn7/Q7RQ5RATUbtiG56fWoO4ZfcMbc1QFRje94RG+KaJ08IKxpLghz3TZyaD2VKqVP/+U395M
2BZ4syC2/0X3HLVNJ8KO57d3isZTS5vhP56chRIVAQl936XT/+alyfANATjUQ1gxX1dsiwj1AEsA
F3mskUqWmr+cWif8Zo/42/Or0cngTuL0/jLhi6UWFHiN5IY9cr10SH/2ujwGZ+s7yq6H17EM8KTD
T6+YvvsBeMROSyFDKIeJGdM3z+uXPPe5ondYmaCH4/Cgpf71ajdBx6Q/V+vNqJnhS0lQoEBNGjRH
GWkCuolVWISXtHzAQhmRvi46q8IgieMi0Rl8kLWFWnXsz7vQQPimN02rLUUg5Oufb4XfPOpzLgsK
nLn788sDWCKLbUoHr53Qo/rKFZq1LkbbP8R1Q8Pr3z2xy3/e6D93Cn5tUziWxj6ZNgWsL/F1Beux
2k2hZN5hdCj04OVgU66n87EjwisggmlZyizfhHajM3Zo1W8Wmt8cJ6JiC5st4x0NMdLnhy9UHJIx
yAPZWINfr1sTu7zJlHHFriH6+1+F6QHKL1gkkGZfu0xMwWRZwQ/YNJOfvZuEQF9NecgUT7HU7y7f
bxYxLh9tEUpEuEVfOxX65Adx0XL5ImREno9+6Rqapb7i7QZsZ8gYShfh+M3y8Ztz6c6ANxPtncaI
/su5ZNCYQx4S1QYgA4p0MZC0E2e6V6u6/OarPnQDX98QVBoq9iYMTgi+v6yaTmIWbUASHkZEIhbX
1jg2ELRCs588aBM5fOta6h40+YaIbaPrlTU7x3ZYYZw0siu8xNxKkUGPceczQL3Tyw5AQ50nDsmh
KZbDBaap8LmAM3SeGI6QaNZTZKwy16CE5xySsZzNqngCOtFr6x7SF919Qv42jEJshjpYK8HkY3S8
sVodXEtqDiRZxFo2WCvDLUP9we21KHuzYpolwaJkBxMehpAQJq+Okjq8lSmDw10Ke15soJ5k5kpR
S22fTfj8NwwtO3khMpSi52bTjv6VJaGVrPl3pQcpUcuE2Z/pJrmXg9wIzh07F7bXCpj2a8yt6XWn
oI7a17lSbLWaLJHFGNRMLN0wusukZZgACgBX7eyAXL+l0xZFsia+cQxWqBny+izu2E7iEnGZIm2k
7HFHg34YB6/omHQf8Gn7Kn2HrNS9MhNzcRXhc3+24TVgzPKbYTmRmVJflwJ2CUxUGY+XPZOL6zwy
64aAxQoAvVpkTsAoqAtagNzhsK4cpmsolwMGpwyPp2kpZexiMuYVtUr9uf2nKrqbLCopnNs4rAi4
SbPCWEoz7NAtlaVAdt1e0eddt50o7/1STx9SxVFPTW6BtYIvu1XGOF0ZlXtswW/nlVwPuAhOvk0T
1QxhzwCT2ehmghPUTbJ10HZ7gyhpjAHyOU4s7K0tTs02How1LJlXEyPzqoOpwW+o7Y0le3XlmpG1
MV3UI1TMZAEhvTtIsxxe7AYIhNmOaNbt7nmqALB3xgxgHcaFiNK7eZJpKVZ1KdysXiFniC4xzE3L
Vo20g5Ol4TlEqHTDbiFayMi/GyZDbISiMUfFFgvAxd/5rpkshzhpKSoQh6W8ozwp7ekqSYdd1ZhE
jk2j4B/JMaG7BIy9Zo476N6kJtVqIKVxEYd+BzYxyQ69EXpowZxLTOQnKC3DSuudcI1+e8L427Se
T9zDhig89eQHafmE/F49y0MbR0uDnXlQm/rdUqp8qTTw3Bwa1hvUeWJHFCQk3dwfdoYaoYQZbfRt
A2lYgA0jUWqgY8eHDB7MQx75W1uY11E7PojBz8nBc2nUtf5DZilBzROYOTukHfm6UyqYQ0K5wfPo
7yWx654VFM5KZWTKdaimBTG2k4cspDxFtdJdVkHtnGQ78FY25FkzojxIBzBCo5K/yaovtyTvRFuA
6SC3Mqd7N2XTMs7vsRJ7SRc10wgyrcohTy6oNGtgP0XkNmToOuTK6Nw89xlK1sGzK/YRvMpZJOKg
7R8RCSQXFXEEtEcwsziJtlNJIwPA1BD3q03Ogf9TrAYeiBVhqGKUZ87YB718HMPalhUKIUaeiTfB
eHtUEGqocQD+SgFYU25sRS9+kMmZlFsjSfXWy5za7hZjgRTsTFEsVPsJ0exA9sdOKHvas6qkSVvB
G6o5UwsSWFOChbLuJqSrf6mTNHTjZ3kS7dCN1CsB6IsoBd1Z45/rp8VQ0YwLI6m+WKpPPUl/twTX
oKaHklffj4ZEAguLQgCAsBeRgbhVWtdml/jvLs39dsm7GTv9hwNuGp3hljlT9l6XNYauMZPaE+Sl
2mOLJo5urpePoKB6D/LRuGmol26c0YwfO8nnjEoKtqjRq/1UsJ+OCPnc6aYh7+nCzSpVGU6IOVvu
BNwb1UMI0O1HVZrJmgjz6sGu9Ggb40VNd6SWJusI3Ms9tlJwdHbR9x68ggxx0yR5OFJdEbBv8AIF
liWWMeXeDgJS4tm0kFfsSt16nbBvyrZZCQpx0URBd0dG/czcEuhdERvNKvlCNXHmZIwGd2UepvM9
qPT7wI1DkuJDOBF23UKN43Qqd3gMOER7RooeyM3mp1pJd9fpQ9ufB74fHCMHsEWhYssq8KGdmaHJ
pxqkeZhqZF13jS6mBeVdtbfKMDwCwCmfaN3pKxpn4hjUPKqrHD3MeiKuat0Xg5ltQJsGxzQtO3tZ
ilAceYgqHiquLk34ap/gIT6SMFO+1F1QX5lTrd3IiPMdEZe3IZpk3DghJ1Vh3n5QuDWvSlGXL2Le
YS4J3y47UjniCLuLiLZiyPhYBSIn4/lqX2I4PJs6Wb40Y1k/kCiiI4O1qx9EBSF4Jq2A0wplyN8H
dCOQLjfy1e2lOJrkT/fENrvBccCvXFJtg49+BfZhItQt9Z4Q74XRa/54pvFaLj2EXkipsGRWiExD
AOZO2/o4ggpVuym1URwjUfi3pRWiIxJt8WQFuPeaNkQRpQND1BadQ2knWlxAQeNU+7FWfS+AEHeo
Mw4exvxw6ygx62LgR9sPw2GpKsGxRdALi8AR1P85IvqjaVTpDi0YUKHGpYnjgfT292HW8AdwFTkQ
DXrCWOKpxMEy8ZzTxsrl/TjStHbsTr6SxyGW6BzTnVY3813eQlNm5qKL64iEqzuzaFp72Rf8yFSo
yclp6vLZIAHkWiHeOYWH2ofH0cpyEOPYxx/SahouHUu2d2o5JKdovtx67TtnArvXqTJRAGmJMq7p
2AEiosgIj6bkrDkxCR9qoIzv6oR8SBlAhCFEd/wTTDNzh3ICd5rR84nFlJwopIdbgrbk69TDbttP
WM7DFSkk47td0uZb+i0s6wX9FlnDT1B6BBhKgRMV4WCmAJu1/BMBotzdZSurcZd1HSlqYcudNClV
zdJrmdxprFnhMU3iQltm2lRcKkZME7cbU661Kp2w21lG4eRLVzbvBXp9IBgquV1V1lfvShFrd2YA
cwmSC9LKLga4yaNXXbFaTO+FHpf10tLzMcH5Kdo3mE8TaV6ArrZKWXJaLN7kcqOij6wXc17hzYTA
9OQ2KquZbXVvQ+lUV42f0/iv9PKi6cbycYj96kprnODoW1W0aVw8b9h2YCnKcGZGOTzfOZz0+wo5
u3pVK45kjS8S0lELsHjvVNT2OXtif122fs0iRiQJfdPGaBkIG87TBDnlwofVsunStNuaJLTvKl6b
ZwYeR0DgdhBdkvhUrgHMytu67MC44SZqiAVal7IsS8/vSuNFuIFYmyVQutIEtqcbA9r6zrA2Gudr
wUST3HcSHMhoNrLxRIz7cEkR0i9meP6dngYmctziGnv/eWfPxiFVRbXY1LXXw8y8qOj/qG3YoTAs
a742sY5qD3QuBNe1sYyJ8boaKecDBugjUU3+teXrxc4dojZg0c0m9KcMGytcJTsRNftuHFOPqJDu
XA36+iwP7BwnZT4uKPUpAecoG1qoz66AZ5iQWXRKis547cC3V5GqsaSBX54MWa1yS8P62JiHYYjN
e+rtWXc2FC9uP8+ZCpj7dJZ3lV/YTMtCCtKOZNN7hwzqk5qH/doeyq1VpJXn9gr4sQi7sdNPz/T/
ssckw3vAO4eTpCtmwELPDmdpj6OJaihJ5C5RVGPR+Qps6MzEGQhc7xBqbelRofaX2MfVjYFa8Lqt
FIulzg1OreRLWuHbly0MtgWN6XHBTt98dsnmvIOsmW6jyL4DppJtaJeG1IGUcots1vkXUR+eRw6N
m0LTdz6ukpdQ9ft15yjqpsFH6DlRa3h9x8MoCShf9AmtwmAcrQPFhXkfm2KTi6FY8zixABfoKxcB
sKiNCxP+vUta/X4oTe3CzdwJ1UJm3pThEC8Hati1YO06ZL5M7zRh21djx1USHZrBtU1duKibGqz0
MJRvE6MmfVkGTXRRxdwGUY5vEx9MXrKsAbtBnx3L5YCfDxIoGNMJm0cL6mipm0H8TGACjto+3zZJ
lcYLYSp4TeLhalIJBoL6ueZRXENnw8/LjI2CzG4vMlP4t3DvKDPMbp2wBIILcJro5Kj1hAPTcA5y
xGfik68YipQ4WPTQx6wURbEMexfWFQKz3TgW3bklFF47maMkPHBWvi+DIYb2aYQ4/GOQrIua8F7M
MErMY8QMrTt3/SZ+IH7G2oARy3nlDEiMq6mk0dBGCgF6vlGdIWzEysybgTijto6TvdtH6knYGIBi
e9j66HQ7RyZz1npxkDngWGkWKcPRvsEhLxsoHvG4sGS81QbFfXCZmbLPea6LfOaiimlZEQsxQ5tD
PNpdoz1Aoqx3hW6/aJP15tdF9UTFmqLigzUcS6nc2inQVqNrg1Vjt9nVaFGxpGOtMfR2m2kZDFB0
KYeGLfDLLtorRtGbXmer0t7aCWJtFg2rOCpop8GQjnZxpKmCy1R3YnJA2jRlESJGMX7KMthPeuVk
V2CFoGZFIwsoOaHNayp19SWXcfha+eqE0Rsl/rFCBbAXdVxcY2J0+oeaiofrFrHJgeKX8pZQLGOX
lg5vFHcoH3lb0rmbUg0AIiZUY1f4kX5DfczONMlCcx8kg3zNEoDospU0EeTYZu+JOWePyanxn1QZ
ay/JBz6wMNGRy2rwn/SE/Iyl6UcA08rJl6+KKEkS06fOxQGUiPw6rQYWBhkOfbG2g4bYNtPt6WhA
XOH2CPWWAqfIQe6GVgt0lQRt/4ncRf6OWw5p7dmxmwjPzFVuo9wYm8TrJL8SjCRyKS9HpWWziRn4
0jgyc3mIJtGwb1TzTguXfdlHwZrilU+eFCLqd2ZP89MLTXdUNso4lwANE1KwUkPmnsWhisbbAtbV
LlOfXBrA0bzqUK+3/lNXd0QBBgQDw1wIRPauty3f2lYGIPneNNynf55M0SkB6XKMJ3F1SxVlmq1N
Q4GUFSaX4YpgaVSgq5f0gjj1hmbm1wL9WL5JIxLDZmUBwtI8Gchu0egCHfVKDBpi5IkYzroprkWP
ooJLyLx12fsVx5fYgn5IXapJfJCoGLpNNiL8OMf+3r13Fp1ZLGsAvs8tRQtvkrHTN3kLkJdUE/sq
sd0K2EPpqDeY7eW4HWjD+0ez5aC3eqfyG6nK+dVR7nPxrHHIFeZ/hUiXXBOeXXr/RLLRl+EsdkrD
n59yXb5G7F6iBT/WPRtlJ98iWM/pxm1rGLCti/QeMmtExkwKQox6l8s5bXP6f/seqL664D6kohOh
WcY71appotTMVqAJVJEgoZGAD42/q/D+Wmbk55GgA64ExPcE/v8YdoZKMAElZGrnOtmDaANvtZjk
oCot1D0z6Xrbk/x4BRZgwPGcRHfTFPa3vY4N+qOJ/LcMWpu34uI5e5P/a/5bPwrikzHhNB++z//8
23n0oy5k8d788U/dFIxUsq9/5NPnYij969d5z83zp39ZfahHr9q3ejy9SeIT/+U9nf/kf/sf/8d/
hePRdPR9P/Xb52/462/O5+J//09OSh18ju346+/8R4M6+1zJSlZ1YFXwrP4N43HEPyz0YDzaaHxm
vSL/6V8aVHq/fxmyDPUfCB5M4AFIlFAE6H9Lcgrj6tPkjy0P0B8+DFeWSffampvMP8mKXL2AhVw4
6dZwgsc+CYdFI1mHGBI+5Ip1XXfKFs1z9eBk2gMlDSYOe1zj8N83c4+Iql7fGX027uTcQcrhxO/c
uatUjyqRSHOnqencGjMOKshi7kMRC8/Adu5NzVaxk/LRr5o7V0ZKX610omjtK/mwagP7hLPXueyn
CLtokx3yPur5NPTXRl9VK6noujfO3TKaWsuqy46j1IlHmjtqMa21eu6xCekLr7B7e6mNfXujRy58
qrkrF879OZNGXT937GQT3APYI7Rn7ubZc1+vmTt88dzrU+eun2ZJmi1zJ5BSfmXSGmxpEbZzr3Cc
u4YZ7cOiJai1o/cNZJ/eYjR3GZO532jMnccyrSgR5m5kPfcl+7lD2Zt0SfDKvjZz99Kc+5ioys0Z
fvOsU0HObbo9bwq8OhGNynjuhE5NHqy4qpjm6JJmtEubj9RC5ejPfdRWqYZtadCTG+xCO7lzv7WZ
O6/octaZ219h1s1OCaoXEgadul3ETLQTNnYpnjcj6Fe607HK5FXy0LJjvGJQD99Gkj9uAHSEAR50
9XVlKP41OABxMJORd5qSCeLsG6ti1Smji7pI+wfCP2kDCMu9GzIjwctRtDRuCrpeYedCaO7h5pCH
4VzZPaHheWpQSKR6J7aN4ZSPdhTzhortLr3LkxxWUEqnX9VTGNf5xxtfS2mQB2pZn9EscjyAvRon
z9Vbjf0m/QOplznuah8u6FSo+Z7YBKrUysntahHBuAdkDjgSJk1RkGxtaGu9t+MnW6e+8AY/yFcM
4vy7D2q+Y/jZasii4lpLCu3CsIbiYM5vAMrd+Kksfd4Irmbzyoow1a2zmJTOhkbj5SiAKLZwCfNF
G5jDSkYkqk19Vm9xazFdF8g/vbpySApRjfRupM31Ure2sVMg9MfLQDac1ZpwcqJYhktOoLKkMQ1S
GSendkOvCJFfw0eimSA7Us2D8VIPuDVFCylpK2THwVdjMJ5sGFjRIitUdlFWS4VZCCtZGiPXoXRS
PhADd1gRQBflkL6z0RuarHwMef42EYnvswSSHa8/RNKa2Z7pXanl0QVIY16IQOc2GhbENzGwn/Rb
kmo/flmMOtdZd63Gx6e6bl8FE44iXnPCWhp+6FyZw9waU5rsPZ0LtVzk7Y2M8Y4UFphkPBsc+MdG
lYllc2sPGX8QzKu+Ex2LiIdMd1yprkQu2Jvx08edhkmfb5uQu7ULbWS/Eg29C8HOLY59OUceU5zR
46TBcke5puOqnOcYTWbaV7UIzF2R+MNJo6bz6ppdiR60trktOy5q25r5HmoRV02HPrNOSb94beww
usjVwjo6GvDcChzuyVdjUJyVkq1C7khyJ13hP7k6fbJeZCHtJX/ggzqHb7RHcg7SIFSuiwnV42RR
9Vb4fjYFFvDVx9XK+qy4joIRFL1M/LxZaqgwl0XMmRttU5xplTR9GE0QEWiu8/FtzxjXTgfu+ol/
MAN6dGj5LfWqiJYyni5kHl50kBSAqt50FbV6J4onbLOLgADSpeuc603Lvj64DEHULtIm3GZx/S56
9+Aa7EgaKuJct0+DNNg9hBvgtndBLS1PqINzZtHgp3ksVglQGb0cCZ/V8+LU8B5rF/qsq55dNieq
n1upxdoFuSS6l2hO4Fl2CVfXRv0YZeMF+cpeP8TksBV7I7f9S61RhqM26BgJi4BpTe9Y4cYqEsBS
bmeusGDSVGHau+06YACNk1ShpwBXzwPgt5X+VuVdcahwCx7iqZUr8rZJnNXFj1prtrkjrnhNpsuk
aw3q0sB/VAL9QSrOj7FFaj7lpFgQv9ughsFMpmQGUb2StOgFtPhuWVpWcd0aponnKZ5es05QrjF/
m6fs67IZrvO4LfeundAIaMKlEBMXOLK09VC1/iLuxwRPh3ZrjRTtFK27ZBizHaR8Y9uzCHuq05ar
IU98UA4t29GpXJOK+FipuFeHvFDPyH2y99h75+mFpXqi8x9VLauWwKcWrTa+G2N5KiPHfot0emBm
X6lPNk07T0uSmwZB4/M4KsaKZx3gv1GRXtDmDCBodO8BUZrVopsm1gOjS7dBPBkUr45qYir1ABxc
V5l8DcfGJ07QGS8YpvaYOAJGMcu80fFp5VPdrqZOz88KzbpIWfOvuK0w01q+dklgtrnq9TYnubBV
4m2SJ6WHvbiDaqaXb5J46xW0r92YFcnCKMvnFvqHVznS9WKte1B9QGJqwdveZS+BELT9gTXjsQqN
jTpW/m2vlWjrjaTDEkjPBhescl6b4tZH/by0eAzZWeXBA4kbcolH02sQEZwBswtWFAnOq2mL7mSz
x7pNwCJQQ4BJYaJojfu+8Xs6krrvDChZ4tvYbtk0S5NSGYDFG/0ysMcEFM5kPp/xrEJLwjL7dSL5
u0FGlsLUqBe2HxdXpKUgMworKitj1qWUtXNRdmX/lGPne+p1zbiwGrwiggprUZO/6aU8RazkTUT3
OMxFtfSZt7kLjJ3BWceoBCew7muY6+QE/tCt2rUTVJnKIxHcNdagHC2tdoB+0jDlIhbq0q8DZdUl
cXuG1srkjskBORWVKEnmmnpeg0NbXBSAG/cmc/6VT7YEbMHKv3PRap7oL0XxapIV+dCNmysXTeCI
HZVCstHUolpFA8E30DUKcxXWw3sOvO2oZUFz29dRvyWcqbq3qoaxLGuhx7aQva3dA8gyy4ioh2mX
ZFRhdJGVvVqwgJVYEbcFOrVlWTcxs57RZ+6lOfysFBmEmb7YMnUWsvb7Y2Ip6nnt5zV4qKLeVDry
rrZP/CU1w/nAVB4B6ybQA/bBzvQY13VRenFOyvbQVzVIk0RbRKFM15kJlLuoE3MzFdP5QGb6BsIx
r4EW4ojAFnk5JdR4SVdI3lydcxx7pv0VDmHmlYnyaDTuBchI+dbb8F8ra2zWbmkFmKH9GadeEXhA
QI8HQZVHHFH9PMM48QYtjrkNq6B023Eh1V7cGeWwGfoh8KQxXY+WYV8MkQ4B0XEwT+baxmKLuUy1
elV0RfBGvvzGaHjldVWRrroobleDOgz7qNMkkbLS30HuO4uC6mT6QnjkyMW7cbKGgx+jXmW0oYSJ
tqKte3ITVlftYLcw4mafD4Gf5SbJ+ji4Mqy4AmfSyj5gpNebRKy6ihLwSggqld2uqwYjjYI+HUlV
pf6dzgSlCuliQZaI1SjjzhucUqfNB5chTsF4t23hZVgrdUyWXTj+CBOIM+bCMvxC3/I2vGcvfUX0
ZrfOcndu+bT9tU/010obJ3kRxBh4406Y5zQWHqrJiHDdWqcIrvUynhqoN0wtvZR422Nll+JFDsW4
jHEBvwAgaM77DMh3pHVvdTAyjBN6d+50neEBUDL35sDuh627vKTRo5/RcKlOAaXKSvdpuY6K/YTV
zYco0MbPfROMTENqE3e+7+8zJbIWQayqy6SS+ZJU3oHwCifkVVkSgduY0UZ13BtXaYaFSMzDZFBo
0xZ4tXVwO8RR1xeWNpu0zR8hnER68pG7H4MJRAVofor+gBbKi0qz8NVORHzW97mkjpfm1oAyvIOA
ea1iqlEXFbWMwqy8SXbT5IMFmyZzPDOZvl+RvzHdp4TTnssw+8EGNCBfSa9amhjN3KPJ/cKL8vBH
lWW89ZUqe7U7gO1kQDUNgTxRt641tX6kfLFWOpOHEwl/05Ia6GREsTiCUQzkQtNTY6+abuXZ48ST
Rsj7ndX27aEqIQZOaedgOBmb9JjklS1QrBjhC4IQlTAcwBFrclF4FajuzD5la1hQB6Su8+oEKgtH
FwjtxKzBIT/eLh8nI8tfppAhLO15w1RY8u05t0jt85t8HucDBncO/jzih8VMBIA27aJ5/F/OQoBi
lgREszhAm2UC1odiQMBoZ6gU9wVtzoJbKKAoiT/UBfksNKBpN4sOgCl9aBConmdJwvBPgYIxixXo
EnXv4SxgsGcpQz2LGgbUDcksc5Cz4IGu+llStxn7LMQQVqZ2lzRdypMxSyWSWTQxzfIJMQspoLHD
jJ/FFfywWzZ+vme7YbFWYiQY6Yca4+93fX7fqvnUAfrvej7/t/bR/4ddHwB+M6fm3yrLX7o+95H8
UeQyyn/2Hv/1t/7V97H+gYVRp8er07eZIWf/7vu4+j/wmFj4AekGmZiC+E9/9X1MgswdtJr4vtAW
2j97j+EzIwzHQChmQw8ujL+VMDJrBf8jigaaTo4h/jIkGHyaRvvpcxsITzToFRFaBzrV9bbONKKn
iIPeTuNIilRTS/GNDPV3X4jDjn6XJhAxfjjxfuo7JRx1qaNUO2CmJQSk69kZu8yJrdSptmx4tIuf
LshvZK+fxZL/PEC6Zpwv10Wo+dUC5cbWJGEmwa4pQusZBT8b+TjWbiR79M2fv+qzmP7jq7jUXGtM
MYRjfRWD1oS+BW2imQdekuI5srEpiGai0W/pgXbRTJN7Zyfsfmqovqc/f/VvjpI7SXA3OPQYf5HX
9lXSjSrvnYPUme7nDgUT0/ocdlxHLuh32urP7qiPA+UOJBkHBhn62q8sp6FgnGQPkXnoCyygbMBq
Amb7WCVDr2vsmMGQQbmwzxAZOcuRJoZ8IDuCKcmQEq2n6rn7jfb818PHnOFYFj5J24Jw9cVLEJO0
DWPGNwFnmByumzFrUpWEf/y/fRehXAw8uIW5cb54soLYUNOQQfDBkL120ZoKoo8mG04tQpbHP1/V
z8L9+TxjNaFXLIStsr36qmHHE1UrFvLiQ+eH71KX7qol1vObq/m7c8ciNBsEVdCOX/2lINZNNN8p
1Ucii0MMNZHMAatUltqU0Dz68xF9sS7985CM/8PemSzJbaRb+lXuAzRkjhnY9AIxR+Q8kckNLMkk
MTrggGN++vshpeoWKd2S1bp7USqrMjEzCCAc7uc/5zuWv0YwCEB/SN1/lp3BMZpsRUz7AomOVkV7
4HeasYG+BJ5KvQZrfy2HLb6kDKYeZtBRJ5z89ukfPsZfn2CyJyx7K9qMEMqvD0xsmcDIPLZcU9BZ
Z2RKc43oY7xQhuYJbSAw7IrCar0I2DUDsY8vr6vQ3FhB2uO//zR/dwdoeYI0sd5p8G0/r8FFGXqT
LBRfXnDRD0IIHBAwqy+Ogh7zn/8qD4yRi8uQENOvTxQel7bGGm9fMpfLG4YJX1kceyz1eIzqy7//
ZT8v9SzfQFMQCYkWkRD76+OLDwF3RaMwN86CHj3DaNVrZZfs0UbGuKtVN/iHZ9n8eQlef+VqqYF0
x2yDG/xr1EUVC4kj+g7OIoYw4QRYEjgV6unBG43pAe4T99V2sVSlAX7KLOErRUa6vvhGhbMoyLzm
uDS8/j5WkM4plOYBsNAW45RE6DYzUY3//UWiw+SnV/CaBkZC8HkQP3KzvBp/vv1VgH0Fqdw561LI
vVhwSKITGXtwTXiAaiHnKdlwKqB4FgVQzfA5+GH3La2ocscpgM+IX40bGbtJ987+t3ufGGTjAU0X
vldWY7DyihbtJHIpoaSfNQlRntNgeig9pDNcq917K5ih+2Cc2q3OcVKOVt68doNfX4LEsXErcAGp
Gsc8jtBstBwQaUnsUHbh7odxYx5NDXgr0j5a0FaGKTIzqnIMcrvPMCKVVcPvCLjSnsaY1jQE/SJn
YJCJWUKZNzqteUKwoKjXuSZPf6BMMPTOo7IRrbtE0qBHmXJ6Lsq0ey/ysnn1FT7UM31BGJroUL0z
rA4FaYHJln0x55Bb5i8Ut679J2P8wqCUZ68rvDemtDztH9Wisxnqd22q9Q09DPRmz4X1jbG/dRyA
cT+0HmVW7uhDAcsSB/wp7GrOPaHLG8acMZBxiOdL+qFmx6Rd7cnhisZMD7AwZIfYtvV7qzswXzTC
PoGl5/qEWO/h1nFSZuKh31XocJ+kN4YgTVv9XsjEsjj0IgMvOqZxLJjXFD4jWA+e/Gyfwrjip8ic
6kNyQwxFekEx58dbruJNjTvLwyJCF2ybH5k8dFhJYOZhdU89Z45kxdAG3jUbEwP7yR0KUXglcmv1
WM2chZgWMAVxK6YtzUeRJs1N7pvvFVzNOc9BrqHAzxxkV4sxTG/WS2MAi3vQzgDFHAwgH4YhZiF3
bcd70ashF/IEJ2uaYQmwjBkSD8SMiTfYMHxktOXjqMKXVsQI7GZl8ywPuRG+aBHzY4OO6cNkMFFR
ZsC7qOv8YqK4l/dy1FXAWDZMrpbrxS9BaJHxcN8GFKw3L+1DdAQAg+WWksj2MbEX60jWmAZJdB/n
SzUM1VOwZPM19cTltkEOILNglGawN6n4Pmdg0U4JHEN+CvyYzVgtNXMWDaEWf8tK16U6oYhoGZ5v
AhGQwnDSmh62IgwZdGh7xXk5m7laZjzwwt31darUuRAzYwCeSYp7hK7uO6UDqkbiXn6vMQH8IEZc
n1wLXxMVLHguZ9yH06YvWJk2C310OO5Vy0UwZvXZK4tW77U7e9/wo5hbTSMxvEvOoXviSv4YhcSu
t2ZeV4ehRsgL88GkGnvR6ZdkVRz9uqOpzIOE1VRzfDHnjrxUoEcPUzzIZVD2CybbERXekckcEU5Y
vlRlQwrXtciCmAO3MYhd0gnFWH2BKuZ322pI9bYQzDjXzSjYoqkhGdS20tg17AEjEJnMMwMMDCxM
cYSGHT/0DAxOMFHUKW+RzUkUz99j7FW71MiM+zms5eeMWM0GuD7kkgoXVU7BaOQX7ZvfOXw/MnSN
2JLpph9aRnAKl1MbGDfOlAqWf9SjOipg13KUh/8PsK0g7mIDU4SCn4C70JMar9jpBkfLxme8Rc8A
pxjH/CKnDGMiIkl6CmqFwNbBJluoOt5Zsu6fVeGR6x4qve/dYt5UqfhGGWr9OSwzK8pC4hP0odrb
vuRz4BTDBWWSBeDGL+mV54BSVIngjvqJlV/VCBR3ouvhEeuOh9rw2JG9zXFn3hjYWnWkmWbjqlcd
Nbrk59hgI7RQwstq270nrWBBqpfQfJrFipsWTN5fWlzwyS7oJ1fsigyic4Q8IYZI+jEOLcs16tfY
dMBnTo2Br7Fsj50OeR8HOBSpgrOc+oJpfv1p5qT0ocg6liBWYzZmqma1nThHEQlai7EZkz1RF8NX
vyeUdnToMp6OLg09rwpxiY8G1JBSnLIqX626SdjPpfACTLsGSQrJWiv5xc3TQP2YFYqfHnzmCmSA
mdYwFPwug7EhFFsY7idyVOEJZKQ+lvVMG1w1JVkflWaeftVD95ZjIdu5DjVyG/ThRn8uF6M3HjO8
2vYxoCTgZmhzklRlVuzScWyOueEt+zmo1PMSJuj2Iczk54EaiAcvUT+scvk8Meu+LTqrO7KuMimy
QuYaTq+sdyhxyTu0z/GRWSF3jm98vmuGIqEGMvEJZADCK6jXKrV/9tyMrPs0lkputMc6vil6nYzH
LpzExWnq+brRnf3gLfRpR60sGGV73AVC8OgJL0Y1TNVuMrvyempb55by6/K2MZ3+QRI32Kw58W+U
I5SkLhb7ax16w6UD2WpFbmwhP+JWzjb43NJo7JcxJNpKPQT90+4Wtcg5z+PwNVbG+Ih0CfG079HO
s8T9UowedNOW6TvvSrJ4UQPG9iZ05uy6nbDqGeEYelFKkv/NykZ1kdRv7qrM7S+mJ4w4cjotW2YB
c7bHLd6j90I5igH4xf60T8vKfvIKpY5DhaatwA5eiblf7jugCojByfiK26fpd0JrJztPNO66m6Cm
rCQK4jEobrxJELGBYqmPnHKNq9xf6mdBLU9IZXIPGtgyfFEcex6em5E3/A9zaPR1r9RwwA82X6pc
y3LLZBjjeW1yvEhZ3A6FE2NyU+wsDAY8/nCfWAMVK9VHIYdmyXstps6O2rl0IX9aLKO2mMMOD+ZA
GsaShKE2ZVVb1x0qJ9zfsGFCEZS+w4Jojt9ry+vjfWg09PIohs6OQ1DULr3lqHs/e9DSbJ4Z3OmX
oGRANkzgJ5d8yogJ4QxxRJqaUPFzf2srJgobM17SdyE73kPdylOPjSErqXCd2FkvnFNwtvrththE
dovxaHoW7Whc47+2cTrbjb0PDLtlVKUqdw9B0WX6jkkGLxvP7o+4TCcwC3b3bcSv/D569FXsBf2U
ZOtKE6tcXpc+VFxG8T+WbmkyjArLTN1Fp3646ZTc6VzCC18y3dHfCPgXE0jVbNOJjqUIZGdLCU7V
3hrlmJOU9eAVhwl79mRZQaoirf2UwYDTBRdyyLTPOP7wOfXmmuhNsuS3AoyviGJVlbdVWDKerfBL
3qeGzV0rEZAcAj8jdr8XrA1T7Px+gv3DY/aHoPR7i8H/cbP98j//9/+LWii4Q5NT9P+shd7UbZf+
1wbvcZn9Qir//Y/+IYj67m+k8VFpoITBQPpQPf8FY4Q5jggJytN0VoDA6pH7lxHO+20F8nByDVZi
k+VxivqXMc7+jX+VBgkLuynqF+jzfxkBf7qdyff6b/RClJVfzmOh6Vi2Ha4wxMAUQGJ+Po+xxWTw
UmK5nmhKVZFJxYJPxg/+8dYa2hCPz6BYpmhgSakEt2a+yhUyU7BBaWTbZo3eiuBdONLvmOYlzdEg
YDy2EauEFDzeHAtk5mLkiHFYqZq3PO5T59Q5Pa/beT13lYrD2JCZ7InHvGQL/ZHWkAv7bZas+rXS
OKWUWKhkH3LN8WWszOCKUgjnrWoH80aG0qhoEEw8L+prK1AHCwNtu9OFsf4RbE2SVqMM11DTcbyA
PGQxg16tQuQEp4dkcsMXBrDTQ7seBZk044VlCum3t9TmFPWZ7WodnL3Q5/iEHvlUVnI9Vqasm2a1
SgrEUHBBlRPG46IP+Wv8ftCxrITjpmmbTwJ1+M23WKzq2uiPOErs5w9VoGJme9S2YMfgkTu8Sdbj
a6T8BE+WV/KjmyZjR+SHuQaPAij7PWeKipfaqTnPa8QFO173OeCZ+Ncc6E0XWbvu25zw53Bj8QF+
PwSPJRqEsBPgtjHd1Jve9kiLeuHE39op+J1BYYMxIo0RR2HpUkHfj4KxvJPhSEx96nwLI78KBsJn
7ZhN13mcDeB2wuJUZUDHqSFcr+fvuzU5Sc5VPNf8P7/f0JKmjnabAIx8sfr1Dg8zGji3VOvPrHRA
3UcVozvR7JVLTh5lkd0bRNkg9805P0VRPJxFgV7t9iD+uC4jRRv0W0wGWYVxdshG+gbxoUPTSXc4
MslNxafW0469Z+BnYP9hnUc15b6JoQpf5nJ86BbtsvXnqIhdnGPsYun83h+Qrcjjsk1UprSeKoqV
X6cU6bN2CZOQ2wRruKcUmp/E0Zl/+ulqjEvXh+jDDZciHbBl7waeBqvV3NnQ7nx7F86ufaKdsneu
S59ANtERhJrEsJAr4mGtF/ZHxWQTx1ayE+tpNx2b9cjItomQFRZvCxdQgsRR5Kqaz7BGCrY6vBLk
jjk6+1VzVX9rBRnt6Oe85Y18YHuN54LPnS09p1q5Gr9ANxDLr0bJExObvX6fJodfWS3QlSjT4zmZ
18gBXjuieDaKpHQhXAXmGisAVpwdQqgzO59swWEehnD3IWO0imzVxyNM7p7ru4qr9fplX1nKr7E3
TA+j3XNJRgv73oSl8E4uFnoC8cdib3lO+ILEwoXramVz0C0DHpjeF/WlJIDHE7B+JfqSbCn5Ci7e
nPbc7FXFycyseeXl3x5xc8h06/We+eSMdfxi5GIwIkX0guqQBgJL2XIciLx6Rm+wApCsqcvgecwk
fx2ROadMT9zQRsz8Wyg2PGCGzZdcFwPXJ24dNv4WBqTfzx1Mq5CQ0jq8GuuS4GjjrSd7wh/4SoiS
4gY0Ajwova9T+y5vBk7jRgvCf9dhANmKUvlHz23FXpRYLN1mAqAFi7ylE3PVoe2pTcb9Qowj3VF6
zzfMaiHH0//DiiUtkOwPM6e5a4x+4e4jbGKzm3goQpZnDusGQp9JL2L0kbErCjC6eceSIUSMNuOq
niso0W8UDzp24LRoXgs0iGNo6uQQd6n15BNYvfGKcoz3NPm2y6NmtuYcp54l0qZV/GoqVp3ECFcN
jXCy+US6ZVHnpPY5vNkV5uKzZJx9oC07O/TOKkMNI3epzAiB6cxiaSYRyzNFxp8HfPYWbmurS/dN
jBwrNxM0rKcGNfopd+cRxj7BjiqSouZ5MTWSUV3xlI7hwDdCQsq/odrTfJLS5PMQ3WNCPYTrk+Nj
oZ2pfCBujNORkEtSkBDNUpene81FMink/Ji5Zo4C3bfH3vQBf3w8844FnXvDUZVPaXG6t7mbHkOQ
jBOni+bM31Osyx7A0aajyMJFrhEEIMroQwgrU3t9HsNV+FXNeraxF27k70tarlFwtsofeRm5MQ7l
U06JOrL84IztTpmGeed4fLtK+Mg5jh4ur12iBq3fOIo6nZex6iZzMzVum+4/Vta6Tk3vMBIrfjEz
u6pexiSZi0/uaLNOlM66Sn3MH520c99C2iZ2ed9Iqld7axMk1XuVTpw3Fc2hUdCI9eUcJ6zAYbmY
N+PispCV7B96TibM26IpTSszvbXmdD6y/Nhy3JpJzxaCuFhF4hUEaniRhGTILPvxhP1HZ2F5v+Tl
91xkFCsiMRjJC6/S9lh1ruQWVatsXvQTay3fyZacT0XjrDFabk7qpvXe60q+1InZnsN4wuEQgbWb
2IfY7ROj5ROwTa6u9qryCZ6IuvCOCe7MyhfYudrB3reNzbnONLsbwojorIzQSKMl6XPmNy7KYRV/
aSg0BWTQXGnm0Zu283Fn5XwHItiY0uAI25EASHt1IdfUyvhOpLjWYA98qnCgKaWbvYH6faeQT3Pp
P8QWQL5Ps1cqg/dELamNomRDsqrC0aBTz9sutqD5RAklt5ZnLZQoaYoLIq9x8g1Nu/Jomg1H/8xR
wcZwCntfVNYQRj4dV6KfxjNKAq52CitnBNtKpfN+9kgPHUMeSwBUuqdQ1aKw8tJBT7wNps4/Azbh
NZdNzTGbDIXbczSfHXOorw2A9LcYQoKzj+lvW5prG28aUPURMN6MhJosaiD8/gIxQ1yDgiQSqg13
eisBujzPvnx2cr8pr0rMuvdNkVY78kRjsCGkH+4DAgM/9NyGX9MAmRawi4U6BAugcf1sG7Rzu4fu
Fx7F0Az0I3RyJwNFRYTj5OSfbJ1fB4Bv5muul/eed0EFNAChey4zsUuy8TkMc7UvMr89+PH4hcHS
xsVa/zXBH/aQurjuzLKx9nbh55HVue09ZpuU7U/l4fyT0zf6Z57QiOPIHLW+DrJ0uZfgShBzegmh
ynAOcTj4VyrMnF3S6KcmxMqJrMbOaKdlU18DX2KJKiT7kxHEd8K+4dzL1jxbuqWiNKzJ0Ia9c1Xb
i9hw0SrMiI37OHkodlPTBDsSfqh9rFirYb+4c5p867PrNJbCvOUlgMnUGao9pTDeqWztmaJhir0o
JT9ahm4PwfqGwAKL8JCE/dEtuGE6m41XTU3Clqx4SJGIe99ncJPQTsVD0eYBidOye0bGNq5mSW4j
MgKfP0fWxPva0fjMvsSylnM3Vc0hz7r6c872HTm+JynJ820VT2s0/+hj6rwRXiM2vHl9QiwO4Rl3
3ud1Ienr8P03o5Cf4V0QizT9Um6GFjGXJjmnRq4fiTEvsK9JgeEaxtG8YfFPAKqUvIjwBJ2Gyn1X
aeLsrA5N11SiXFcr8zTnrf0Wt0I127jW02d2xDt21y07wUxUW/zCxa5rHFrWGlYUVv5W7rIaacfA
IXwUmqIhgBfzVlvzzE0rzfGK8g2frh9CCWHPQhK0XLvOxaY4FqW5Ay7dzuzFQRTkDxnuU8z3uVwr
gBY9UFdXTAkZbKsBY2KSVDcGClKTNF7aqE7sGAt5arAwtZl3DIp+fDEKbQW89mLLi7LehBKlOk4g
5BN8r62vgehk24wAxYvC935aaAyMwpYOvAUJYtenoBjD3KefwSrF85hMAY+4TVWqcaYTl40fC6nM
wm+4RJIrBh836dDpT3Ck+gslJddeUekNL6/4UfaWABmlPXK8nF26c9E0c/ZJe6oXJ1l4GKSB2y5W
j80zD/d2aPfNiB/PYOeUcHCLb+MuHNnNDvThTfRrB6+4VFnUYxxkWJONcRZhzCiuXWi4y3P4kRvG
74QEE5KCIzA2WqPsV4pjeOtaPeZuVG640nu6ll15acSK4aIHmXGk+BikDMheZJR69qDIfOy2CA6z
EfEGh3cT9NFyPgsimw+zNTKz8kGby2ZkAhrSEPwP4/1fxq8OR2ccgoHFAZoZ/198GEAiSop5svwY
1yETAlnX9vRpcbDef3bmZWn2jgzZjdQVYWyPkDrmnz9JDn9zev8VQrh+AkI7638xCOZTrJaKP9mL
xtQz68XqkqM7hbB4CKUmeGxDM7ZuTENDleqSWEFry9Lk0ql4qXbK0/EN5YnmUyB6Jmo1dT//+WXB
e2TDJCQ77vi+9fOHquw+rlMKfY4VAdwDohTS/JTV7Ekpai83XWax8+nlwubIGJJ/cpF8sPX+r8fL
XS8Gv95b/8MW/C8UYVLaRV8NC9dkLjkK5WYzE8nXZLMxQ8P4cCkCtsfAfir82DiZ6/a7ckonvwxO
o6xb7BhDAc2u6JL02K0naNUkVf5jHUo8jJXNQvsf30RsEKaLZEzs0v8Lc24Ikww1j2wiGV0iueE8
oTwyUlZsmtwQ83tF6cDOm3TzJgmiPTQdWkWTcpbP6ql9kFXzT76CVfP5+RJ67IEcG9eKTx3Ix2P3
p8fKcNcYGfuGY5sbbBs9w8PoiiT1QqKKfWBgrMff0SL55pjkuNTA+aIamaAcTORiEjharWcwruy/
v1S/cni5twhoDgxAL0BYBw/586PlD8wEZdukR6zl7FAZndVlz5h5bOmY9wEBVY8YtwPnNMOGR0+w
a12cmbsPD70z0C2SDsyeqdbhtOx87IvNjmOskXGISpyF7fuHR6KMV+d7u2o9VSj4ZpMxRy0p/Hbq
r2eEwfffD6WZHDFCfUy6q1lNDxSRk4ofcgwX6z7uLasKni2oJ8zlXThKyz/cJ+sXHuN6OXw8WdjS
HCTE8FeobGoaTTYPvnGwU5c10KohP56Dfj3qVBOf/mPiPRN1NB4ri07szQRF4S2bs355pAOWq5XY
JqcTdwFelVNREGy4WPxz8oFn7T7kIQyM681uIVZc4WFOsmOdoIBtMl8NoDAGLBXLLPntBFkQbyg3
JGIDkFO+f9z7/69EP82KRPUbKmgFTadrs2/dn/21LO0m38//WYk+vb+l9d/8iT8EaNM06cPky8wj
YuPXpNnyv/4QoPH1/Yb2a7qUdHjBn7qAnH9TlGn+xkEfuxHdLyw+mI/+E/kZw9LPSw3FALQN8bHA
q1NFYv9aq12YcdO7fuzdQAswTklcTc2lgjzDQSxgRO0n0WRJujLPkwi98hF/qRt+xaj4PWUn8ej4
he1uzJr5mmdOnwrfyC6u7U9QA6wAaVBVXiBhr+iw3nL6nrsHoC0JDWIJE9FnUTWxEVVMkmx5KcJM
H8jV5fmNTxkRQcamDPaAoaqTxIuy8Tktb+RsJlu0DWcLTN/dpxljvh27xfuCvt02ysUYX5WEuK50
b3WH2RuaM7uV8X0xaWLGBvLuhFq8lmPtHwRGnC+MP8XGcaUHCkq/2biW+PtCZKBN2GrTyzKn01Go
2kEhY8xf5UYMXMof9inW0DbetNQnDy2Itt6Uw96lU5f8YTbmt0aaWp8GvrFUKqktHQ9qo7NUoBmt
OcW+qbZDJz6VbhY+T+40305r76aigHOaAm830OgZ24O8d3KDCXffWjetlO2px2GwEXmWXcm1ztNd
iz1Do3wLu4bgI3Dfnau84tLgDDmUtTF81bxiT3PsrudWs/wuy6zdLTlVoWsTTrMJdFsfQyv73vfU
icKKmT67ZjBWtP0iRTZr5Wgjy+CLZfVYMfw85drUn2QmPzUGv7pqFO/pdBxe485wd8Sx6h2tBP7G
VT5DUX+sWIlKkoo0gGahfPSXCcw3dBx1Wp/I52bQ3h7KEIwU/LTF0bf6BiUXcZZPP/jbyiAVcxCQ
pWbgrdPYR15hJg9OYRZ386yX23hMxSZdnOYqRewmWCgml99i1wTXGYM6OQeGSBp29jh6urxy18LW
lEjTNVUZNCyk8Xg3tk27r7SevnWBU1YRCkuHCcZQP2hAzPsoGR3zIP18vCI4lR0nt9JX3UdB7OSN
yXsK1GtTKmhPFAhVSTT3yr+YTHrrKOt8cUP8XkQe1aO8zipLVJsGTSlKAgBrdCHjS4B/YsENLBoS
HIITh5Wkw35Ye2qLj8raWlrhZZCSkG2n1pI3clbtPqT4LWv4UH7jqbNeZv2ckFaR0VBY6Y+aRP0u
CMrw6K/lca1rvHuLC6Y/TfMcY1cCIqpF1mG+iyhrQwzc+2sBHTHxIhpa/6LWYjoZAMMpOR18HTyz
3Fskar8Va4MdoybK7Ly1126tfo4It46fw7X1zihiH355EO/7Dhrfpiqoxqs/WvIC6A/nwCtGtZWx
ke5m4Ll3/tqqtzTkZTyPPoFusmGComc+lBhpD0E59i8wCGsopxUH8BzXG5OYJLsYCpiVK8OAFsqQ
v5JXk4mKrDLU9CiMoALbYd6Zy5ATeornXbY2AA4TXYDD2Jj7lKDANg1nbknnxNfp2hnoefQPogI+
ZYXhPXDGOrZYBW5HVK5NPflnjjv4sPLSmk5ZLIncjV59xxHc2JkfDYXBWlZYILVfSz1YT5ZFlSH4
sGZreERq+7EdT8FH3WElQp+W8obKcYJ89qTENWmwnVj7EROHpsR57Uxk8RQ3uud2E75PN9Vaqzhg
E94m9ihOS2O+m6Pr3SinqU5Ama2T1D2n2LWWEf4V5Zjc5EO7FjbGmeIQpmY4wLRTPhJ9nL9LodRm
Mfz5OHN+vvfnRlIwvDY/kgtMcba5xQE/j9pmMQu5sJbukqX99FyVwtk3qko2XkCTpJgqg0k7C1G4
9kzGgORe7Vqkx3ltoDSmkqIQp5sNUsyu98pLcDk6YWh8N3Nk1mltspw9p/+Rx0Z943BwfdCNZzLL
kx/eobdkkcmuMcuSuvJhOASDNtqNgt78ai1Jd9XK8kHDKjinoVdt7LVIE7Rcd7es5ZrIksudWAs3
NbWjTdT18bJzEq89SId8J3amYKuLYGDCkTrfk5m89UiLJ/ap1WK2DiniYkw3LZiuq9QgnVwrd/yk
PipA1zJQWqdCoAG19wrYnu+G7SkUE2QCMyum62otEVVrnejoZs6XYq0YDXzKRs24qg6LqM23USYO
9IPlmVBfzAyXilJ38GgrxcwCupFhKKLkEpxkWD4g053YPYgobG3T2xVibT+tLDfc+tlwP7I7/GRM
Lnz7XmIfXvtS81LPVWQ0yfgiEq85hzalqgnT5YAVlKpV1k2mKp240r5hPyxLf8e2EmZeCb+154Jt
XJ69p3y25AqKjfhKYPAITRCOC/60MDAeCpgOJFiZy5J9jpMN6OYAPdPrUci6cgeaVW5EEF8BWyoO
taf70wosIKgN6m9UYAf5QqX7fq2aTboeTZDYJuTbWF4lDHt5FcXjG9We6mAMwrssg/a/IV2VXzHt
GzeuRj+0pfsIavpZzA7VT3iCiSPa/gkj6HII8EitwubwrCl0PbuefMvXPtw0h0LfFNna/QW5ol9K
0LWTkegz4xCcVlniPOikqu8WRglbYLguOnJ+D9bQesVWNF4BWRtSqFPx8MnMMuNIX6h7JVWWn6m1
3tc2Fb6EAMgEOy+TMTqRgN28yyqb+WwylE9IBOqARt/cgo1jdqAVEN8m/h6A7tjAVUjxRIaM18kD
HzUHqKvUccaLWiuGOTwxStFDvVULDEHHc5cf4L6fUlnhAShy/5HCU3ffmQUEFeY6kZfb1wOr6k6l
5pdYE+ZDnAICq+qrkqYB+IkTlgDTecZmCbYEVurOMdrhkOF422drXXJL2ffBmbL2C9lBgqUhh7R6
sIaTP+b9vvT0l9FkXQnXyuUENapYs5wlTcxG78ISmSky89ea5jCccVAm5WXqSEWRCwNSL4cbp6R9
Ig0oX02FXz7jjqse2VQVl6oJeNW7ayN09lEOvc4xD1RzqRvYkXvp2eoQTDRJw3UFg44V7oDagZU9
tZIrH+j2rqXP/Jgw/CI/D774jsEkJe5OCQyBw9kWb7ELE2f8ok3WWoi7rjoQul1ucTrldPeiGtdL
W+0p/53e+o8KbL22YcfFWoxdlElTRd7cOFu3XqZvVZGqL2gWG8E2900m2Dj5ID9QaZt9Tnq4xplr
tKdZi2Aj88I4JktbeBu/KWQemU5RXSPsQ0kpHG83DrJJGTQk7/AwLbhty8grzQPZ5YaC6WKR37Lv
RcER5X60sBOKWPEGHWPzvFrRoQ+w20yDQBxj2xA/AooZom7tEe87YCO11yU7pl7MOOceewad4y4u
UaYIYiaQHesVyGNBDONWf8HnlxytKY53/kdlOVm5AtANyggkEb1txo9e87XivEkFAwYTzRm6uLj3
FS8kPAFJfmOOnfltUn55C9yeBWGwSpgshbWPqwUA/mMwxX1OPdwQpPW3DFkb55msylA++RNzFecc
u0FWXLopCOsnRixcNQB7k2HMUVixU47yFm42FrPS9IdNBQZtC6i68LdzmlDcS114R/nPPH1XAJDf
Rzw4EXsE9zN/pv5iwGPez9agTtg3p5bZHA1RQgfZuR+C5rpR/Nu19upXm2+eXTAg4TfSGhASK+4T
8OeZ76oaDXaq3ttYmNd1NgUnkk8L32C8RDd+7z0tKaJnA4vm3SE4EUeLv1D47IbjDj5H+9DKxo5y
T7YwX5S8F2PKvBLgDCPsdOyPTtkF62owb9n1WdvaYQtjjVqCBc6Ko9eWzs4vXesiKg3hUSCqZMhK
eADTaet6s7SxhfD7RKFqavsG55MG5TcxmFDYT7VpWMzay2IjuHK4AwJ3k5Xd/IoJ7zbJkYAjUYbT
I2ibZDvkjDg3Xb+Ia7wX1ibvtN62DEQhILmB18P0U8FtwFsY/QXiCPBHiLuRVpU8TzLPn5Kg7F47
tp6cmfRwg1k9eZTuohlMcbFjmeYHI+w4fbm4q2+MmFE1YMNp2Hm9EswadPMYx1J02wxp89CDuzkV
uq0euiQEBt+YzUubtuZnE6ru56pOXmLpiyvHgmAIWEUYR1QUwMioSbhyBnHxQ6keIUzT7xxj7fOv
ASo691XavPlLC3JFLRPzKSMVJJVGQfN3tiQORny4hrdFOZefcgFcJsjH+BBYoZlsZtxUdNkP3TOx
6vF9IHO2UZBGQQomig7upNrnLZHu7dRWC4OrzoW00cDo7Yg+WFt6FseveCIgitaGq6O2noit+EGR
bjEdZg9tAtNWNAt8H0jE1k4HhrmzfGou4Ftlp3RZ8is6frKTxGl2A3OTA+zk8TAJ42sZ1MszA5yY
xnkTJ/86p6p3Ah/5p4Klwlqn0gLvp7/cGnMN+4PSsUNnDeVDte6T7IXnql2cLjIbQf2XxTRbsfPd
ZPAOjrhVTRC1dPFw/lw3sqbbXrk2m+usEit5coEiNjcjHkud5bL5XHdjIG/NItc2gHjCY9d0jrN7
x7Sd4tZIPSAU4Fi95d2AoDLemSHMFg/LFD9wMOZPHa6D6WkZDXBMkYGVwuvueqFt36JBEbGOgbnd
TuOFS9IG4OqTJgUEpc0aesr/ks6gUwfIz82STIfY8BsSFnJ6+ZP883dTgV/mEkQw6Od16UJkV4a6
85dYWDNhu7LN8Ya+VXeLRSPFGzRwR+TJoFokTr5Y0j4M/83emS23jUTZ9ovgwJzAKwnOEiVRtmTp
BSFbNuZ5THz9XUnbt1zVt25XvVdHdHRHuGTLMglmnrP3WqmqAjpbzW63TmxsPBHe1sOC+b3f8Ffd
+UsKLP1/W1n8JW7443tjMM+8UuBO/OvGoiCaXOqhOZ3ruj2LmrNiuE/Gf9WC5v7EDwDOH0sRKAu6
+OsPwEn7mUvvOJ0TE5sp/+tq+bYU1fa/keQ/UZSjAlej6L8fST5LoHJl9PtQ8ufX/BpK6vYH3WFr
hqmL18J15/F/h5LMK5XGk1AqQVfBC+gXJcD5oBvMHT2WSjaVepWX/RmKtXWmkhTBqUUzTaTs+a9w
kX8uIv96+RCvNUxeRL6lXsO/rT/CYeIOGjbTeSjeoy4P4vzLbz+N/8c79K9Dzx+vzz/+gL+sMdrZ
yguiV9PZS2kVMKEc/DfeBIm/jn+Ozf9W9eyobdtvuxwGgR7TdoM5r01AiwfDn/8yEuRLTuDWuE2d
nGIqvS3NZE7MEcYziSC8dukceV/jKvR6naGk2WkgjXMHkPSRyS2xufeqqTysDNFgx0wPdqCU9B09
kuEb/lgvKW6GFpyVfdKpYRzyzk/DFh6/Lk+urVXhR9n0W9rPzrHrU4MgXEX2RUK3hvJm4uRdeUCq
+5U5gtlHrTtaQHmcnGNo9tj8mG66dkkxM+CbQOecuNLsVuVgHluajJ/knA+nnBGyWC8joc4t0QQ1
zBW9kwbO7C5njyPH9KpVOrlJLWLQQAO6JdaDov4Ov2+9nFLsUtrjRGLGLjfWGIW+Blst4xmC95BW
Z7f776nxT54aTCHU0/7vnxo/IvXBG3Tgt98fHT+/8OejwycazxJQLf/oVtK1BvX669Ghnirocn1s
ktwtrvCRX8+O60aDzjEPDmrwPCL+eHY4H3yWnBYGNTS7amX8bzYatvgzapbOv+CpRSEY26fDXs76
y/rb9r26c2dh3ixoIKNll3QR7Lig4mOokN2t1ttkZgtBk2P0nLRZ8RBcXogBM3xiyLnvxlq7CXnu
bSR4xW0km4prx9Ldcobbx6iljxRJRUBfzz1VQ6k9NmVXq/S7dsKSS3zFLtxHCEPzp9Tze5CcVart
jLqpVkXHfMDtOq7DFaxHk2x5Sf0otHZp4+O85mtWsRPtKdDduhaXAjSa2J2aEHpsczdT6lLL4pVd
1Ma+YXYAN8HDEpC7R8PmFjVkfhBHzfvgGBOeqpqbIw20dWuV8pZnRrSZej0gOvY1Zp6jqmLahoyI
sSVOu+yw3pDkiMydBiDz2ZdjuunqLAkW7hj53N61GSUh1s79W2v2hLpFQabSqUGMFi5/fmF0K35S
NuEmz9/LbkguIophbBnGQhqcotRUMSuY6noE4JretdLnstllywZ2hrEiTMJCWK8BBPKpRVBdEZ+K
gYEt7I8jK4Xb2CDEQsDmwrhhQuMndn4x7Gt8SKswN7EG+VW7tsnEBWaos1BO0SfG8snpRwkkRP0l
6qwPeqZtQS4HqmZAdje5N3wp4PxZ3E6PNbWzE41XubZM2o+L2GpJXm8dCvrBAOWNu5UQq8Zx937o
gyUGaudlZs2dN9SepEVSkmycw+mNKZs1zPOW07+/0sCcHkzuLB9FyuO5Mxg6CmbU2242nC0PewJQ
s25zyncwoHrRbh64BDeEYje+AfUVT8IJI8aBdCR8bhQ8wdC108oinRVb+K79hvxVnmubLG0+cl19
8ublJjUh+0fcprdaST7PoAW6E3XxtgDKT3GB7dIqbInww93T/VQ7Nqb/zSZ+HvSjT1EPXE3ezSuX
JuQKZdSDX6XVdojonZLigl8ZKYuAQasdggBIV+fQmKnxKu3FWFMTPs1a9gXm4ryZaVlu0iSVe6dk
0bAspbdi/UdpuYTnxjzH3rO8Ye6GwGxNDLsJMqP9rHV9EWRiDgO37LAJV7LZGR7/ghVIi62bFu02
tNJPrelGt6UeF1vL+xKx1TvOEd157gPaRz5tC+hzbmwHIk+SC1R3D/iiq5OfhKtXJ377US+524Bu
yC6L8Oyg65ZbdsP51ksz4MRh7G4XElyBQ5ttU85cTHtT0+8Tt102+kLjnLU9LWAnM4O4t7i1idQ9
GOTx1knkjXuqJ4feGc0TGSscpLQLPg04+rZMk6zAJKfJuM+fAoCLzUp3FDPVSfVPMrR1Cteg6YuR
2l4f12LtDwuVjyUrHzPNkvchsbCjQa4T2L/L/g9raBZv3NqbFEzXXQ95mW0sZjVbvlVgi1pp8R9q
NyWq2V2VuWdSrF8SdDnrtGRePTYseAfyCYFY+HnWVDL2IkaIkVj6d9wM9OGB1R/huZE9dftHzhsH
wj3u0VsE4fbWubhh2lAVZ+cW+0wDlil3AxsUwMps/K9Dn18SujnUHO7zgU41y0tjJxPtW2Evcpu3
y4mQ700y8d93otxN+B4JWpYlsgOm/QXj3gCmN7kRYXkMy5K3pmKsHnnE4Stz3gsasKucrTPYhQFq
re7ByUsYlbRlw0uKgf+tNAVzZvPNbyxAM0lqrceicx5DM45YFoG4kRqoN4NVkd18GzuyxmKR4Rk3
BKvH3DCOoZdnWzY/4yaTNDZwKCiBVOHtY0u/q3Lz1XW7mzSy00PnzE+IvhG5JG5Ph9xyDwj8yo++
Pz7nIaCKuhbfXLrA6zGEXYoo46NpDCdh9+259sxjUjEPQBaSU1BxEUS193kcMqCwuBiHTfO9bQcd
9jQkXmcZqp1tD3hzHEkRGEX3DaevlnFt660cixl/jrmks+JXX3r+R2nLfcXE7QT8d9iOpmy2vZcr
KiJ/YrksH0m9J/eodm5Sgw+hmTX3Kpt83s9GhFN8cJyVzrxd1XoCl4nFSTbdIWoboHcjmjVG+OYK
VIYexEXjvuTZ/HkKBwqaUrxXAzffOMqZ9pv9tGPRDWqkDEmJFqN/1+fjvR4xHGhsW33j023ddAya
HBMrSHiB0lFtJtqgc8P6jQcaG5ZYex58xkyNNr9bCfxQKx+GgzcuLc8a9tsS0s6e529yjIny7yIG
95vJo6A0tBz0Pcimu2SxnC21aWtr5vCAZ7s2dpFIn6cRjCGmi4+y705d1lCi06LvllaLI3XyUGVm
sQnWQHWdCiq9YRf60auZoFQ2n+QLT9VtS3Y0mDy5WOUXRuRl/8lO+rDLeM2iviz388QxV3mEGq+a
nnoCZ4K3YoNyBbcZr77Cuwud1p9oI8VUNniTVWkB42HfmFUyGkQNXDP8ZA0E4dxsJWWLaW/jdBVP
b+yYC/MutRsKnQskBXKsLxVt7gVCucUKxadI6xFDoWIMGAvZXFm3S9ve/ne8/ifHa5Kgypz+98fr
A31BHrPd70frn1/082jtCVh7SLo9wwHkTiSI3+/n0do3PjiYCjwL5hogNG7Yf1zLTX6JkzVnXVVz
1VXE5+e13HI/+K4QWIl92qWcx//VtZxm7J/vsvABTVKS3GHxSjgc2NW9+reLeeImZCqMLj7ODSB6
jnOVs4JK4p7qRpC/kLNhw7BIfZ4UDXY5ZVsmsMIxG/xwBxFi3xpFGNJg4cy6LMKGvDBWy0SlXJ8f
gFsX9s5IhdQe6Ny0zw3uH2c9Al1J11TCcMOOZjeyviq8ZpWHrBDphegLHgPE2jeg9wQT56ldDoux
9Dav8oqeWS4sOqhGSpfBopR2BG5RAzvl3fjFT6X4emWa9xT7NtGiU3CKa9Aba+k5pkOhZrLNG9/s
YxAGhXs72TDqi3G4dBSutqIzmJGzXdEtpu1G8linqXyABNKf28gsLgrQX27EXGm8w7054n3n6BEr
2LS+5A5sAH77hphCJffR5PpHk8PniVnojrJ/i8qvSqqtU4KxN7uY6H4/mRmJSuYiW7sX5nPuQ69N
rDZ/NEzcw35sv0ZI5O4c6nUBZFDrfjDT9jBW0g5iw7yP6QsD23HFRpOAGmZ6RveW0PKzVU4XR2fR
5OQ5hkWKt/FXUvH1zhZ0HIiVZCejgF+QuHNzGVsmrashTqJbdkH2eYpBbLFfX4YbfdrwkKrOIRHR
7+no+tsxs5F4OIm3Jp3SXUzX/+qEAF6NELWYq8XNCjwTYTBnefaRZKxaYkNUD53jOFGRFVg/H9O2
sy7W7M8ni67WfdLpzUOdxV9oCsdvTuVOAZPcE3kRGThDSxQERyrj9Vp7GKu5eMzbrCCGkndn06Lf
ANGkXYd+9tDmaX/W5ozEOu/YT4BRYUh05nyWeF+DenbMjeHwnWro2wJ9DKOPiyfwFUGNxACVlhXr
7zJNQYzXtXGy4kY/Sn14z/nv1ZwmfxBjSa8UBYh/EZhtHwixUx5sw5RMHH7js62RM0prxrwZErkd
6JDyopu8ooU79DdmZtsnmZururXsLfs0bp8zt1TCOfjLtb6PKdRBmcFkSm3EskY7aEDj7NimRVut
GU6u5XdHPXZvx7FrEFdRykJv6aVrL51ZhpT5mLG4UXUVHdnpEOLdoP/3pDGmBel9wZ6ub0Nxskd0
TVC3AYcP6X1sAVHo8yeDGlHg5/bFYH20gf74tauFOBRpxT0IJD3s4NdCcJYGftXLdZGYJ8cmEgIl
/5TLd41IPBiMvkbpqT/bgw87X/rhvp5G7XaCUrgJhzoKUt1+4WHY3YHvnLeUbKp1nkXOgaOH/WQz
rcJ2LDrSRC2iKXjWLhcZwR5lhZnrBbFgsxkETJBcoI5Ju+PSJzd9QRuu6aFLoZUoQ/Z6hHpXcCyL
gIAVfJypTrbZlM5rm/3EhbN6/lB7TnQYQYBRk8msA1jD+aGY82UH3ovmGFP0Hbll99ZuR6Rs1nRo
pR1mAamg6WGy+ycQG9pea6RzJkkWl7zBqs6edHD9GiOEoDFYVt/LcLIKeqzOmXLIF+Z9zsZ1F/9j
yqpma1OCZ0iZhPfS8pI70NBvpV0ToWi4PCyJ8ebWIxO8uNX714509g6RbE2bJTdPKii8ZVjDS1qP
ck6+ds7SJc7vJY9dOtM87/KqRU8nSvm6DD5VypDnM3js/oZzu+T0OKMRLBK9eWxaHAPUjDjJlMVd
hUsDcbbPsug+ckI0BzWLSiKMNhuY3Bl1tGdpdaizEZFnUvZ5UNWlf+lT8b2uCFVFJlouupKkxx2P
BvEKRbG3qt2yADtH6R2c0LoaHBJ4tYLTGQpT55l9sZU/KBtQqhRzgwJRB4FDjmV/LLgNqnak1nyl
K1/JVWyn2OApj5ss7VqvQkJTzd4+G0gl3My0rB5mPrAfrTbkLZJNvPSIj4zOZ5qh7TFeGBatYNw4
X3pe/RBQBpqAa0MLhY1gthaXhoIxmztw1EdmS96xkaG27f20jPZh0x9kYkV3MWX5R1Swlli1I0L0
OAt54frLFL/Unt1tRtOmY4jw6s1jFQcuxwP8jDqot28iq6UsJeyau8AyDeFhrFk/T9Y4jit8QKC0
ebR/LzObfZllm9NtP3bdvZzNRg8EorF2tcCDB5juoA8CTbAMz3poNW9NqycvfCZji2HEcgvlvbgL
R8f/rs/xgCc7D62LhgbtWcvy5Vzo4gD/lexoYbnvDmOKBF691QyrwRkhgvtsHx3wZQVP23XH+UEG
0J1U5he4DYFcSEtPwyidGw7D+TuN8BRO+UBzYeXWyfQQNrb7xOcIEznCiNuB3LFGIkPU4drIjDg6
tBBmvmasGm0eRlTQ/awc72fBJpJhXqzdJ6nb1fCpivYFq3Z2tvI6okUf9rYAn1QsaKKa7J0acXaB
uP2Yc8Q2WeaW4YEUaYGdIubNSq2uuVsaC5VbN3WeXJlI1oEdmr5+W+fx9OJMcvoWenHzCoRy3JY0
JduVFvkMeOZGaszC0/G+dHjerCz6hl9tXXZ3EoUjpUAkrftBYDTeC22qX/1oLqHULuFwqI3ewraU
pGBq6M6mz42X2PbKq6z+ktpEYrFZWg1qhjqnU66kb3TFarlmttKs+M79jSVa/SX0+9AGhqRnc2CM
mrMbcju5hH6t70iXinVJjpDrkmfD77diUliOMRL7zExxI6e+ORpx7wZubeuBHIeOLjkvOJHXlBVQ
umwanQIM1uR+48QIqVdGV8Nt6vqgcxz/JtdGIOICvnkwM+A6dMJuKYnnJfCiNu1J8ERDZ6wHhpef
M2nW5Ybpq2wwFDfLN5cD1G2oEwm1TPeLHcX+JxGXxVsVddXWinGhBDziw2JFIQiy/uRnPBFJS+uH
ROji1l9s8To6bY7goUZHY0bOwiDQktYXMRHe7iEaPvm4Cdg5FNASyWEwSQCYVO0jb+b/zZYh8/ZI
N+XFy8JmXM9mbLyN/ohWtHTqV1bm/YPjI5xYp7OpvwC0qsJNpE8DryW9G1ZYnox3vyHsuQkLN9KO
4NrDzzDay090Kt1ua9HpPg3dIFn2ahpAtxZsWYEW/pBG2b2+DMnnphTnSI5Yy4qRsZrGXXUg8Sl7
/8Huff08gMgPIr8gG+z41KPcnLOhZ0Ri1wDdr1dOO9pffLGYDFCrmkK3LQVZ2WIi8WVoliHXRpcA
hcuj6Nz15rKZzCU8mGmOCch2+mCprXw76PpwYxDLdYe2+EaJcmjXyeAyrUjJg61GbD5B5vbtp4iq
wBfX5qI7Vjp2e/41l25dt/ZwG5tzdog4ZkG1CB2dwWgbpfYqyuz0vcakUK7YCMO95+LJo4WbfkWW
k7nITF3c0eOdTm+S+0E43LQELYlGZS5Eprbw15HOGbGYIoZOhdZty7ahDJn4DUg2M8o+d54w2hVh
bqJ5ceKAc6tr090QVV5OmWbUx4lOxg1/w/zGtJPka7gkPaKzvgfc1IzbyLfKQ5NHzOWy5bmW5MzX
hmm0b5HViHuraUiswvr6gQT+r03zv7RpVMmEW+Xf35Ifq+FvuE4/v/TnXVl4Hxx+K+GC4TZgJ7Ej
/nlV9izMhfTnVHmORZX6lV9UJ+cDuyclM7QYoKtb9B83ZZPNFWthBcaFSo1H6d8soRz/L1tfrvFc
17mK83u6lsFO/M835QHsawn+r9rPozAmbme84tcl/oZdTG1i65amPXAgTr0HH8sw8ICEI+mE8i0Y
cwJ8ZKsGwBthYj1fCbaVa5aP1CVwfNkG5B4KlDXF78XZc0OgEenzMzolGvFQkZUVCNE5c4uAoEvK
7JSLvHXj5Vp8zoxKw7YFKvs4YCdrNo2fRMSRpJyY9TEwnwNS8+X3rgCTS9Ze2ttM6+y7mPvzPR+V
9lqr5pGUT6MB6UVxxLPfdcqUbk9sxoeRRCsrG+nemlobssQ1oeAMhWUdJxwbBxzdOmhBIKgvesE3
FTRF2H/jTwEV3NoEjNEDokhaeXVDJUS4ufwB7ZnD0oXh5vZVtkm0ydkneArEhiZ/8Z1wibN3QmAi
bulAiTGWJHxfXAc1XwZL4Lkm587vy3f2bNdO91xOeoZqRmcmjWOHgH9Yfqw7r7rrO0oDJ0oCEakl
PmeJe8YCdUle5FxWdaPBZ7uQoH6YyX9tGm6Y4AIMMmkr3SInj5p+Fg/AEutXI/K8+zCnGknBotWN
IGRjWXJhUg5fj4w2et7DXBf1XWY0/r3TxUl8kxIe2Hf8/HiwNnyuukmzIzyoOvG+uZ1jKiDrxOG0
ahiN96BB5jizy4A9z6RiXxisV7gIwYCp0B3CHYCYmAPUmQeMyVnb0D9c7EKi20yNo90xgaYiPthB
wpSj2y9a0fN3NlCtlUnzZVqK5qUF5PVcE662OK2y9Fo7EQBhQyvwgfQcGFbeJP2HuSYlB5zefzTB
OD5wRaVq7M+t5ish/KsZzh1dxFxzoB7E2vTmQbcAxmf4N3VtkcUeJIkye07LZB8KLmaHYZCm3CXh
oN2YNPin9WQKENpI30oCZJavQtwOgQJ6OfVwgaTqZHR/ZpAfBOKsldFSKyoNad/GP8rt1rXp7v2o
vbvXDnzEAYJdovazHn/tystrb75RFXrt2qaPr8367NqyJ6CiKvcsvL1t1F6r+GHVav2xv3b0YY7T
1zdrpTJz+J9WpSP0zyKMtEc5tR3p7PBWFMV4ShQCIIYFECooQD4oPkD6AxbAAVahAyKO22UgFFIA
i0YCNQrqgK6AA6FCD5AaiVc9QoBDs5DtT3ozCTS6RrcgljCVwi9IFciAtSWnAZGahrfKeA09uS7B
yz1vb+1jqVAIVcvclwO8VdRr8isUPRQ2wVUABa03O1gKJd/DXuoJjIVxMIdA9vN80ognHqqBWJ/0
y0u1eDe9EjzB+u1YXlcz8mH0T5ga8o2tlFBNNe8o/2jv7FBxB7Ny5DN5N3ssW6RSSsm6F2eITI89
uDv2gRME5tR5MlpaW+kwDCsgjxgVPf1iUEyhmcSQRuvAYlCUUaQsxgieUlzRusc56JTkYPFfMdQ7
64sZvjRtNjFvx5JVKl9WSsJwLZVDy1Y2LUN5tRrVM56Ua4vA4TlpPLnLbTxcsTJySW4grEL4KiND
JpVc1V0ZEq8qRBoE5eVuqdvbXrm+alMVR2DJ7RplAktd5QRTdjAuPd4KHOsXX5nDSuUQS642MeUV
YwuCy8vANYYiDUSQ8o+lykQmc3Ayg4heqwQNU2Sw5suUucz0BxxmfdU+T2kz7XVlOEtpG/PCmJCM
YT4bWjffSUAtm74FvzDiHXglY8jkimWefXBTm9A511b9MLjVlLG9tx0C90m99f2Wpnkd0cioB6LX
Xkglmai1eBjq2GdlwkdTWkD67B274FXhLuIsr0I22vrI2TzlafN/GNtwt1nK4saUOj6DEWy+lFWG
UmmZk+wzcfCCtPgI0DMxvW0BSmpXLSOEwSnUn33lietH1XwCg30uPRhlxEfbfWEV3oPFL9wS7tDu
WHs8CerV+trwYf9EykNH4Qkl3XDV0znKVOdfpXWR8tflV5VdZiqtHQfnJbCV685R1rvRxH9nhSEE
0SLm2qwBft4J8ljszEV21NooZ5oSDWycBu2pr/XumVccgNFkgESrW63agVYPs9LtWWlWBl7PT3rI
eRmg49Nns1vPRmyzE25xfNPEOLRK4Gd1qPxA1FDZji24NePV99faqP9KwSf2OlVCQGC+xqcqHsZL
rHSB9BeiTe033k0Tmq+aP3ynGxd9dk13Xqm87LqznU+lchDynsooOmWAsA0wIItyFUatvZut9DVE
YuiZ2AwX5TVclOHQSuRnyRgu6JX9UIj2jeYnbUBLPyBrzjatgSsxCgU1jxSrI0GedD9epYqm8isu
yrSYAzHZZMq+WKJhLKO+vCkWCMZFb8JVpSmrlp5xi7yxM4qFW486qhfd+5DGH2UVqNXGWmM3Z6yY
coB1AeIWOKFuNitfPVwzp1GHGdyRvd12dBiUT7IMkzczyz5qplsFCJv119jEP1kpE2VrtJdhNL6H
zMm8NoFso4kXaPN60CiP5Zzp4ujLcLmpleVSWM1LFeG9XBBgTsqESbGj3ozKjulFo7VPlTHToi/g
KIdm6hqfEmXVzHnNr0pl2jTazt+Zyr5Z6+muHfP6WCHmtJWhkwEWszaknYOyd0KDste9NVSP2B3H
dXLVfIbK+Al5fNw4btUzo8QHihWxWLWa9zVEFQqKCulm41h3hLzBqnjOQ4NY1EQwWpiYRmEMdtR9
sI/WykM6ICQVxYR60XgHgYCqdOBbApnZ0V+scfZ2TBE3SRMT2VeeU04s4mJoMmIGNKVbndPjnams
qC3VzZZ/9Cpv4bbp51h29hqeAi9R5VSlI83CXXlWLTLxc1a7l5BR0o5dpDPQo6bxPMRDtU6RtYoR
4JOyt9rK46o1GF071K49nDp12GyM8g4fA30yRLBmXX13kojNZ5GvYk2n7tvdLTm48JgNTcuePYXl
3eY+q9du/jh1wz0TlbteK285rRGpcNGi5T0oKikH1NMjsR+Cj8B+rzsfxyJjir0avW2pRLdugUU8
BsNjSkECH2bScm+2LD/+W4/+w/UoDvn/z8XvUL4nb38m+bIdVV/zaztqfxC+g2/FJoP8I5j868bn
oS8jf+xa1jV1+NuVzzY+CMdHciOEQ+Qdyu8fVz7xQfAL6st+7lT/zZWPcPv/WI5ahnIoQQQ2Xe9/
SH4G1nTJAhH1EHIMDqwmz9+cNERzOiQ6ObF4GUlCyE4iNBjU0TaLTOPGjdvilqenPa8Ng+hOqCfj
uwAncLdgcH719VTSMfLRjKz4qiKYq5DhBSv918LhcqW7hnnXJpOLjJ7V3C2cA28BtltQxev83N0l
rvco2iy/gE4Z7/TxreDwh7Y1zp56FLkvVZaMGtndvFzYRNXzGwyDYubIokngkvBqw2D26YGsrF5E
2aZ2m+xLzPgmokJeAFuRfKhtKlMmCIWbmdFP7g+3VK44XA2oc+nItVh0NjkJZnaJHOAxX3hEaxqk
DOAE4jC+sVIxemSWRILhvcxdi+p7Vn2tu7p+qXp9OQ+dhG1m5d2JnNf0lV5m+WL3CWBwptjyREmw
eZB1Gr2ZMToTzrJELTkTMJms1y5ncdyIgNkXZ67uaaZUKO29mWyHLCaxyzmSnD2rmB/s3Fq2tewD
2VUHISCtrBr2g2M5tCvXlrvJTMQ9ImzAealVfJ1BkzOHL7x71zHokPVp/2hJpLJJ13Ube5LWPlxq
g5CFRr/S6cGPpsidTt48JeFh6YzmOC55jGcycnwg6U4jbjy9MMt1q8n8iaP58DjYGSP0wYDvP8B0
/5yILPzca5QZ68lpNmXpazfTgtcUiI67qvgg5uLP59kSGcNzTlyJPJxftDdT2DYnpgrjdx8UQUpS
s9eyoMvpg452mW9qkikpACGfYqNhiPGWPWZrkBsbsrfmKv7s4FzuoqTg08hMp+41TfM8X0+kkupV
1ljRPbHP0iBjJJNLXGfWs0nU+8FfHP40Sxfto4F+dTs0sX0yzJTtEB8I8Z4dKLZOiRHX7MdmPzEI
uERxka9dUL8vWhm1R0sv/G/U50W7dTnvMn8GHZVspqbxL0q2N9FjjirtcxpZ7n1MDIczC0dXcrXd
kn21a0KDbKtRPEf6UgS+Q+22KYzyI/+OGe7mLr4XzEhuO0PGR9GawD2NaoInEZY23X0ZFQEv1+qj
ZzX6XdT2FdLghl83qsi+JTQ1EHurivqcUm5JiM8XvMs/z6WR2ukqjzAx8uOZqXVh5h4Tnf9TlUbU
96vZH2XqUmAHLpzflMQfCMeRBu0X7LNgIcJxQVeCLcGSx9iJ030zufcG2URWvmJZWxZbOWm3/uOc
8+7ZdPOQv4QhRVsjDxmbiwHOyTqrzQp2AGm3YQAhvJKJ0XN2kg1K50Q/2+xVb3qHT35gh86qqzqy
nRnYIT8cs41ncQZveb9cQgKqDPJBs3yar3tKNtR6ei/UqcUP7JotLmecboJiztCmdM6m0Wj7aWif
bHYnD1rm+Rm1N1ajFjtSBIHubaXWpoVaoOZqlVoPhXxgPW0eBrVordTK1ZNd/jC1nK45jFwXsgm5
Tz/fUBlA5MbetlALXKOJzwXY0kGtdnV2vGN65ODB72RpzW5Qa2CffbCrFsMOG+I0Jb2gZjlYnDp+
G7VGVgvlGH7PIVRLZkOtm6nHdHcJG2jENlEwLdgmKrWeThcjpFnM01qyuy7VEjtU6+xMvrcdJoyF
n2HY66f0uvmG5Q5fuIs/zde1OPtxj0jcAbLmV3zXOVA286KrZXrIVp193507pel9z76dsh5VT3kS
ahEPc/dxTKxiVcyCE7Ta2OtTNgbmdY0PqAEGZIy4l+5/vhp+LPxZ/ROs7gh+dadepQKk7407UyUF
jE6CRLBNwZ4Q2PyxjYSd8NerlxcKkd2tj35n6yIhxg1kn1yVR9CjFjXLNaMwN9VOSTB2EPZ4NVEY
PMtrrKGrGON5KuvQSOlfqA1SXgQrkD9kKhXh+u07TkydNHdEDrHwm43WUQUkRT4b6jFL2B4Iuow+
Cr2NAqa4VE5UDgOtQxFEbiTPuUppyNFoPy1ZNEDxpPlv+smD02p4oFS+oyXuwAqdzAd4iOKREUH4
4KhECAwd7M+VLgOLfyafpVPAXTB+y+fwLVaZElOlS0yVM0lU4sRV2ZNBpVB6yz12KpcyY1xcpZr+
zMCuWTkqvRKnM7F9l+/UzMTXiZ3SxdN8qjDDLLeWXPztMIn8O8S/8rxMm06lZCY8QpBHVHaGZwwu
kT4hUNMQnLw4eYwdSuVtLJW8QaiCdGTu4q/2NZjjV123hq134UWYn/1Kz+9TJp8rV2V6EpXuMQz9
XtgdKXxyLodCZYByz/IDbVC5oMl4dcaWxYihZY+AEeEe9+SIemrF2+4aLuJxqIJGo+6uoWKVW6Y0
LJschGqGyiZpZHqOTjfJfekl88Ht+YjE5eceUFm5RvDfOfmfnZN9j5Pl3y9IDtX0p3YOtEX1Bb/a
OfoHQ9EMOeheq3u/4oPuBxYe1HvhZJIwvFowfjVzLBUfNHCLky1UB+Q/Tsi0+ixXnbl1oojXZcq/
OiFbf27mODQGLWpdLqd3XydIeKUL/hYflEXfj6VIvKPeFIwTU9LdU2Zml9lysvcCZuQBzTeLe0rt
LPGz6z7/utm/LvlD0Wn3LD5Z/bPvHe9tqw+fMiZ9NCRUSiCGBBodqusaPyx5/q+ba6bACEkUzbl4
kk4/PQxtbdGvlkUeHlmG5+/jSDphbAbvKZ6rlNTENb7QX6MMrFLUE2A6xCrnMKrEQ3oNP7jXIESp
MhGAEvNvJTGJCDvCOfXn8blPGvtC0oM4xTDW4fdeZSwibbzNwGOwoi6T9GVRWQw7jMbnOWqodsgu
/q5ZFoENP1Lbi3YW9zWwKI780up4p0fz7SJaA9daa8vvotC0h6pM4W6IsYjOo2aGB/caFomIYZDN
rCz7xozTLIUYthgEFSbQHEtNiSl3w27jIHl9MaQVzWvLK7xdpwKfK1KO+aM04viOEwPBjqGK9slE
2QRmvnd0CLHt9GqurWApaDkVcQRgFOZhLtgCsAAm1mUOBIugjYFpsyv/XRo67DPptQJSVz6STPNb
iodh1hyHMEs3cAJcBU6s3HXezP6p/T/sndl25Ma1bb8IHhHo8ZrInplM9kXyBYNkqdD3fXz9naCO
7lFRduno3S+yPSxmgwwEYu+91lwKZdoiKS1Q5Vfutcl5nQf/4PR3g5Mvkc1RuU810VKF4Jj0vTjP
St9UdnVfZ2N3lI6LgEQnoQckLBYvmnnZRX5G+LhLmg/+RYJ9GGMPz1lPV8ruTYJ/CHxHg06oEIFA
Qeh4HDuXmKAwJzEoW7KDQPowEf8MFIL1A39lnEB8wZpnCvAZPsToLLxxCSRqeZV+LzpFTJG2JBaN
YZqZK2NUWAtiU3UfRcOxYx/gK3gK+ik5DEZRb5Q3J4A86VS/VeTD3dhjgyYAGQIJTkZDq2MJUZIl
g4PVFMvxoro2TJ5qQaDEcItkPS4zZl8oA3eOHOK7cXaiG9Bhs8y+8+vqo4mztYm5tpNZwO84CdXM
ZQw2Gmb7ddiClsplCQrA7AYAEKPN+Uvqj6HLewQtBOtM3Zstwx1059LyOymHYh8UstpiMcVCkCS2
P2BaPqJcSrdtnubc3kbjA+skZyPFVFEwoyfao9y0wNZ9EKrBFnY6fGIH5ns8AXxuQiNfZ6m80jsP
moaQDlkM5p0wMTOMwjqpygz8WTRIukQx71GjEvqE0B9q0mDOwbpwG1agWdTiWkMES2ep7WF0NwE8
m0R1RxKzIFAzHjgwMBpPvaFgEcHK29UWerdVmav6ym7r/qhDUrqbJT6UVVza1s5Oiu5O89pbFS1j
xTL5wTTzUWrw6IjJ+O42pblOMOOsyjhpH7Rez66zcXJ8esSg4ydL3hPxwq7lwjahLkE3J8js8QGh
RKtkDGF+6rRhhz69AWjz5JlN5oeKG1sjSC7pwjsbptMmL2WCCwTaTxKLwVpRf7r7RtlgmBj1crXL
8UEYBtGrdHEPTmmqDZZGuFl6ot8xqELYk6l0Q9FgHTDf5hsbuuS0Cs22P1ucUzf1lEAEgsnxjaGZ
+ezkOHijlDP9VEXURn3nPNBj6a+q0c4mNqmWPYVjClIv+mjah2BAQJMjDdVFpNy9tKWTGzWwN6ag
QfalMs19r3nJaZQaoUZhG07bQFe93xUi98fWgkQdp/V13hOU7jT5ov3Q3wTpDcToxMN2CnIQp17d
bSCsCSAWXJTbkQJ6E+C1oGQMM662bjAP8TmEeR8xIQSLu3lAXBhP3eSTE1OcYuSTl6R1QXQIS6O7
myoKEV1shFsV68R0+i2WivyZasS9iboQuVXIz/+cQJvUrR74VDoVFzlgvZmzUDxAEszg6pvdiyND
896pp+K2hg28mRHHbjOQfedBde4BNSsmkIzOxgZ5QsamG8X9fWwaUPGi1niDnDvvDaMeTwj4ijND
uXY/aZa8tATdLnaRnrtqnO9DmdsuFnIZX3eDx8mcYu3UWkAcRERMA/lMKZwYly0zCy8Ezib7mOAJ
yHy9wzBwcB3EhUa4NpKOVglBI+pIEkq0zWkZAWvIgscI5lC0ypmVv3L8w02iSHo76UPa7ludmENU
hdN73tFQVUalHozBQC0VJE6zwv4And6p20fAY7hvUeScUEwNOLRskbDe6ujOsnt5zyRA3yqyhdfz
WCMQtucu+lbVVXtjKBtSeFvSNGNjqvc80ae3KIVzZUSm064A3E+odA2YNbqp/IRVebSa7rbr5zah
Pjdk1z2L2l4OtzMlTCqeZw0R7B6GXxN/M6kFsL13pd3zJEqFm1xUGUErApmdb3oJBHA2hinfVGJS
392OZnWQEkDbNDFbcAThFaFCMwarMJr73Sjyh3Ga6l2cIjxgkQYHfsps3RdFdmssnSTGqMc+1Kp1
bTfx7+zh/wqI/kZARCWh4335z+fjq7eiffvZZPP7n/xxQjaJdoP/CWbCMk3vZ/86KiBgvBx3sbqY
yGD+v3RoscL8yVSD20aCxjFsTncAff9BABxN6J/7xpyKPVpgLuw+y3B1+2sgdx1gxUvCyb7K9crF
g24jGFrbEskpEactESE1QxT0ouMqzY0yuC6LmUdwYwmNzoFilCTvM8JWtRxviw37ZqOpqTGDvRuw
oumbkvzMXZmp6jqNMO8727xBCD5ed2JJaqWD63A6gCABHWzbtVlunwazbj/ScLztzNhBiUu8pU+k
s7PNTGBu27YO15Wu5nvNVUqeVMfIya/hA6LTW8iqaod8rhUnbLOZxdhHUEQ6TRsTpFq7fX0DRTe9
b+rAe2kzZVC189CV3GRDUl3ZRRPRUJ69Zw0JV8lbEEy0mbyMiGtMBqJYGaiONoxx3UtaF/ZLTasW
EUQ5vgK44olDTbste6JDEC7CTUsGHW9paUSaC1ZSq3apyrNDAunx1W6t+llvDdrFskSKUXruRzbN
RCwj3IKkinGbfwTnobeNS2zFYr8QUDZdYnj+RF+Sf8fw6ts+KaLRF/Ms1t3IjBODIHSpFUdntkQz
APQxSmtYWPz5TY9y9mmKcgSYzTzusEDNt16rz+SbJktHOubginpSi/dRlsTfWQ/WbZLisSRhTNcu
wP5wB1k2kXXlJGnrdsVDhEdwp9yeMEL0sP4At4rzMJCNs4n/+JuGgd4kz0Y3LqUZ9muv4ricO9g1
CPxTV1lnoT2Ne1zYpJf1G23ZDUfsn1tjNNQeKv8Evy6o1as259XWjTNtB7BKHcxIVx+0q51DBEXv
XpHZdd1rdXkqtbDPd7jJ58vUK3uQQPcGs9NxK/7xn/T9zCE6owqCyeXHAm1rvaoHzyyaI9iCcCyO
9PbGDDFbF9SEXtCFoLECmRhM1Ji1IxbsCN39x387Dv+njgNF/y8lmVe/FV3/kc4/GRd//6M/RnNA
yR1Pwhz9Q3H5x2TO+5dFM4JtFrOgS9OOze8PMab3L2nCRhNCGDZYPEG34H93WJoa7IuM7IgZWP7q
H+2wP2+wBIQIGh+uRfvB41Ggf9FiGrYRNa4KwuMgOfHQKZTO7ShDxRovul1cU+8N4j3RRuYqtQnm
DZusd4cYrNvjSBt2Ri3rHb1lIX5/hv+CDfSlI8JH48vxJBK6raNm1RGk/tlQObXWDELAtQ/OAEzw
4nEQv7jKZq9nk7TSlUQiEEtTY06PeKQLmWZo1QDZg4Ip+O4Whbxt0bvWzaaandz5pjAsX2ORGTs2
7Fa+5BFavQaXZaW2HMY1YqWsBEIpQwG31cCIdpq7R8GEHkakBT5HmY0mPoISsHvzGM1DyNFJyxM8
K1ZW44hqSezhJEYzmrGWd3SbXi7jv2QzNd4Du3uE3sMbXeNGSbt/9EqSP8amzgdizMDzrnqES+/5
nIs7MzBKhAcmxEA/jujM0vylE7wdcOZnR9i6uO5jkEIZAzADNF9N2PtIJF/RBE8T2rpdE6vmWIeJ
3PW90X7EImouXo7T1E7aK3h0xwru7INTxBMMuWneOW3fAbmMhuOkwTuIHcWOmzFDuq5NYz4VYQTw
A14toylZ3mmm9yIM1LMa6q1yrdIsetZBBTorIB/jWWPmdIt9AO+agxxiM8bDdAoddS/6MINu0sdo
P70CyuJoy3Drppr53rRor7wqQrpiAUPmySxi+064aXU3wIhFwOnmN9agHLRkeH/SM2VNazwmIQr8
SWrxhUSbDYWuvq3RkpK+LqZVESFen+zK2sGxK7aV00Wpjwqy91taGBuFQWE/GUG1ARWorVDMQtmF
Z3+gD0GWUx3at1z1+gowN6o1JxPHUBrekdgL9xhJkYXroBDZc9XJ9qF0KHzrUaJ9S3uNdgupP3hH
9elkDML5jonf3mKYqCG68O0ZpS0IhKFZeAzIRbnu5lbVI86VinCst5RlvzL0ZvI7VhoCjnC8Ew7E
OIh1w5U1tv0GF4vHaCrKNjB9ydgegWCrojPuog4GSI/GbxU2MYiKrCFmfjtSosy+wlD0jFwbJdGU
8Sx1vX5jeaN808Mkgr86z7/pyGjONf61tTtNzR4RDMP4jg7GC09ihT+UYcpBH+yE5KDRmCNfddjj
djyBmbQiDWndlV7njs5stc5oAhkesp0wQ0dNo197sKaWcZmpZR2C50ZeeZWFnW/iOh4G4JLtimDI
6BRSI19hTePqEWgKSwXgTtIOENdn4vZWhRuYH3g4RpCecB0e1FgVJy+DPQqask7PFsqCrVFCDdIh
gHF3RW6N14LzxrCj5jaAZqNjvXUKXBU7Jy3tQ9o1j140qndnUNMGKY158OwEb54NynldSSDc7ITj
yxDRrFtVrg24Pg9VIddp3KSYMOAfz3gXG+e1CByvX1sYAuGewKMdrplWIzaWVHsrqOxkvMmhi/LT
jJZHJ09nGA5laJcWnqGMXmdC6wubconWZohD/cIgery1G2SksDqjgSNp0WYXkxuDoTvhl/Qyh1Kj
LpcYVkEW2Nc228FVHkHGxLua5U8chOq7uDe6Enm5jqlomdFq9TKuRdYlLvEyw3U4QmVr2cfmWiwz
Xps1Cit4mfwOymrOox5FN7E+po/VMiF2l1lxOMOAId+bqv1zlGy1afqRhGiM6OUtw2aac/YNSW+Z
9oxPnXH0tEym9c8htfM5sA4rmBBbc5ljE8FVH+dcji/AuFEvLPNuuUy+aZ2slWZroEyXubj4HJF3
y7Q88oaEKK6huQcfwzA9kHZ0i4FB/1YOeXznzFMOsqppwxvTNCvU9/BJMl93ova1nAX6fBMToLVr
lik+sr/0LarJiccCNg3nDiUF4hI5Woi4DZfRT0olftGmRR1gDRg4mWF3ww/2d4btWjRuawfqs615
vEXoCXXCYGlsk9lIDk0KNKkeUSWwN0yHZFEqYCKU/INFxz7PTZ4yo1vNBIgypVQQyL1PuUOyKB/k
pwjCmfVFENGijWAIST090Pe46lyCGpefba+50VVONUHbz+BLDtLZtJH9kRiM80YXrEZaT8YTU+7q
kFAs3HhGJHnX/ENn3M9CtFLjQubiCfodW46VncLZDVBylAePnMGVbWmTT4NFW7soiXERmcn1DOlj
Z1I48Adq0i/kTSNCGBdBibVIS3Q822tCrZgqN/wDIp/2miyClEY3pivTqs3Mb6sIwYrlDR/DImJJ
waqtGwyTpAY17nu2iF1YpZbhY91CAwMdCD3MvEhjWsj3BAK6RnNluIu8xjIg4fiyVY65kGuw9jN2
94ztjHgXtiyj+Cc76boCgwJCHTgBaHYQa6PfCc1Fy4MGD11P96nxcSNnpJZ2lwH8pwqoXwRBBK6k
Txzh+LkgeZvJcNGEmd7Nwr5Pp8DaJZ/aIsNskCEUbWSc20/10VK2X4K0YIjeReXrvMiUukWwhIKH
3wv6OzomzUiKVwPfMq+JzElfBE802pmmExeen926laeW7Yy7aJFJhZ+KKc5dqKcyF3jwynH09I0B
10sLJGltzdJA8ZJ41TFB8+HQZHc1Wu2oj0AzZQHgF62s8ztSQrrrcoEzmAumYfokNizmQ/K9FpBD
37Z30Jh4WMN0PRM4ESGz4hY7xUzUrDUjWAavo0mmK6ETJvoIYgLWAY3kD5QJ9bsLg4u+kNK8I8NX
YgOYghGngh3eowu4kCiaBUoBahI+hbegKrpPakUVZ/j9J005FPhJMpyI+cPQN37yLppP9gXHk+ab
nixEjMFY6BgY9bCffzIzBGsg2HgLSmNIGp4EeNuKek9EhzlBbQoiMDq4h/GbZ4Z7Py1ojvKT0mEu
wA63SdloI29hqZd2lpybaE4nJOlOjpjFnZ4a3avR3Y/Oax24ya60Ub+s0jjF3CqDxeno1MWubhsG
ZGAdhbGKpOKRUTsoP2MIdTc6ruYcPA4hDGHvkKdSCBORuwjFoXKTTPhFSTp0a/Q2VDqUQUZ3Zbuz
ziDov2Xd/6ms8xBh/6pRdir7uP2L5PL3v/qjrnP/RYNLR6dk/D7/RY35x0TZxDDnLI4514axyDj0
fys7419UMjp5UC7zZk9fMDH/U9npvKBHuckMGvM0R6N/1DszGE3/ma0qJTc402Qm3lSKDuPHn8sn
0jzHvoxlc7BYuERsJ5q8E1Gtzu6ApaGsExdyfuWI91ZzggdyeOHw50WApj+GBMPzn1GzI0/ASYsd
zpBheaZkyFA4rz+4SNPXTlQB3ChF5/kStcdFFlr/W9Ig3JxgWj2ZOvOIKndjoPh0ikph4qArdGdY
E3bc+DIUzbjrck3t2Yfs+77op78hLX9pHnIFTJPS0eIyLOSgpb7+cwGZcFijUK2qA0dNPHABCnTO
LJ6vd93yvfjcf1oi/4acu6B3/0Sz/Xw/2pXo02mSwvv9UrCSMy6mME2rw6g1xmoKs/dlVOXHAdfg
1+/0RU67vJNj6MxrCfKitWB8+WaKXr/i6Z6hCaD209m+OUmS9UAGVnxPkoC5+FyCu1+/6b/5eg7e
TfoFLCYXiPeXyyl0dGycPrHHsB+utEU21KJlsNb9ZGFL+ufvhomVbrN0TRv/2M/vFnruGBd5AtRM
jFZ6LkiY3wLOZrzbZ97Dr99rcdl+/eUwpfImjgG+CYHIz282kcARkXYWH+poypiLRtTy67rOS9Kf
JTN7ZPyXnnL+NLbpsIeb1FWbuLXbf/ydLSFc4rcEHSEHUcnPHyOTrTPnPSfGul9ocjzo27UdBsGD
Z1fI8n79pf+6hiwhl9OwayFgobH/85s1FMpG19gJqAWlbku3afHEcgcDDEgjIjliZpxOgbHmb973
r8vIEo4tJYWyTUtMfNmX0jAZ49CukkMx1gOHcn7NEWbbiE+EsJtff8cv74UvlNf3lj4aP68Ui3zn
zzuAiSNWDpEXH2LqeSRzs0N8gWjmq3Aejcdfv9fyWn+6+z/fCyg3lxKyvWl9jf9M8o4ahbPbQc1q
lGuMcPkxi43hf8Rf/7Ex9rUttnwnZGXokdhkWK76z9+pt7O2scspJjXIGhJOM9QTK3MuGFkOhnUf
xTEo6gk5LukONJCCDZVW9DvH7j9+hi9rZ/muCC3Y6JaMzwVa/PNnoDhL48UndIA/ybxDDjX9BqWF
58CY82MZupSztjH/zX7+1/RcHOtsQQQfwHoDG/Pl5xxCm9Nd4JDpAH7oW5PY+RGj+3xdMWbYNUZV
AKXBhA28ZZ5Cxw/Gfh4Oo11M39Eh1c1HhWTomAYFMtVlJBQAMjkGKtFuf70S/t3nRNDF0cDhdOCJ
r1OrFMjkqBxN2wvDsd9x2JiNP9QZZRakttFm3kEJtpoTzQE4htXwLMBOZiujCIJDn5bmldd5wQFl
vnHtaXbrbAmUKxMwGJ4z7H79Wf+6al3B1WRkB0DP/suATXgFjYBsjEnTEhg5U+gfKbVL221+/T5/
vRNxqPGTUYWAAnS+PhtjTeeiaG2Mgq9U+PoVhsoiLa0rRjDW/a/f6+t2zvJ0BWQ/PLxwVuBgfVme
s9taLc5ptvOySdehGwxrJvm9jx48RVhRhX41jfOV7CfnRcsLwMKl1f3NhZXiK91++RgG00uB6YUf
2v3awM6aStO5M4K904/NfHAync208yajOoR9pW6Z4ol3i2Be4kIwO+L5jZKQ/w6PaWXnwrpqwyE4
evi+b9Az6MS+10mFUZgkTXLa8GCds6hFqUdIyp3KjODHgHD6yZ0zdUaoN6GGqxt7kV2k6Htc62po
BBsuUgn9zoLafG9Hldh3iL1PEWSUfk3qp0Yg3qhu5zAw+lVGw+mSg856y4JZvGOFD87MXCmSvakI
fuSuZlXHIq8RnxRI+fYYN8yWVmnUkwPmYMpGpQOCaVXUuvkWAT36KAAePI4o+Wo8t0NO0NoUmD+y
oTPHdd6hBCe8JYnO+BXyo2mxtchmiN/7iM27bEPrB51lV0e2z7GRckyQwTnGXtgTb2Wbu9EUHIYK
Z2q/uw45MICUnRd45I17hz6I9cbdH6bktXu8PSJ7DfBcy94JrcZ5UajK11PqhWdn+duWQherjkXy
F3TVFo0W070HrzTmM8+Z7Kmu5/HyeXkDe+w2ehGJ28ogGIB0LCeLDoEMbeOoQxs7pwBqSFxTUUKn
+XO3Ant21XSKHcqVk/aK/5cVWYpJCj/LYILDl+DazeQ7YeUTInogaMz81jeCPE09FMXNwidaBDm8
zggg4QwFKVy3tRO/N8IjojRomjkkI8VbkKwWDwUcIMajWwyNvsIMmh9zQ4/fszDX8WWW5httJrze
3DTZYjzO1a010ugiZ6CZbsRQT5d4Zii5dkwZv2Z2x9aEyhrUnQCZZizrMF/okW6PYMufI7cDjT5J
DjAyL9W2GDLWkpN36hyOM7m3AaXXvOraQd3mlsbgaKGJrfuoRU+U8AXoAiejAjfFAtvgEKjeojEU
zFpcVq+VmhOmS+Soe4yT0zUCc+3BRiy3mIXM+RxqWXJM3WzjKRp1zPqnCz52kL4J3f5wBJkLQxeH
ulY2tyHD+YNwm+KK4Ynpo5aM17beirM0CnXsa2Hv0REHD2HnbEpz8fvYRXqeeTcfio9zyZWzS6Fa
+HURTDB6EuPFxcK0UO5Rgs4ILNPeWAttUjQddd2XDPC33oRwHhAU2VJcVf3Ji4dLHBbzMZHeNopQ
MqJFLYklBMkcaThT0nz0VhiOk2OWuo1P9lcGjGoJ022hHXeW+dIwczrjKbo0E5w4JuLTephd0+eB
Y2ytOn60AxtiV1vpV6Rt+KJPLb/qinGXenjEUyUXeaewmX8DAIi96K6N5nd4Sm9Vr7WbRMuN9UzQ
xUqn53TQhPtcL6p9JvxV5s+Ty1Otr/TX3DCPCnwrINL4OrJjXASm/TAMwVVZOOFzhypiE5nzdIyy
nA3YXM5IuT5f27FhLI7s+lbGAO21gXhBpexT6tSzW0H0h2ToAe6t9bD9DVFntZ9lCfuOQPoA8GBo
JEdZmqVcBVronHor4wOVGXHT9Ht19Wgp09hOY0aGYTfo3hXyzPrCQcmM1qO9DM4ckT02MLIeaVmO
93NpcX4oW/J9V5C953PqKGMhWDlbMyUjGQZBc5gym8y82st5U07RZ0JH7lxrHO+ccZ5hr/T9Znn+
IEQsK+Jg46rOb9qOpqDDnZYdGFlyFNBTaH7NzFkkdRlWpYXd+rZwYraiAoaHGfBEcELP2VcJpQ8q
hHSdc8zbekrQ6xoHWrpNpeeXVnRPsJfJaGXQdm3WCpJliKcQYr0NX2rLTBMJZAX1vEhS60bAG9va
Th9+65JwvDL6ad3FwXhMxl5gsyK889VIJuLYrALSmz+wTx4Kr4mO6O8wVukjyDY15CzMhLMDJUKm
3WZz42zyuSFdDCmgyNHJ9mbh/ujMCRWrXUj9Qc8t59s0Kk/thBVrWIRG5MRlz3mMVO19pZR3PWm1
DX2USZVRlpWvdbWzp4L29t4k9W5Vyb75rdJdd1ONyXysOwN0iCnOHvjwzDc9eaKPXHCEKRzMTZl3
S/YKjubACAyK/yQyaVOAgdFi6Omyy7wjPyomMQslOg9h9NBkKpsfkxLtrYOR8DARXrF2SxLIXJsl
gNIVm1gQWrsRMuzWRgIHjyw2H1NMkTdhB5wnD2RygPmun7mC8dqAWlYPgdwNlsXC9oqzTfvAD3JP
vwnrDDZP7RgnL8Tn11QEhgdWLde5O5a7TOC1z1TrvvULYY2NpvaHliGf70K4IHWU8L9dNBQ6FsqR
0VDYBtDNxGRc9wJej1BEE6KtKu1V1WpJsZlTrTRxfw7ZLksL58Uis+GBrxYSSGC5JTlv0MNnzZt/
6yjHT6j6e/RNGimCRuUxUmeezTPd9MZm6Uxa11TsqIWQylAAyPKYybnj7uqq85jk2U1lW93Fbadp
b9RtRKSB5+5zcD+H0SUVF6GBe1XWU3BOeiQ7Zjjk72nB9GRDTnn9zUThv7XtJP3hWTmE5MphJIu7
il4SkdVPTlu95rz0pqlLxgeepchNbKE0vAlGEpgDtZak9qrnLOtKaCV1VMAsSjCXEvwZ+6JkGm/1
8SbN9Y9R88C7kOiGqt4z2k0RhvOZ8V357shiOKopYdrh8QykAat2s4WOmsFbdyPF0L4nTcqeXWc8
NdgEms/gB5PgSuuxE33htB94TlxSTs1iin5EGsbCLm6ziBu7KyiTOu1HbUfFebIq/Toerf4R9Ovw
bjax+xL2HqDAxcEK5I+kWxrfFp4MB8pRkRd7zTbnI/NWsMy5PXybO/SuIs3JU3YHfLdJvUwux1T6
nKIQPGDZB1xR09XQ6wDbQjYZfKpu2ptFIs7mGGcIy0eeGYyy5twHGG+DVU7haqxII572MlisAw2e
23VnktbBY4t8QhgXOrHclo4TwpsW1AjdIdYlXXkf4Ij2EGee2HrE6WwqHgo7Q1TdsVJx/1FRGy3T
kYwM85yr0Ljxa6AvS5mOkjhHTkVkCQnz094WRvA0W7rxpumV9kNH+nEKXFxwVqESX5a87GRO3qMs
YiBhvdW8BpUZc5wUns8E/pGDcbDpAhtHbVrf2cZTyMwWVC3ba5AFLKr8SViFWAlCe51hglnlFMpH
jrhFokWuX4H+FnE6fBgOJ2vHAdsjiwbdNDU2sljwKFC73tNMjwpfo07GTNuVPCqXbFBN3/b2+BuM
VG9HLW/6NUODbYrVyE9z+6i3ueVLoPWr3Oq3LrRMH+kzSRMBy1kkE5wbKyfKUeJK4YWjsnd3JBOk
qzyfsx0G7+m+tsmj1ns3PCfF8EOrGDPUimh5exiIS6Cxu2npZh3jZs72nqA9oE/DzP3cQJ8gjuA9
7RCpU+Pz1OEgdMSua2KLj+ttPnZ4ILopOaVy2qVk764MDlw+RbWNjG+6jMiSAMhO9t5qiGQV+eBS
mlSEI7qozDkK3kyyJawjS1DFde1vHYCMTaWVaidtomDy2nttZuKDmrmyr7qK3oFi8IF1Gsy59hYT
zVIG0cw5xbvGoXvMtfplzNWlT4Mj8uTHqgnObLk0jBBVXxE68iOpwyfpeXfwNHYVp2nw09mbJ2JU
hJA2V07nvUtLtL5qFpWfJq3HMiMNQZT6+0S8xTHTQjb5SD9kdtOtPV1sk75CgeCM6OvtD8IYwKjm
dLWxNlIRhGPff1OG+pgIlSQ0AtEJUSqjP3tz+E0g0oMa17jpEf0OUANSO+BoGzupNkMdP0/g1vZg
/k5W/SjcoUcYVHubqI3vHSOM4NZ5qQ+UrH/W9MbdTKRm7gdqmFPfNyAgSUfnNp/FEUKH82y3ZsFA
qbZJ7I7G5hDXNu3RMVnKCceLpl2JoWADoDE1kabb6gTBV2u2UT7dWQDHv+NwAdCqVRkNnVXqta7Y
6YM+GldMv9sWLiqCg5tMB/CDbahOkzeMWPZI4wKt2CHEGuAxfk8Z/9LVNJMlwYQYYbJxsf+knIf2
jtE72nWHPSJet1qZQDL2aJra7UjJmZIc2vSwqNwwDX60gc0NyLsyYrDQQIAacSmkgOmUlEUhy75f
l2wv9JmWmcZc9sFLT27EJtBIgwFcauErVtN1zTPuya2D+ayRm05oFbmb3Vzb4jrRrHjYdN5M2dE7
bEtjS+BJIZfqRMbT8Fui9PGS2DM8TJmqrQyb9BilY/AS5hpN7tB05J1srW5jwxWt6HchjCPh3bbO
XTQsJa/XlbMfWVULnX/g6JBptthV0mgOnO15aVKcNSzxFOiMZ5HYOdKhvoJP8Wpnub6OG45/KzOq
bqwGTgUuogOM4gSJTdkc9LTlQdoawdGILJoCqIPPbu/QI1gmNZ/vN1SmtplRjhwC22BmQ7b6Tjhm
/vz5r3hujqHapuwnjsfbwXpUexBI1VubkzDgT41Ol8A1xsuoOPZoFJvMelRh33spFxPBMDEnUVdv
PxvFVTYxRplKd92TarTO8rgiyzKGhaV5fMQ8GtOjrbpiZ+dwBcu44wvECa/IPqJQ5fXTjRVn8jnv
Bb96kQo+8zg1h8YqYClOnHcV+bJ7UobUearmufMnwfcyCUh4qCzKvnqIqtIn36XecVSjtu/7zGnW
QxoQehUruiI0L9kMekl1ItCCl+Zg1Yc0EHnO+hdKO3llWL3R/It3Ik3oKLrqymuaFp9X5nW0ZNCe
A1ENVbnt4F+bp6yGYWUhCLkieYUJmbJoXgUqPX6uOy0u1HZI+AUMhWGdsAB1C4oHs88AKIzPF+F1
1Bge0xShzLrN+uWaZD1TNsn/5Learksie442TUrflJU664UsdviaO8zRhTo7gNBB/IzuGiCa2pL3
os6dSTIgMWnLC2aJfR/qnrbxosFdI2Wmn+9UhBQVjnjOBX+CAqE5OMXy/5YdV0uC1ASBazjzeeCF
Ngi8iLiqR008R9IySVjtUuhmLes+0jheSwLEuSOXgl9iqfyhpElTKWE1QelkwggP7o1WYgEtttCH
x05Hh+3JMTgOUVC+BRFgyRmtW0V2MLewafTMJscuOAaVLN9Sp0UUVk+aAQdmyASqgSyQdxQHfMMC
ieiSoxymnIDRLuy8ItZP1C3Nt85bLm9OVvOxL7lMQ1vqd2PaQfJYbli9TaPvucqrNwDSvPXUt8OR
JOfg0NFyBe/vau2bgpAcCjpyXc3feQ252my+771FxlYkY0qPrvoohOthqQR91g5NcBQdv05HfM23
euIODPrZo2NReLuuGbpNWNrz2aAFfq7yIXhpRrSsvrKVvMog21wKww6OVmbwyTsqH2tdsB3uhGHR
/GAs6q6tZRWMWB5OVmXRUsCtAUTPRdy3Gr2eVeIo8R6SmIkLzNVg1EcV93TZWGT5UZ2iAGR/9Eyu
FHQA7UFREPxwgoov7HXLGmwEoeyOVQVHRGYwUl0c+XvN6d01ub2UfTCvht9cmzqZ6HA5PbcEeL9O
g8sUquVA3tBKrUIC6QrkJzrA6pNsh+I6Grv+IRaj+70azOBHXE6ohy049CApeTKZMdlus+XM+Hix
PB4Grw5eEtuySGMCZhGsnZIG9zqr4nL+vf38X0fQ3ziCdGbfdL//H3vnsRw5c3XbV7lx5/gDQMIO
7qQsquibtnuCILvZ8C7h8fT/QslEs1hiRWt8B5JCCn1EwSVOnrP32v/ZEXQTRsWf2vV//gP/0jio
/4N4ADGCTugowFCBu+hf6nUD+YPNABF3juVqjLz/rXGAK8W4jQICsTh0Pf6xf2schPM/zOJVRroC
fZCtMdb9G/X68VSB+Yrm6CYyevYQDKWPBkJ+rwQdGzwTuq5a+gzCp+RbmPJUH94XMfLxcUUMughB
9EaD/7Mnar38TiLe8GgSzvHdQBD9TLRN/RwMqn5m5jFPjf+cCPLrdEyYJj+QET0ir49TMrd1pK/1
rgEF1CheTSrm20oN88vcHHjxqygdt26pEuNHzWqcmXwKnYv84ejMHkiHMOY4UmQoiFQ+Ht0Pye+y
2qjaAWF5ySpfLFuiGtyrxJXFzLQ37UvmNTkB4KNlXwyGGz1qsYx+DFM+QdmqK/Sk0yj2iPrqdQKz
cduksoV2WBXWnU18Ids/ChA+3FlzqZWCMA624MwcW38RDxnEYqOrs5tQH9WSjxz5XKpD2xzHj22v
2pam78JpQ6WCnmURZhlbOspPVKMFwFY0z05xYdcYdWWRtt9CmJIbwnrymUGLGnMTVK4bLl0/jJci
MtRnRUpl7ST2Q0ufgWYQOmAUcVaZX9MBDrDuKHiGZSE6j42HD0RrEgt8zy3wRwSk5Hb4pP4hRUQG
rQ/jC9C7zFzAU2X97WPSFuXYPDs9lIVFpGK4XqhaOBA1YTqW54hkJK0Dntjg6tFSIW6CRdzSq29u
q8R3ah1F2ioOKvV7ipZmRTNUlWw2Bnfdt0JGG9q1pCpEvErfBt8J6IpVlZUuJiNsHrA4hOu8Abi1
Y86F5DzXsVsPERstvts9XTrYikBwtMR3aIg2CU1j00KwvCbcVVzkg1RpJQYId1EsYiOP5WRwW4lX
8TBA6QomLITGvWm+2Khl1qFp5bewuYdNHVT6TMENGSCAY80XAeOJjUqqz0Y2vXlL/o6ynXQn+FWF
erdBOrFxm65b8aa6O4a42bdJHzuBrayN9xOYqBWSYfs1RDjhTZRf6ATLxhsjyYCg0Rt2TCB5R4t2
GfGIzErzeubdahe+4gx719H8J/oNkO37kPS31DbDd3Jiuhut0AYTO7WdvTM4Tgpa1BXbYJM+ycLV
goo0Z+TLAsMsQocV7959GOC9v26TqKWrEtPX7e/pbURDiTqP1taSbmEVEGmAfx+AbpP8ymMGdIzt
ZLzVkUb/SpKOti/K3Qz1aZmXnXoFIUBGr4Q7p6Xn5p2BarumQpjaSexSjBLdi0VSjHtJK6N4nQB7
teQstYPkragUmAc+ZKeVdNE0L+F4wxtqWslOAcoqhRle+3GJar7R1m2nTNH9KIpx9EYGi2B+/JyP
d4E4JljJNgzKH3OPDq3ynFQ7S4JyiTg9oZImn4VPAdRRGfYRpltCKV/rwhY7jf4Aj/qgFrsxqZNv
eBjmxTDk/GHX5je0zuxrvQW8vVQIDfEXcj43FLjmvfQn8O2VWfuwRzujhu0BRHcBSoFfzwB+8qAc
T14EPuk7Q5fie08DvkZq3KFVp1YQDsCDFlcfu4D2TY1lq16RqWCq1y4srXZZQrl8lXVKfUQg17Q5
LOUo5rlOiKt13IYO62iiNN01tKjpCUcISt8lzawpqbeDr/sprV1EDOOryfYZwhjSN5X/YCQ308fS
EVv6LNNHpfVCAFMKpUyB3/Tajk3GoyOn+qKYJfVob/nFaMlQ2vctxmssDLLcVpjVb8aDKt+aacSL
GhT8XUtFdWMcFPwUixheDrr+/KDxd2a5/3BQ/qsHF0CmSBwB/cEdoM9GgfzgGTAO/gHydfx2lc+2
AqWbHQZcHNwGuClwHhQHF0J7cCSEFeaEYrYphAfHgjObF3wG8juihPR10gNZrrXmUQzAKzrXjc2t
Nlsg0JLghlCS2RnhHFwS2sExoc/mCWO2UWitmlyFYp60KDB0L6Gfygc9aQcY2mFr/jS73MKpJLRw
g45hDV6QhPZUM4dLI42LC6r98LI9ODuayklpqTuluXZm64c4mEB0fbIXPEDKAxIsVgHaZXioDt4R
7eAjsQ6ekvbgLxkPXpP84DvRDh4U1nEaZ4FpgEBgwa8zUT8fqqH/XzieKRyR98y27v9cOF69Rvn7
n5XjP/+Jf1aOFumKwjINS+gIS9i4UJr9s3K0NYikNB5wMM4VoE1R9y/cEhmPpoNC5N9x5/8uHA10
s+ZsTKd4dFGSoJv9i8LxuG5EhsKkhb+DiAnbo3VUN44uDNVmnKWn/np01+Z4Be7gj6tx+48y7/+g
V7gtSOiq/9///XwI1MEmFRgqIFya2tEh0B7NXUV38sgwZyUl3XnMCSXnkv77mv8XR5l/xR/UKPgt
w2CGHMXOf9TKj2J4b8wzWtNzJ3IkSrSjwuDDyCHa6c5W78ZoVU1vX5/F/Cf+LJQh2bpsMCzUz3M9
f6x7tPAl5Z3iSK83nGrRKXTDo7K4y7JqS9WcnVHmfDqhw9FcgkccimPrWBRoD+bQ4FyR3lgENLXQ
lSyizB7WaVCmq69P7NShkOdCRJw3AQx8Pt4etbbKgS4IJxY6wcMQG1SacaddqQ20oa8PZZ+4hhoy
AvparssRj26TlpjqmAoOlcu8vUzSJvEsGY9Lf5iGRRUM2RbayPi3zwaXEgK8JpDAm+jdjg5Kgin8
A+Ce3kj64IJQd4h7kqkXZdu5Dc2x7HF+RnTYwdjv2Wsa1tGlTIRSTmWpALsfQ+ETcarERAc68S7R
8XoCAaxuyxHEPcFs4VWbDsOZ6zu/r8fPKNE4s/zQcYR+LFsdA6MM1SSoPSdThrWVc4JW1T9+fROP
d4zzSbKTg75BxxwJm/7xeRm0ohkbV5de01Ta1qbajRaBLfzrVFcnbxphOHUthCDCsOXm60Ofen7Y
k5tYE1iz2M9/PLRrGoMW6EJ6OLRGZnYmvJpYISLNVlS4o8wmzMUYQqX/+rAahvZPV5aaxuBkaTIY
Gtv4j0euUwU+cVdJz1Ry+bNAMtyvaSLpa2YhE/k1AJohStBxS1vaulSMm6EW3AKmZNtx6PptVEr5
pIeT0Eivq+OVbOw7ch07c8X8or90JSHZBVGYK9EMHYmhvn+Pb4qOvZ218cM4yy/s2I4vaqtDklUw
YHZK0LZODZpZ67yWXFTsrCFRmmiaV4lih1dpWY7AfYmcsNjDMIRqaSGrqX2h4lBHUwjSaxGaY3hF
GpBFzy/FfasipgkVExJqkLU8qAPBj9ik28vWzaZHMrfSVViGOuSe6qelZzb61EysHYWNeG1PcCP0
+tJI9OZxyEfjjhBxbaugc1gXQsa0xuE+pa1mbOqENdQeSu3KYSq8joVBaDmzv2/CbvgjNBEv7YkQ
DDJK9BGNTK1d+VC5vYKB8jIgleLOj7v+p9vAne0m0TIf9Acegw43OQkE731u+S9hifp/lSEwe0TQ
agowsNq7lAO5GEgvm99KZRAqPMRp88Sm2AmR7jfGXdep/KH5AqP8vyrYDzULtHyQqEfTwkrqN4T7
MBvHPwqj2wcRBB6vht4Km9jGtRYr14TJvzc1TrZ+bNpf8TQ8GpP+7oIc/D7ocLKMVolemgR0nDoi
FlrIkBcp7433eYriLsK+mry4YsWIEYQOjJpIdm1V/l428DvIKUr2mWvWT9H86KdDZV9kdCno4vY+
uR0SQz0uNthaerwLctGtXFnKDU5cdUuJOiEksKyAvsToU+WOKsOb1An2JkIvjwEcB9AnNrlV3GwJ
ak682Iy7+6SY2vsGThTzSbfmwQAUe5cGeALV1E/2Dmsv+42iXVO5GzeOy+VcVELzVxn6nxUZT/Z1
07txvIuR9m3KFAYJyYsRyUwt/advWKgDBJ2Reh/nbTIs5uiBGz0laCYMAnWrGdJ/I7QFesKgK/61
3rvokpLQttvZH0vPAHHIzRhKfTUG7NDBRhr7sZTVZUV61DfCKrqd5ZbWra8IZYudU9zaWhZc9ob5
RLgEPXX8tpgWzU71EHJa+q6SDSbXdgD0BWTHf2tQreL978l1EKSIbAskhL+NOHF+I4loljUo3AtJ
X+EtJMlrHbSVAX6bRNC1UjcuGiJ3vh4+YLWVNg2/UvR98bLuhnTNflj1tFobvYzc8EtS/owH5k0E
Bo0OtCqhmNrWsXO5NTGTvzi632HfNsM7NatUr4P4Za2MdmAUZEe0MjKUMT+1BKphlbXZdctm6lUK
kV/lbeDeYPAWDwyO0CFigmf7WxE61uvBeCvIgNlgdHZu2b7lr2No9ndyHIfbIQ6b66GurEttYARD
F8G8SEomd1pldksYWdZ9ifV41WAo8JjKON3SVHUOUAGSDEkSJoFRToQiLeBhJ/YityxzhWa8gBPR
q7+NyGqyRZgWIfG0XUzQkFV7WscilChZveXRQPBK93JTjmW9bYoennddRjUx2iEGWtWoLtLewucc
FlX4MDElCBZBhzuWlya0VrEL/QgZ6rTn1wYPulZM+zEZqwv0ZkRLmD6ZIrGVq6CFs9jd0UQ2N/hM
LVSkgbsza5e5GvMncGIzryJMIkiJluCZQFnCaNRVmzX4Z7n7xyQyJH5og21TWdt+6wNOUFN3SZIp
12EoKHB0Jmu3OUXAW181DctYl9ylsN62YayOy4ZV4Ac5qdO66GzbgwDcvYNLmjY6ToWLw5ytLyLS
iEijZSCaFNobW01Eqinznt+1i6p6rOE0YzRhSDqP5fTcMkF8Mk/DaZAhYDDteXKKC46I1GbdOQkj
DJ7hAzXfWRmEkKHmmw+JXpRmL5P7bkmeF+0Qkc5ijKSpn+2hqVfMS/i/GlIo6wj+wNVhBEzulP4N
JRHjEiMsnrooy7aN2+Zbprj+Opo0lW/1jAqskL7QTGFAVLSvUGSanWNbToJ1PjZXjk8niM97wuIp
u2sXoRITzhDUn9Tc6IqMq47BXkNwKwrLwSvQg+k0wTSxw7ANqg65QrYHSsr8yC6spp11VZPX5CU/
WB2syXMjxssajIeXg7o3MuZp/sECaJZOTj1j0a+ZypbDwoXz98Pk1AtNMgTFMas8kGaMDYhWVANh
HXgW7Sm5a1MR/jpMEZN5wplJy7zwgX0y2KqxvlUMAHj7FWfLRlTuBNFzT70LHCPPK2bXlaWsTUO6
6OaYRgcHzcH8saOzS68nZv7eWygEhMa4rXCR8IXoEG4FOdWvWlYR4F3ygOPCTvYTT/QS4w+MRUPN
32O+4Tu0wvVDnRDSwoMU3JIhFtw0cesSYI30zzIwHEayzLeOFNZLw160WRB+6F+mfU4pfpgWkuQ2
3DZNMt1Nitq9d7mvPGZzxO/U0P9cOYr1z/uUNIP/e1T5sYMhiE4ySu2aGbryEIDhu4UegBot1aFU
mUP0PW9rwhOLjmxwkCzPoh2N504qxnNsluM1XyprE1ahshqjSFkxj0Z3Qvb81RQo8hthq/macJds
TZTFcH246o2JmruoHedGn6nteV7w4avjC1Oiu60KqFp5C9+h4EHcDKDEL2x0d+t8jqTLxkasS3IF
kBioRN7Dxxj3LbPXG9/Rgh0ycaR6h2d5cjScIYrhUFc4xsUER/varnN/jfQtALoNDGLBrDC5Uas4
25HibL24Pp2rxseOBV2dj6E6Gdz+CZNrUhdMqStEE0HvigwGGXNgc9LmUTYy+WQcrlkUxp1e+vmN
LadpFRUmzG5U0uMTqfOmuQD2GK8n6IkINRJiB6HQEjVhxzfQ1DHGCwQTRpuhO+knMDp2jxZFlsNN
Zdd8ugnrBTdLhhpG0CmzkxXYN5+wXY1kYr5N3Y4wrwkdmlEjmmzSXFvm9J8fWtxLm5YFhxoIEeGF
ZujNTYXUBKmM1eGkZehPHmW5r/AdbLCIKiNJHLnyUKsqU1kn66iYDSDOaYdyRA1qXs3GLGMGKrOf
z+nm9njZMbnW8vRJRZ6zzkrUDMKNtLeDgN7IEEUbfa++QcVn6D5EhVgoxuwzQWm8jnAUoozEIyIT
295bvTGunWaUMHF1xuti7DBXZK6Fgb7p5rFWToj2nWohoQNxkKI38PkvD4ZSBQ052GF32TYK8Fb+
r7exAHpAVEfle3RSjW2kimkHvcDa9lW0nc/oxg4HfcnAPLwmzJLwsDbK7vUhkWv0zvl6KkOFDLai
IWraHPUfYz46Md+G6h4UJwarJFIuUFnetgChFqDdQwAJyrtTgcXTjPxFtMgnU6KyLzmNZJWqBSun
GdRy4ziyXxeM7re+j9aQ7OrmAsOIxFJUqfaaCjFE3GjCww7HW535NUGOVvbTzpWf6ERuBkh6G33o
s7luq3bAJfSFPUUPfRFOS+kogcdqteVCdEtMjPkqQPuNdtJ5UXKc0kD1ChSdRGmtnH5mfwtEaqrT
oMs2CalK7ZLzBWRiUFXpFhnZJbLS0r8q8zBYJmRKrK0oxQ3I9KsFqxeHP4K2M70EAuG0GNuhWw/O
VNyXeKknoCZqhQFDDy/C2Cpv8zwpX5QgyRd81TPQEiUCzs7GVaQxWFulTpns2m6c9nrkJlsyLVpP
CWFVrYqgMm4NR063cWDJ+xJ+7RrVuM3QcJhj3SbLWg+29EngConXInll01UJ3Tg1jfaAq0ZEWU31
5sopu9DAPKMFSk1XrvoiED2ywnZIkos6f6O8174PbMevNLdt1KXUzeKuq2KwinrR9rf+NBa7ZkSZ
FCtEjTUOMno9y4hgTqC2ALmQ3MUV8I43IzSqftmBqL4xtCa+y82m2LTY6L9bkvpqQU6dfj06bvMd
3pW9T0DcPPujrfqLCqD6kzp/IS0tK5FJOaE35Hl7EUYOaZtZ3TyDZjI9SLX9PjWD7qJXxuRnY8yB
W6HGzSX317/t7DL7ldXAwDtLM14R4BVwWcBq7TWggJdEi9JdwWOOQKbLDfa6NWTCUWmMR8EAbI0m
XEP7BBTlulDG96SznRe9sHOE4JOzDAIGKBh84mXcMXmlxpuQ34UZKt9WGWBqjpKVLE5jLy67dFFa
tsrt5Wu7H9lVYD0UE2MKZxXU5bSCQ/JAhuoLwSw0tFjlF/RsnVXuonVMtPJZiliQiY0WaAEnoYKH
RGW8LVwreyiSrLhsplTfkQFJKbUOMjT14F2S0mkVT9S9knlslyzlfWxSXAY9TGattZynRiGBh32n
s2UX0y90JfIfUdA0l3wU01tKxfh10ETxGFdJ9VK25WBvSwUMyiLyqygBUTXnQZDhorOZavI7Q2h9
vjzoWhJpkT7Vyj7ed3r7HvQOuk86u5eD6+QXgsr2Z16S+zAy/11ZSnI9FR1wK6ZNzMSxqSxREhaX
SVcCB4Z30lzTCAyuY4qhRcwYpF47jllhErHwNEmI07z/vyA7Q+rhm+YuWsAtKGybaU+KRXubYMBf
GRjSnwZZCz5ccDU1xnx3dSmKN9pgP4y47n/gpLmfyNUyNjZanZWCTGcbVxMre6mIJa9aeg/pFdYd
niL5zVTTOlv6xK5bYatupq5r0RSFMzaoMLYh/NJLPSHSZ5HIFmwlCRgeaTDBG7IlYuFZCRemUGC1
BYP9wFaH7wmuth9+Rk5KGbjPxmD0F2qp6Vv+io7Rumrujcj4ZaeOvOloakFC8LtNl2CY4LqN8ZXr
Tv22kzZXDJr0FlbdQLqky0URvv1sd6HxEHUF4LU24oWVLqSfnJpqDC13YyrmtiFU+ZY9yBMLcnIz
lJO1Z2yO/7dvrHWZ5v5r4SaMohBT0SYU8bVF+BOMGoVdjC6pbsELVsug6/NvOYA1KlyFfnPW7Bpn
zO78SLFu7UoNAOZZ+rUWduK3FsAXL2ISGiUjvr0P9v4GJUd4mRK6e2+U2GFwv00kG3yPc+hqITPI
jOV23aGNgEU7qHe+31rw2nGiFk1SbBmQp/cNK+6iHWAquW6nbmXaPgQtWS6DrVp7ERTjtunlj9DN
bS8OQr5YFIJ7FlKF1E+3u6SUs/e9gdCfkX1C/Vvkv9sm7qIVQpc3gWH0e+00LcrxAHfiW8EIX73Q
yta/QM4Qr+iW9Dxstf7Q6sowLhUXjuV1lMpAXxZ5VQ0LIYvS3FQ5beSlE0ok2aNMH/KMZMHMHIns
jmYHOC2sB6xz78OAMU0FbYqGWci9OvU/bZNdg5nq2ZKiik1ShQp90pBcEvGrzRkHnoKZYc/7jwoh
s54yXBhLwydcgaowXdHu+FnrEepfdSRrOub7Ova9xwTy1WYLMsTTpSnVO2ooi84ZbSKldbSfhpv2
F0ZhirVVCRopiBpuAl/zOlfxf4eWMG9BBOt39eD+rgZDeQp49R513ZbhyqwLdAPYPvxVjQKK2DWz
2Kru0ELrq/IVJGCifBgMnTG3f+6C0vo1VD7QtLjRRs1ynj8mOaJ2rcKO6L/aVZzutax7BO8+eYHF
7tZFnfFfdO4FwxaYCDPPWRx1mgNZqRpCcg5XN+ZDpVdbdgBQynxbPTNu+eTGPjS1UUEZlOFMXNTj
zvI0/bOpbU1t/7M+NOlHv/0Fd55gVqLiMNoilLacSX0N/XlH2dOP+7rNfKp7T5KhZSOEQif2aXpg
i2bCRCoxdAbGnYms5qoM6JN+fZRT4x5u4dzDVhl8HmNZDMzMrZExgzmMQzqipZaGOw4kR8Tlmft3
6oQMFKcI6WjNIbf7+LgkQ5sDACX7tyfEeYXp4oflFD++Pp1zxzia7kQmZGLeVunhviOHUW4NJzuH
Sphv/vFYhecPciaPoml/ejjc2Oml3kiv5AN2FbSqvteBeJO62EcvocKoBW27OuPr0S0JbCKQH86N
dj6/egKaDX1U3j+X/cvRAMIwS3wnhUuAioZ2pgHJuQSPX12mSoxkvHTz1d9eV45HGCfyQBOIz/G7
V1FbOSNucS/LB1Ypa0ROp9ln1pPPz6JQQbugzyRvc1ZHfnxA3EBrSBlLK4/gAYinJaGvmFEv7ZiG
5tenc+JInIRj2hDiMMTbR4+Ji8BtGken8FjakLsr9QV5lQ+ljJ++Ps6J26TZhq5q3CtWrkPG6B8r
pFVmiXClXXhTpK5l+qo46ZJI6Vmpv//6SPrnYSPS1T8OdTRsZKNqzZZfPOadS/cuN4IFgZj/yCbE
y9/l0+NITsgW5rMvV5XROCsVaPt31LDYTSa9WceMgLZ6zV46k4IuWGbgFDCduNw3ghjUoA+nKz+l
GDSqXOAyomVMcdWsU52wzL3dpcN1X7S0sUZEOkv22qiEiOY+c6IG+t2j149RJs19lRdAw/R8tDYT
e6IIN2+5pnXYPLtZrl5rnfNttKzoNUP5tW9Tkq5R4n+XQJI2NrmZDK6snYWhPDIZz2hVSZR2+5j5
VEcNIsq8yL6VvXM1Ib5aZEVSrWsEWahdSVDyZSww8PQFWsyOQBwlVtrlYBSGx4CrXzUNcAeOE6/Y
x9uXiYGWIU6QIpH0HK7coF9OdjCsCK5MXa6WDjvRnWr1zZ4dAV8/ASeeNR0QFAoOvll89+dp6R/P
mp91FWPYkesSEwjUaa7YcdcHL4gl0ioSXHvv6wN+nvwKgUTRMLF+g347nvxiZu26vswKz50T0mm6
ZOsKquClJcpmiyy0uQzpvzyA/Q3+Ebr8H1k+J15fxtrqjBl3gJQcv74yGDslbK0c7MQ4vnQWUXio
tLQHCEfx+1+fJFNeViM2PPzreIbOcISic2xzL+skrVGcwJKeDfE7eJTlzqqTyFnWTNkQCet07r4+
+InzpK4iYU1F8oeU4OhRt4lFZO+Z517tF9G26vOHAI3i0olH+ddlgDEvUhrkF0Be5jF3jo1gHUAc
ST286s/jmPcr3RnIcEqF+OvHlHIDwRTCKGQYn0BDJfjtNujalOFi268mi+6LiG/63rQ27D5//e0F
NFTBiemaAbqLIOeP70QQpWVupBWnZWbCgwOTFwwSaOzWqUjOodA+v4AcjNKG0sBkqnX8+aoYEIdW
m3FmivEQCuUZrsGveBAPOEnO1CDzu/yxBOFQ6HMsTo01/4Dx+eNdz0gbGnOFaSw8i7WgYeIWJmmt
aYcccbaBp/q5avT0EQFHImObX7rjz4tR2g4km8SrtG6fuOVrMWoPQiYVNjGk32GrX/79raPwBkZE
1cER56v9xymaYPrAttiJp7Ttfkw7zzAS4t7UM4f5XDAaqgnqCLOBTfVxrKzqHHWIIv60R+LeTBKC
eFsOfBG/PpnPSyVH0VSKDRhg1ie6E9bqgUw1LfGkYFvLdg8zUvvbzq27uGqYqhHyLcbizCo55+h8
ekrmhcM2TROk1zHTi4QtrKMhqirXBIDUpy578bxM8Ce6jOqmnElWPQLyX0BaIG0VpnxJ71u1t81Q
BbuUYdKG4LmHaTRnY0AClqosKQ7msqCa3atoY6xHV4cOBkrCPPPrT96YOcGSiQBm8+Mbw1wyTGlv
ph4tqnwdj268VwaaHV/fmM8rLDcGXaXtamRafCo5M6PiMxIUqYdjAbRu0Xlqoj04dnOuajl1K4iO
RVUJsYw97NHTbKciL6uchWgoBdNsP9wNljpsvj6bUyuQRQkAt4tNOdfu41GmWNWHoFUSFARYoTsc
MUzGW8yYdfqG0fPvq2j2jMhE+WTMcM3jHSrQJAtTAa/omPi/5msnI+suk/7z12d16uWZEzVsJLls
DI4f46EmfnIqeHnSyHRuk1Gjz+6bv+i4FhsZmM7PPgXNiIqlPvOpOrXmoYg1qKuRDH7a9NA/UUNh
dIkXII9vcgXrbbAp46cynu55Ec8c7dQDz7ZH52FnZ/lJLQhFCx0ZzBuvDMpkm1mmfdfr4Dy+vpif
QH+AM1Uuoq3zORLInI/WVbfVh9ak7+Y5ba8+RaFabMi1RJQSiy6lQW/3j7HmFMu2aLqbasyTazO1
xTZ0EHZN0A+YLpH0plXAiTD2MpRt2/jc7lY7eeVxyM1vpjCpfz4+yNKvVbPPMr42g0GvsKletcYl
uUg49S6ynWdyNjFoEWR4meYiekr6rt75bvEjZKw7WTO2o8+MHV0kd2GNSkmeAufx9YU88a4x2KIE
tW0BlOr4g5ja/IZooNzu8Z6Vk9Zs1BJFlZ8yxB5fvz7WicuhHYSGuPJQyh6XMTrYMpUMKEp7X/ul
0nBYZab6Wo8k4dluPmfxWc2ZCuPES6dptO2paPhifSqxO5mOgwwKTi82X8IoAOPG6J5mppwWAqzH
YyX7asVItvP+/lyBBbtzR4oC8XilNIjOiqRTFx57tWvgEBJ5boolzSImOAmeRsLkz9S+p+4kJRtt
ANJ7XJayjw8b7wr0EKMqPEUNqiUhDowmc9Hc9dCyvMxiI/31GZ745nCC1FCCDxvF4tEbmPnSwOHK
pR26AAm3IfuVWhXVSiCL+28O5YJNwk0JM/P4I1raRtRkOVs0zS3yW1w9YD7sxrqIWk07s3ydekYF
L9TsQ5glz0eldocuJp/oDHh11j6Ag3s3zeqBcC+5iILqzoGG9NebIxYwV9V1U9N1KsSj26YNNNz1
esq9SZ8Q+tj9N9nKVUkf4MyBTizMaIsB2Ao6z9g45vv5RyVaTmAeVJ8tYBqY2MyGrTNVD2ceCcHf
OCroPxzj6JlwFYKdDYNjoOrVFqD/yz1sQ/Ob3lrQB1PsmVGAL9LsZQmmNg4ei14SkGAysMGym9D8
a5FE5RHjHoPAS0Vo2rqH2uFFopF7wlrDO90lGzofsfb7pZpvsxqFBrvbcYkWzt+FpoNaWx2gXGCv
gyvEDO/b5GYoLnINEFuR1XKrdqT8sYEaghuI/1SHxUwVIlDmJhzscKvJetylkEauOxFmV50iO89J
3IeoSOolVzjZZPSK5CJELeShUCJVr5/Ktd+GJorBpL8sDBGBx4zbzdeX99SzyVfc1nhOxIy3/3gH
YeZVzWjxbKIVfK2G5tUJyxtDKBuRFdBYiLn5+nin3nBqboo92vco44+OZ4ZjXolgzD38kXPP6brX
k13f5GeK188tvxmVj8Kf2mQ2rR8dBlJdKOTgktysJndlGc3GSednlTwyibpiKr1sTf1HIPMzW6bj
3HeDEoLj0qXlirK5Pi7I3BJ+atmb9ESKcXoJiW9eONJQ7lC7q+mawTl7nMrMAFklXbVKSTVjwpWz
kFd6tzOR+ppxr+yE2iobrTHypY86jAeu3GL8YIzlxm+mRpJNP6AHgmUYrNxGs+i92NMq0Px7PQEA
5UxmtQCZYSTgKOA6xPwemGHlO8Jv7ZYgeFJQBtgNOLr437PJXIZ1E69toFdPlTDP3YpTd9wiuYB4
BNoMQptv1R9rRKTWZpYnhGhDnh2ZLi3GXt0mWtOdebJOrUV/HOe4MMKFSj46vFTPMefIDfoNSzLh
1l8/vqc+iBaYZ+YKzNvA2X88GbXCxFrB+/QYOjlLHLkLNuPPRUJ0U1iPZ0xnJw9Gv5I9i4u77XgT
YUkWozzlXVFCixQ6iFtgIjfIwBBUNtGZy3dqIbBo+/O1wLL3qfhNx1FYMVIKT8byDpKutQSx91yk
8r2JMG+F1pkrqZ16Lmx2SWxg8VLZx3OaqS5Tri91WjykYOgmXds7k+x3Or34VSGU0DPKClRQ6Ypv
keqH3higbA4w8F05AdAAtzDGRxtfABptP4B1+vWdPvnzWBBpI9G/xcfz8U5Dl6gVXPaZ11flu3CD
J5zx96lgmPxfHMd22Cmy/Z19Mx+PU3fKGJaIcjx2oiXdnOY1H5V+VbTyzIf0VNk6ZyLQYpn/zT56
D0XvIuNGgOU1CMfDGp1bn9/JwiRRSLshVvchS90zjYpTD/AfhzwuWOPJSBHqqJlH4OSWvK9310hR
uFp7WXRn9hzi1PM7J7jQiwaQQS/p43Vs5lSsabAzlhl9/NGE5W9g0tYShqKzpH0bLGewFGmSar6O
qllwrGizPEui/IGJ+Uz8a/jsV+BQWx3ZMtYWzAZhI++DySU3Ik9TUgtrZzPYvfPkmKyakFBrVBNK
PZCZOLc2C/232uto2gFpDaX6Iy7aazyJ5ZqYqPfI6fpFNopo3Wajfl+ivORjr5tnnqZTV8Gdnbq0
OHhujwewMAvqOkek7E3ltJuaSVs0qvEMdeiCnimO/rE/c8BTt3i2Z+AYtGm2Hl/2MtaCsaIY8qIK
WFVXtrLcHLBWIoDKiIceYerXL8yJU+S7PruNCfChcj8qbl1rdGDVidQD722sQzlaV3lIhTbGRf0c
E/BBlGn49vUxD3qNoyIU7Y3OReUVZWt79HQFypgymU0zz8omdxn2rXVvhFq3zKHSXIRFmj4B7wWa
ZSDZOuiUnRBuWNZOkFTREm2VHg70mUuvnWhiokqg6zOv2vanvW8wmFPpd7zR9eSjZxOBsUGVJja1
L+stYR1iwZOCfMqEn0205nJkJoP82jiXYSFOrJWzLxw5BmErDNr0j++eijTCypoow7ccw987iJsj
ATMNgWVuXnC77F0TI0nEZwHeNqWJrCkZc1RAdN1tL3p1M44+nLJDMFEzqS+Uxfk27HmksE0kG5Q9
5hZd7vuIIpMlu1uD+vlf9s5kOW5kS9OvUlZ7pGEezLp6EYiZQYZIcRC5gVES6Zjhjhl4+vrAzKwr
UdekVO3arDdVppskEQHA3c/5zz/EGwiD9rrWynYfu8rbjHHnrX1xYVaZ9TGzyvHMskWJMrEQHmK/
C4657j3quMnuf/56/LvvzwQMDbq3TOjfA0fAbWnetBbfP8/Gj/jbQ0jDJOQhMbR4+/uXgn0J1wA1
OsfGuwKEoZNSxEEWe9zr47VU/iLpGWV2DOJcPPz8Wm/P7f1bv6C/Ft0rx+D79r/U3LwbioTmoMfF
cUV+6YTiY7aNXSSrHnP+3LgwKj360I7mcIUDjbg2Ww3DOyuXO1niA/j2gX7LvuEy+VJXTfXa/p/l
175UcqqJV2vf7AP+9a/bCvJp8dMf2b1UV8/FS/P+h777s83/ffvP4qVaP7fP3/0Dp56kna67l3q6
eWng8P/tYLD85D/9j//x8k8CzkwgLLbB/7ESWK7w128uX+G//vPyGV+X5/Lrtw4Of/3SXw4OnrOE
mC2DYZ12EnCAjfxvB4fgD6oPeEeM5hacn7f7X8HVTHh5swN7Kd0ZZf+Pg4Pl/UEtsViCwRTxOA2t
33FweH+K4EnmApOTlqZDo/lBxF/qqHKLOMP4QBjOTPSNXZ6Y5053BemdsJ2dX9kgLMvk2zebC3qE
eHBi8cl/RJTxC4+J2nWn/ThS7upaj8DHHZLdNw/hw59/71vXiPddKFeBlbuI+B22xh8Ox5ZJXa+c
eNxPLZKHwRzVdVbVZIh5ttzo2pCvjAaIy1apdtMM3nj388sTHvbD1wSmNJEiEb/NM37fBpM1gk3i
5LV7shPzEeP8eN7mXoweEqLEaTTj+jhC1W12kKHxQZL4JS3u5QmVUsOU9SMG8IZYvVkXIZRNsEk1
0CX485BtJzPjZ5GAFEVo5drcr0aJQhA5YYM5Irzb6RVkIbuxUp8EADQJ+9hGCBl5rsKq3VGfkBRO
uyU2JFlJYUwgHoq9bQXgOu91NRq3cPLkVY319S16Z2RVFoLxwW3ks18UiQ7Zu59e44Zv1Jd5f593
JBc36VieIgPdMvIc3wiHysTlJtKBv5NJPpJSxy8OYxKcGnweN1Tk0U3Qk2ax7hu5eCZ5bVkQjKrz
uxGbr7UzCW3BAMxrELCjUbmdqglXxbGKzw70bGCZAJIZUhJI9l5SX1d5T9ZmvzC109bDSNmFGTRb
YwIQUQxrAt3qY9aZ6ropsMqEkjPuXGXkBwXNaGNYbX+fYsB8r9LZ/cjTMTcwYsg+MQl66NxRfZkq
IuiER+WRDOV0h4K/eiQfmiej2G/37qKx9wYsnay2DE4uWdp7peLpdUAkc6fX/Mqk182DC0v7FI3C
PiDcMW47zOkf0nYoT2NVBaeioMJaB6nCTskuoPCv3G7W8WLI5aaRUR4OZW9usNLPbqQbQ3knHgUt
dFV/sSP+KTIIgqFAHC32mM7DOLc7RfYsy9nX2mnnJl1+qHwe7uTJgUTMFGfgxsLpgohUAukkyjSQ
C4IjPEzrd5oRZTcCCh8m/bG6Im3NIQtD9C+ZTgpnidoO7EzX2TSM6ikZVX/PuGO+DFTPn7LiaSeJ
G18ZI984GDR5FWXLYteUc9YEdn12wHdx7TRYtUFchD2agmKFDWH/QirWtJsS0z4LmycRQR5b2aWc
1gW20QXGlh33NcN21sPTKiSHNCWkAS/AEn1FFN24eqS+MHyeL8shnu5MDtIdiQookWqVbfHgb7/q
qWvckq48rIlYxNJQ4942gueYdsutXl7RvMTLeCIjfTsjdhCYgvMkbBciuW3w/pNtKh9z4UXHvMke
B63pCBCqi7PwXzHcxnY10Qo3pkEuzEPcOE8ojtWS7t7dC5N3E91FlixOaNDi7PzJjryezABPksHl
8FIuVqhjzINCVdluI2XLsyQY5BxgGnfupsi4LZNGPnaOWz2hXOFt9dDI1mZUPVnQyS9SRNkf8cMj
+ENL8Vv1y6F6FliSQvOzJg1adpCt376cH7MImqrRbsZJlu16TNL5EpS2eZC04TdT1RpkodBSkPVg
IDXN0yJ0Bz3Zt5XpIUaMxmSHVJJQsNzVeUxF1nlLeI36ZCSo/ZANe5DHTUtdtS7qTvMB8NXI3Me+
Kof2S1J39mOCLCMT+96aSxua5ayVG4h2Q3c5qSFyjoOwOvsGYSYSPXuc7gyUwWHldnG5wiAL2qCa
3S3voYNVOqA8qSNjy9bUlVddRT4I8qDgaGvZh1ZvtOtKz280p7uyC1lsEZA41zNmySvHI/OhdgTZ
EdEVRunEzYDx7YU5x4fCzO4aBpcb4n67TWdPnxOfJCK7775msVkctFJ8IZosPsQz86DS6OSpIl94
kzv9SKSCaL8aiM42ImkuUC5FW9jGBpLdLFgbU405gucISAwiubJngnfIUuinsEZL6Kb+UcukWie5
KueVDCJ1gHcDS1kb8cHXMYkpkgxMssjzVyFnMmvAEMnsaOwpDOzyZiq9ZGMWWnCRIuG/BKIfkK2w
YNF9GhfJBE+9C3xB0B4P0jR6/aAT3bEvPNSFcnGVqwbNDIkdYFmWi8+BDlHR1Ar9YnCSYN8J46NV
RMEWcKU5GWVg5RuTe/+lkcPghg5tKczFmWdI49H2e/R8JLAZA0FNET7sDQ79pal3cDgDA5Q0cBEJ
Rq5aT1HzxaqGbiccwZnHAe5vkZP1q9iE2JmWrrphPGuga8uaLaytmIzhTMNv2B+ffKL8VoOVjXg2
LvqCPMsekSpUXuiOLjahSY+/PBNtf03oGOyS3rYw+LKYBRkmcQWdY3kHcEZTX09sIiiiM2k2K8m6
urTzRl6Qp4T43dTNA5yJZm3FMauq2WCorFYlgMtqag3nKN16vJsHKw3rRcDMEGo/5Gur1yoCINz5
Wea6A9pWzLcylRWa3CbYj7MTHIoumj4kmTWv+6hTxwwnu9A1cyQfbtav8oGk7ca27GuvAWKuooV1
IGrkkLr0t0rrmbEsUVWDYy3mb1b6yXMFWll9GrZ2NCHNCnptq7AygChbXOeGxlmOQ8whSSzCLGBO
roUmgnusNoxdnvDGu1YVH/x+JAN6iOzLCuQPo8BBuyFkzL8y1Dwdl3DYnHSsALMD5dbFiy3UFfID
7xSM8N5DexiIesjhjUHSibNL2czGQTJtUWESu/VFPkfWY5d6k73ynAF6rjmQXx5PpPmEqZHqLxI5
Ub624SWNaz3V+8Os8FCUOP7tOiN3Hoe8SwjKypL0ZLei+VJYqUv0VGP3TOCMktT3RwRBOtZRWYOO
riphoWhjmW292Ok/V6lRhW0+LHWBVNfobvI1ZP2y2iDSTy60ceHtIk9MPV6/Ij7An69PgWoqG4Yt
wOFqqJwElaIfNWGK9Pk8mVGyn+NSfjYlnthkC03Z8mwwfF5KpDS1OIeWdLLUacpTYBKi5Zey/eon
0SCZldBCb/Ws4cCB/Tu90kdjMz5p0Y1k6sAaIHbt5EWLS69wFpvpOCkIZ5HOeUaDfqNVElvePrHi
Ld6cGTpDJkFhQZEXr213lJ9H2THdiiFboPzldIYWrY5/Fl8qMY1bFKPNV4mLj782nZjvZxQLmjRO
k7mhDHU/joR/N+hvlULd3tvZOsUg9wBwX55y5N97W2/IoKvwdsXqU6SrQhKXso6dhsM9KCrtphRB
d5+YljiLgkqjxGf1SsxvnyJQnyxt8TbAunXZlPG2fcWc0idMy6M8CZQyPrANll8t6dIFa+RYcmqT
7ecKNqJVUfNxFuH5Lja07j7GYjZbYQ3ql2Rr1NNOFO50offkx8VdP6zFIgqrKLYe4ZkWYTMt5S/q
oUevHXM8CfgKADsQr4pxekVokOzGOaqIw0sCgg4GbC0mJ9IJyZJWjntWoH7BdvgBZVqA6SUYlH6J
ufwPPLDaJPZFCK3dC81UxwgIdymHvTJUqaqx5VjKe0v5654H89RMNcrRoeRmd63zq4bGeI9hL59l
+SQW/tV8nPcOZV1lVQX+5O3eTqj8QyRIztlzW3MjWgwoJpuCMA64s63Qxw+egHadNg5q47Z6ElHJ
i1la6thY/XRRDlJ96jrbPmMNM94NVNy/QGp+wAyXD7tosZj5w876wU4N9Cbzes1q9lqyxJc1pC9M
koWmG2l81jreOo4iXjCj543HMQTVAefUkqBVPaeSutnDkeMXUa9veOz3ja/FXNRmvsOsh0Dtd+ip
QDtoBolo9kVhkSIEZ2ERxnXqNA9av6uxnV2zNc+bCaCJtK2OCiqVNK9evCxTGF836WCrI5IKLARx
gf0qk9y79l2B4rHFjSnS6kqtVOv8ip0FwPtDMwvPzF94r1idLMPj71FGp9Og9E6IpEYUoOHkJTLd
qCKYsJIe2Z0SmNlBbHmvpK/2e5xzxFYzzGdEGg8YdFgMmymXNGcQ6w5m/mVfm/ZjL1HXJ7OVXeh6
YT2ZcD1HpGSy7C8QsvtEbxjZWrexG8dTeNoVbCV7EeC4hGM0ytGxoF7Ni+BEAUlsyWhNF/BXhnWt
4G9Xyw5j4mB104va/ajhlE/IptBx1ittW1tZDXss1njUvUNFDHfHBkayAjU7zTJ9icj4oZks+HJV
Y0qD0HWp1cdyVtclvG32FLS2axuTnk8BuRwrW08ApckA2ZhjJK8yKDantCNOpSd2E21s3N8LQn1R
WThm/lRbXeYe23z2+pOKBsFNSgiE08amHTeOyGI97KQV5Yi4rRRn6xB3L62x13yh0ryvIlybGmXh
F+C5cy4OGSXNOpqX/yGioI/WesOwJowwtPZ7eHG+ecGEs0FCbI2S05iavtbjtCSrLOYbizKoNiOb
MEZII6W8N+KBo00U+bTTOqpGGpHGtzF3x38gRGjuhI1D6GNYBERrjDWNmx/b8vOUdtm2Ttpk1/VU
V3o28EaSXNKu49Lt7tskf/Jq+kcCLeWjP+RWsq6nJWdvuXfBomc+zjM3n0NHu0HcjaEyB8d1ZvXJ
LoLPWYYYX+eHlpS155HUyWd7MqgNzdw0VyzbbGu1fv2BTtQ/TUrHwWGg6XdzDOlLUjEfRiTtB31k
N2qX3q6MgzyMi7YfsDjPcSBHAthtjVkUB+xY6FpKD7NrkXjXhVV397qBSzJZHJjPNzU5JzYdljTe
3KbLmROgrYzmwUwBlJTK5VXrJeixI5vdpI1Kf235LZ1RZNuoaitnZo00RJsZOCHwH1t9Vl+qcuSu
FDPhoXSHKyex5z1zdHVUUoHKmQzUVmOwHKFxwXbpTBioE3WjPkGF9k/GAMyCY1hwEoasj8nklSdX
cOOYOU67UjedsPLL/p5RKO39MCU7f0GAmFTKqyIDH/IS2mSGkvOrzyqdN4k/y8fMLT70oyc/kztE
u6074myUNp4WQ8yE2uaPltpSOC+ferSXDEcfAlkdVsz9TpM1kDi/LNVx2d/1LBtwweeYctSI72Bd
pGj6mdnhxZ2AjCzNazLqNPDxaKtrvax5MlVKKfJ2FstSlFhVCnO6yGCVEf5WD+A6Fjp1gFW+Xe5N
F7PA5WnsQdfeXkPsQikkRIkF2dhp06UtQDysZlLXb4hPafH6oEXLQxcrGXJB6YJxj0n2uU1BlTPn
PHWRC0FjgQc0oXEboGV7IYAjt34B8uYEK61MAggNcfxa+2Rcziy3MhwnQTEyLB5+vgC90uWY3SgJ
BYpQoixYPNccmKx4JqkOmxkMbnjEYtCxdcZaDMt7xgKhmFmCkCqA4LDUB/7LdMJGOwLAAsIFdrhZ
YRleYhoXYkmKD12GjxYFj14DfDFUZeYDIoiLj/o0WzZAmdMO6gueqUTy6u10V+J/sYrMOj9oC7iC
oo1tjY6eRKQFqVmisVY+pQY5hXPCXypMwB41s8VZBpd/w2/eDskxA7stq9gm0FR70fV5KZc9jceX
FxRLqoFg9eerSZTeVtpAQ2VlRDe6kZcnWZnZGomKf/LbRn2qDDA0Yq/A1KDvlqcBSckZG3j2LaG3
bO6a2XxFs1Y9jYJip9ZVcBo89tlqiLmFsUM0uY6ZINr+rDPQyxVAOS7leUu2zml5n1W9bMMIlxry
snMQySDxqHmzml/nEJ0uEug0t/GCelOXLKcADdrTYubNPtE1XztFAE9sROLsETy9Nerl/cHBBEsS
cMjc5etEC/r1Vt76AQgpli/ZTTH0oEjEka5d6GC3b2eD0QIBdz528h5bPrgTIGqvOfbZE5rDUTEE
/kkFlCFqyszboSZnJigwO3OJGT/YtMNh7KbGrXQxKUo6HmQAQHyYcr08YTZZnhyTIrZYnkFMefjY
QHqU23quKM4Hg92MvMj7aaBMlhn4nF7l5i0R3my27GOfsKiSj0hoiGdiwBi+QYJ9C2jp4/N0FGU8
kFJE+dmwm8iQNockCeJwtm8+9V1Ls1OwsDGXsEBBq5xFMel99UTYAQD1AGZsJRGtQkvhbOH+ujYB
lzcc9rw8b9vs6HE3QI7Id65s8UBXP5EZahZLP0HU9XGsrfFDDWhzJz2qdm0egCz6pudm6mxvcc86
yoiifNDdXtLjWbxrmh7d4NtePZn5WCSH0nbUcZA5IOKyVSLYMjd1ZmVn7DxxAHUTB9QLkz9LBZwP
MZAJa7IGnUaUsaRbGiiNlNe9eEtmcctHJ1k3Y+EmAU0IqVHyM55RlByqmfNDWrLIEpnEZ5z+nvre
4a4RbG8dTD9mqfQZ96DNdbqhflCfqEqw/+9GQp5WWIYE1C2dk1yRJ8UmOxAmd19VxJDg4D+t+44H
PvnoZzITSP3tn28LcypSjhiNrNcvzsCZKjlUDuXcjh+wp5y2RZwmxNpVLOiEqlIQBSFXzBrFGVEV
FIvZSeZL6c50ZIM34RSbvXb2XLkk7NHAvgHFHhGiNlaXN8NSBUyjoiUjnLjbASTwjQeC2lMMJnz7
kbzAGOcOitkWQGXTOcQsrTKyGI9t1P7Fc/ytUeU/GEL+s2nm/0ujymUI/s2Y6odR5dXL8B/750I2
4NAv380r//zNv+eV+h8uTHAkJlDsmUj+Pas0/yAfiJmkzrgd+dsyxvzbbt75A80kNPWAsSQH4JJu
1GC1FP/Xf9rmH1hf8uM0jm86s98aVr6fHcLg5g/BTaMXgfnyvoWyNXcUymfBZ6UTh9YMDdl0xf03
N+XfjA75ivLbPu3tIlhcMJTle/5AYG2rXpNBQFXUZSYGsF4zr2MPQ2PsJtvNzy/1fkq5XArWqu8h
GIfD857pVhUR1ZHARpEATIzq8iUvzcSU26hkQbmTtHtMMDRgB8emapiqX1z+h9u5jJyhjZA+hdLA
eK+vNXMicQcCdvYs1luMkh98XEt//g3fj5f95RIOKrZA57n9IJMiTWjq9MhQe8cYbkfHum8C8LYO
YRPuNurl5xdDHfn+2RHURNiSYwM5vxH7vm9ULczSXOrkZm8PwA0iKwxJEaURju1ExTHv7Ts7GhR1
mFCtjhVTlWIlh2lavSoyrMDXTYW3oGcKEl1jpqeHbvACOiFs+1UIEiigrDUBKT6mMiSkMgrHOg3A
gtPC+mymw070Tfta2j6VZ93qJm6nAfnbU9AV2F2X1lWsugDQOLPWnT6N91MKEJ64YhDIVzw8c2zU
HbeuA5+EIr4CL6ut60iAKjotZYTrgHL3dk3anmjFVQcovxJFQFQdMAKVMIHPfTfPh4ws2y7Vepjk
xavt5TdVYn9xZ/+6rSu8TXEfOUp9fBK9PXCJ1KU352+Cm87rTM5qlxH8E9ZkozhNOrzUcaAOHsAJ
KgZtnQRVvbFNGvqByM6rcbRwldZI4TOFde8xMTymxOOEinS7xUPtxXK14HYsSfGejDS9mgMlbluX
xOnOz0I96AVhdQJ8cYh6Kuo82qT6GF+WDRVyHK10onuGC0eQt7kZakaYAKSTCDCXSrtxmxDOeqs8
IhNjpuWh6SfeSb4ZM5XSiAxggbp27+zS0x7irK/PFJ78HX8czVuUe/1FXifdnmE7BVRd48drwhi4
wGu5vqwA6Gn4mBYWQ8ArUqj0g6qoMdIBq7V+IqqWmCL93q6AWAnSGUMtTszusUt0ZQi8xoyThsfC
bRKreVMmmHtGbmGvsW1uMI1NjOAwa3V0ogWvr+Vc1h+KujlFwWQ9Is9ub+3OQmVGuuOlMVou9ia8
Cwy5km3XluOuLKzHmJIVj7ikE9vUs8a93STBte6KdAdUUy8GpNWHLp/WZtNNl2KspAoDpg5bvNnU
Y+U62B8mrgQfHx3axMDuLoCfqdzn2P2QeM0WJ/OKlNEW3Qf5T0809/GBX3tAHXQkPVRBsxyuQbaR
5TVgF32q7ewC7KZtmOIkcd+s+k4M11qEm5ppJTA6dZnvpwJPBkc26mKCuwSaKZzqXEzok3mjySxY
4SqmX5McNT0Tc6uHOYvmhF2lhtW7a+6sMYjp6UkWWqcQ27dZpLy10hVXI9AS+z8iLK2wAoTZRjKe
jqPmk4qbtZD5fQHvNIqGizFNU6zTuyF08S0kghLfwSIrcDm0dbGyo24MQaWDlYXr3nE248W8zvK3
UeoGVF1VGhYZXarrxc9WZD0ExjyBgLb6Dao7fW/2FihHdMJRRWBHrtsrw+NOW/iNtHbVYbSc1TRl
WruO6AjWyjcWJDW91Bolr1MVEeWt5q8JEyV/RUgCwW6R6A+RJjpYe/r1OHXbdsTQC7sP4paw+iaX
mT8Lr1fd1YbmFWxPgwY3rcZx0aysZwJAmRPF0t0041ZJYd06jgwI681qQnG9vvnQadJ6Zt/2D0kx
WDvQtTwc+xiwP+54Qg7U3qsoz1oTPzmIDJXh5yc2pPlgjMHAYMx5rCuEQDBhtNXgR1VIaqC5bvT4
RCu8izkAVkVPRhPpaTTFeWGUV03hH/LevMsKogDMyChD4deEPPvaep61aB1lmn+JGy+qCULQZ9Vs
vM60n3HSlp8BxPqztJsiWDk5a48twT0nUzqeiKfJD25B5oPlY3WHiGf4VI0DTsRM5dlJgnTCTttl
AeFENqavQarlD8ag9NvIm+1ra8ZS28pJ2zPyIm1WWBdYO4KTSSkmg5h14o5fCU/WzhmCaW5zGWYk
Tt07MYqTKUiqPFRYzoGLMJpNkXdvcl/lBI97BN5a5HUSGD735wJL8z1C7MW73vuC1hTz1j7guavI
SQ9+6nuo04hjKJ2k2ACTTkwop2SPuGShzAQx3iJVdVEhlt07reOc3QQFMm7JgsHnphCwJvIp5vb3
8XhnsHMBGgb+lpuU31oM9fA9NyT58G1mfrSVu3GRsz5AFbKJJHXjK5fZ5END7GyVJVhOpsRBXHWG
bLdZgfqpZQi2tzMSpXOXl4zD87VkTsWspgZNFVFz4HwcDj3us7g3Es7lXrQGjGvm1XnT/VlX/P8i
/xdxUthq2FABf8ZHbJrnL3HXvLRt812R/+dv/h0rFfwBh5s6HxsGKnP921gp6w9Hx7nPgdAPH/Ct
mv+70DffqIf4jBEgheJqyeH5u9A3/jCtRSzzrxjTv1mZf9XcEDp/w0tnMX1BZW1Qn/Lp3tGaA6I0
YT5ocu8n+WsMnr/DX5OQRh+54Td3559U+3wXE6Eymm5YbT+o8PISU6oFk977JjbS+Nk+ybIaV0MU
d+HvX4lroB5H04tb4NJ3fKPGEq0WzbXMJLZ8GcGFnX5u+iJFfzb/bgPjG0wLOa8WQrTOtb6/UA83
mCJtlvuJpj3Ls9dIS15T/v9vfx8u4yC7Q+j3I8MRjyq8rpxRMngagk3gwyAk1T4PM2I1f//W8a7C
gsYFCJ7se3GykHphY/EsyQAr6tOod1QqlQnQW6a/+FL/pl/xXUhCaMwsOuD3KjOvLyDKBYPcxwPl
kNtNN5MY73EHv5c9debP7+D7mSrNkQ9l3XWxi2JK+b7/0gynYm1WhF0qRpAeeNE+9RU5lFryrPuM
pBPiC1bGRHjHzy+8vGrftbjLhd8MD98kFe+Xl1tXjLygKOyZL1YfuxozcyfA8B+fPusX62t52X64
FLgBY080Mazq71/GuUu7CRMuiWMOyUQFZEjCDfXo4//iC31zlWWA+c3aWmjUvQZzb68FI0EU9Xjf
F0N5LOv/3a375krvdqaBoqWC9coLknfT2h3T57kC6P/18vpR2sEUGxU5VKaFPP7DSy/xLiP9q+N8
Lwr72PVN8VpZ+PuuhnZo9IJYdvhbOXH1yBBSo73qCaFcGRkiYmmUZkjV81yMVXn0TSgCk8mTbRIJ
xzafOufCxmf8VNZpDSzeBJu2V4DuLWPlvVhcvSxyb6qN7RXRR7we7WfLRR+yCvg/O18zvGsIiL4F
LWZEiZ0k6VOCN25YlkRihcOcmb/S29Cq/vAa4T7ig8YEICb4yC3r9psHXEWF4xegIughzGot9V7L
VpMEzJztYtoE8IzXRlAbW7JfnL1ej9U6za0A8NYujxDBkd8PDFzo/fBwrGEefnnjzXhpZB2W2MFt
52WvEx6hBzEb/aX0SASu5dy4FLYM1SvJjxDVWmyYa5rwgTEh90ZVXE91YD5knlkdnCiNnvoCRHYo
RmdPTUnhPRFjP6Ss7cwbiTNqpg5GLywDKBsKML1tMRHqsrzcINMpP+Lfbx8xGR++qIgTz2hdPjtO
6NdTalcXg9/0aRh7flxtJjvXP6ekJ2CNwufREJA8gyVV66xv5bYKhDzDXKzWLa58CPGsKEpXRpcH
40pZbbBzyVfYKp3XJ1VQiIhg1cJC59vNBZt4gftvCBvbhDHORhuLBON73K4JViC6GHlfRbAwknb6
QHBzrDeqC0NvUeoV4Lt+UGihl6PMFXHvXIzCSJ+EX+X37sAIXTWWfFQU6Q8R312uvIFhsCzsbuYz
9bQbsSeDNrSsiX1vdG1gFI3h1X0zEC/DlKG41rSkfYq4NdjqK3l2u/RVN3imHfbSD4WfvI7NEH1s
3bk6DMsxETdNdUHIMgPiGnxdsM8FeUyCkDve4OBpHzjd2hAufLLrBeuHkihZIoG68pgIjE5Xdgcx
U1gyOKeuKF9BM4wrg4ivHUHe9KGmNkBPetsC8oZAJxKE/FPscsuyhJuAiwAdjB1PYUH3devPuK0T
RJdkTwHZD6tCDdWapKQUTjMpDzPBH7Wb7xJokfLSYJAerN046j/FkdSCjWn0jY8vZJbMK5cR6YnE
wPnBx1cZgCUrXk0vro58xwmJDKcIEKra26lB34pN8q1F+GQaYvG8YDvoATL8Z+KePpGI8VONARQa
d4J+V200Zg4RVhKwi8ACDXcVWt+GlnItbX3WQlCjYDMTasF4Ry725xhxx/c4EYl+1/ll+hwgxdwG
JesI509EDEnQ5zTa0cigIOg/zfWc7bCKbbFq0Goz2abScuYN4dZwKOtGDN3KHTPjM8ZfzVdzZm3Z
GkzHdT44zV1P8PWjSG3nwptyzhMm/w6qN806or5JYD0OiRYaGU/CiUX2pIRZHseI6AbIeiYtW/rK
xCVAqOBaRz6IsSVQaFprU8MAJoavfUW0DaxYkS85BzyhzqIM6DCoD2OfkSMRodHHtCe+nYi5MX4p
ZeDsy8yFQODG7nyyje6TbKZ+h4cDiSFBx4swD36Js3jy2qC7WCmNcIXGyHfklryQT+2t42b8WCoT
PnX/mRji5FiULnPxSLoXlAXeddyxKGHXjhtmpv1l39bBRmSsc8x3wL+llz34hpwvsNbeFjMDSTGP
sg2LgRRqEKI0IRg+56VmVxw/xDks+rJLg7NFgQ0vkVWfLUBR38sIYgx5dnPN7lYMbb8zlhpE0piT
9JA+J43mn32cd57zkVQcq28NRLYD41M7so5jxxuFu2r01NHPhno+Vese64+N08wso8JXAW5VHb7V
Wk0LKRr2nJgQvWvDrRUMmvzZcdgo65r9g/wf73pOiEcy63paR55i+u9YnX9NvEkN3YHoRqIxeQ27
oFa7XC+6dTqlbGLka6/dgUvXMBH2b6eSaRjDF7r0gyxz4teDhlgIzCA3dZKfLUk0RTxYAIiwP8+N
WnqMyqwuckPyMjFq65JVYdgYPnB3kihgeOoyWX7bdVHlPLaZb7zoA7tVv7wjjj4bV1nUJlepM4pt
P2FOQJ5NuoQ+tw6Ze862gVkGoFyboWPN7IhtNYb97FZ36CeC8+xF5XrUvTq0SWsDI23ZuXO9rjGz
c8vbXooo9N2yPEZzV1w3HXuPJtg9hoBFT6A69zyouq2V4kMhyj65siJT/xwYXXvBbJnavOrOftbk
+8bV+10ao8YuAqFdtnVythKr/6SlaXOexri9jNL5geCYAb4+uhuGD8nOng1nPwcJkGasijMhotGH
PHv0FEEkME5fAXIx6m6TO9bzfd3rYm9iz0h8XKHCVrdwN5kgfXMsih2b+2fNqbqV6XHoLXrig5bE
+T0RIOWxLtlx9MJHoQFesZhnMWX+c5MlCwqVM89gSx86rDKXREXO7TLExHvs9si67XoHu2dlwj0Z
Vu0bWj+9IfcpDa/iFUlB9JEjZYcS8Ccg5cVb7GIW9B8gl0lALq2kgPn5NiF4mxbIwrxrCrM4Dsoq
jqSO60wVgNzh4gFsdH+CHNGfkMc0mGMxc/jkNftf4Q3RjYK+g5tSlhKqYyd9ER+HNLAI9iEKrveP
6AiqEny4szwrpC9Bw7ua8Wd+baY0Jkqtz4oX6aAsMBLhHUbfk6irpqBeRtOODsNiZF+f/EUhSkBb
234oXY88ltQm/gjqlkjRQce1DVW0M3porkbz5Gd6hoRizD8OqTUioDJAjpdGA3a39Kb+WOZptk6k
/tn2u70EMoUSZjE2cVDVmi7ri42jv3acVLs0rFJDfeMV4Gq2Oe1Yp6a1qlLosV3ut3tT4fU3qug5
i52MKFIzI3QO+hxJZcYn9MnjVccZDRlKECxa2manhUFuzVcsV/FF5B4U98xoNDg3Y0CZrWmHZHR0
f+uJgv3Ndtm+bUF1QufIOGMgsICUe77wPoMCBjltcvpfaAt/FOcu6kKfdiZgZMfE81230cxEN3aN
nu8Zxf83e+e1HDeSdd0nQge8uS2UL9qiEaUbBOXgE0DC4+m/lVR3/CLZI/2a64m5UUSPhCoAlXny
nL3XZr0xx+ESNrjuAZyhTiCnMb2aoWjg8VmoK/KAYFN+8M6ps2jRIR783aH13dTrh9tRobYBvb7D
hXox8YgA9oq9LI1HBksnmbOmjl76LIr+HM1sc78+br07JXM0YTjMlQzqcUzRr6txpPVOGaOd2A8N
RZggSZANiu1YiKQ6aTZJQb++3ntiibqg5yjcAQPgd/w1ISlwbDeHVOkT4LhilajWaSsG4mU55nRA
5zd5y8nHdfzx5mXbGclQc3eJORpbDE5aSPqt80wk1rCbSCD8zSHXUKfYV6dcPp9DFYWZ1nVwjry5
IXGPBY0VO993YLBWjtZWq26CfDFa9lOTkjHCVAY3ClL5rSOxrEGk/lOWZ0AAu2/iauPIyKN58wlo
g48uaIt0H3De3jlaXJ1qe/zdq/+uY8FVaFSAf4bqDmjpzTGsT/shckWV7l2bgtEF6wm71WXch1Sd
1KaciLM5o2BG5jY8/fodMN/fY7ZlJNS+wvC9x+PPRm4PshiB07RjHKHTwwihRVHwqewpB9tqdObr
QHOCR2HPj3kwN9+12hk33TwQZ9tVIknVGiM7Br69bzG1qSmh7FzuqTlRfOIL+dpERtQdtAiu34+O
y//61b/rV9NkRvXwn/vVV98+S5JAn1+1qn/8pb9b1QHqElQloIrokNHEVv/e35oUWJd/0eVUFnYw
rFgT/p8kxfoLuTodaZongcf0lzf1n061/id+eRBQr3/rireiw5eFLY+kAdzLm/ZqYfUaCToE7lkA
SYbkcsklABOSpzCTz4wrvdSe6/KQDlHyLek1wlEw4oz3ji/dQ7t00V1R+tGyEnz8S2lk7rUpW/di
QkdgrzoyvEOzLZJhRYS4tkV82T8x7SqvpE+ezXowg34bdH56ZU6+FeaOZIBUDziYa8BCISlT1hWp
2A5Hd73Z6oNf3uS5Lm46ICjngHNFtkpxVj1Kon+OtiZ9cgkRij7pmPTYORLNXDV+FZwLyKpn4kQe
yTxdDgjKp53HKPPGRY2spJvyPMVWtLUCPv4SoVvXRqsjeihYcOOiCKBtMW2IxUKmnOZNcd+n2fTs
eSUpGkgsmLMupIOyd7Q3JM0kHxpMo3OoVzBcrXgwt0HiGXee0yRnZ3IJftLtgSGzLqYLGY/mhd+0
D2VBHscKXqdHyOtgmSH15XIvuh5VgTF9zknHIxJ2yNs9iIH0oklFlqtwv/ZTSh4lxj6e4UORZ+WV
Pw4JI7JkOUqiic1VAs5lXQy+F2YCaSS5zVp6Q8BstteK+HrMs2xL+AfWm8QhH5mO1V5HCnExJaK/
QFbL4meUjLK7cpzvoA/023wKSOZ0c/Pa5xS6n81GXHqNPl7YrZj3CLGs58y2qmMWGN0dazzZvWWu
5XjP604Fb5v+AR9gf7kYjb5tDE9bi6gQtxwkrbtutruPoGCL77PZ6vfm0Kdr8mcFk0ZHu7IwXMaO
3j1xr+o5bCYR3HCmLJ8smRLgTsDhWnSmvhlFvuxQeGsbzZLT12Zs22ujq6uLjGyhkFqVg2vGixMz
YQ+CL8qXIJl3GvhUtMUSTIyLJAcMI5JbwUSdxnnQdJsZ1jcTlWrY+rACVvRonwdz8E9CSUPpTtdX
tkQs0QsCdzV0g8DwYkgJBj3czQBx9aIGEbkv4trf6zQ3v2Uizm50YmR4p+LlOneyul5lTqR98Svl
UY3iFt1OM8JbWCG56k8idT3WLzIl0xwJNBaxbM3U13lKjVL/IOEvXLhBrm8Su+0vU692Jjp9zXCL
SHj5iJAfRpRW1NMJ6WR8j6zTufYbeyX9Ot4NgyduUr3tzqYalueO1VHvDuCoeCeFt3KqpkeR3E3O
2m2ht6zaUWgjAyw3OlhZFh2AQsqDM2c47PzGgKGGFIxsA1dG5SPLSH0ziwIPQNzom4Fw1E2q1fol
8TZiVAYLOMO4YjcymZvrMi7ja5nYJr5F1/pUpEVAXazJ6UMbJZwEJr+f71w3t+KQmhrEemYke4dc
lmO/DEJxtDikhAO2/GGLx16/pilqAEckIba80tASPXqGaGjWuVWEgaRpADeIlPTCpay+FpRE/qp3
y+nSWjwCEdPcYfqekYXxiBiK1nKGbjAKC43AESs1Mk5zGd2O7TQ1C5nGfj3dmoVufJBtJFAy1Kas
m23hYqWdLg0KrSnlwZERPJlbyfG3VDm0s+vHG6ZArX4H8sKc3YfYK+vuTJZdP+wr1DqpOC612WoL
OIysnOq1PZj5eCezKfa/4O+JEkErtdBH56EcshGCkV87GmyAvu+yr8ARaiOnl2lIycbF5va/OuB3
dYBhKMvgf64DkOMCbH4Wr+qAH3/p7zrAN/9i+eW8gaIQhJbjsjH/XQcE+l82YJDg5xLhn5G1/xdA
Y0gsLs41tFw/FwKG0qYSs6BGmBTPlA9vRtS/Glm/xYMz4TIsy8boijrVBmz8pjZuJg13f9EaJ4HL
oWvCIS7TaS8dFjucVgKOZJXMhHZmuaGNtHsIdcDZltQ4NoLaefbSQZgGtnOQ5xMwUnchT4WcEDs7
xWajFSSYCmrsRrRAY3660/8yA1ef7KfTi8nZkHm0gtZxgHA4Prw+zvltPxbwCeUJx9d0NhKhhQ4t
iot58HRU5zNd4V9fkEPpu0sS7aLOq8z3XZ7mmyJKSwsSxvsqPrlucFF1HtHFxcAMbAdwmDVvlTda
szekjpkZ4jX6ut4ePHsfuBxAtk5M2Osh8oDlrJaBQJqVcCNmCGZHVeGLFOBEJXqancrMUZhGt+zs
SFQnMhIJymGewSzLyCPprhrZlEvoEAKHgWEU3GvNHaZzsTAyM43Fee5EXbWrrFGKzoBWfLyRXqQa
bk5EqUAOOx15lydCY6lr+34LunK+nF1wNdKweAlGi2OntGgDzEDESenpiBuXPj380EOuE29wdo3x
hoHGdKMndgHNIonNewPv0rJCiMd3I+q0+agl83QTo7vhEGOm/rQBKlh/NIeRbE63MpvkekpKPlFA
BXjgwI/+R6JmhFzbaCYeoiwxWuhsKBOuYBp72tb1Zrd+MnGKJMdOtrx/cVss7MPETJ4XKXCDWIU5
faip/bRPltlx59KW7CoIB9VUHWQNCygcSEZbiEPF7knfbOC/1n3OpzOzgUnjtDQ4DDUUmYly5jFN
q4hDR+VKiZiqyDHnOeMo99jP9PuGXvLXMTzRTGyIbIAiyz+ttw03KZ1tnoJrI3l5SkDg1Ht70cty
w320+tBJLW5LqhX08CcHK+zdvFQ81sF0TOMERbJIjognzXtP3ZyAEFueHxmwp6DRmCukRad5IUmu
42USk8et+TpECYZD017Zv308falBXIWc+REiEONTStcbvXU1mMUGcAvVotMYClwwzfdYorsrTqH0
JcuMVHKMFD3klaxzLuc5dh+1wTOuxqEuboiaj59NBgN7Bsi2H6am8J5FnA8fakvPJtyIvLLJiJ16
GIfOD5NM9bPKgpj6ozm5DmZR9K+PGiDp7tZMF81dOxw+ltUgPW7vmJauvNapQMASOrFGlVb2jWUQ
VW37yWKxR9ua+YVpJc8utWgWfJ+zua8/8scy+w6neDqnpU573wXlF1Yx70iLOYcyrQqMeyBUPB4E
mo2LanPk2eL4LBghelX9kTvDj8vLCLPf5XU1RttW1+r2qY2c6YwenR8C8lhucGrWprvLMbmcHFAr
NVVQS697yJjXZZE53VAmNvueLOnpwhI9tx7pJldhQJQtBG60jMXgiHFfMA6g8usdem0iyU15n6Ml
1B613luai86UmryZUSxCX6E1Nz4sVOfBQ2rrZX6OhgxnMzyJhkGgZR2WQQ27l7nkXtJP5V5O+sh4
PAhibgRaFLmPCh+ol82qQl5542H7eXmR80njwVVAOOTaHdSPopO4mlA34+dlMa/M+7TXQDShz0jc
p6nwe5NyC+cZTkEjr7541mhcJa5PE8kvSq6p5XE27b0oltknaUjcwisH8fdXK/K7/INkhUBCOkWL
I6+rUgjOHVOsRcHGK2JNbswc/OpK53U6to3HM+8KaVxl3WJNH/w+avJvjidMXA723MTRptQH07wu
2X+WBssRht9DJEy/BHFQubp+SEyL/jh5Xcy2NdDvMJ8WDnjoVa8EFpMnZ+gjRpgc3cgQGEOjrPoH
qF3aBot9gs67bkOrj5MDMssIIBeBw6syBc5qWMbsYLIonT1TD1ch17NGSxkh02bd2jS/BXLXeo4E
i0x1qGtff2yd2gytUv+kMeZYdQKdaz4LTBTJOPl7gr7jz0Ubed/UORUmjxTXBNte9KNs5g0axumW
lNj4k2MNYlOySa1p/1hnxDfik2En5dYUOqMWbymdld558iaI5zz06hwVhUmC+mVax8WDmbXeKuAQ
sF20jvb3MMGyl/hnEZ/U10OxlBcO3f0NLoLilmW9/pQFfXI32MXN6OlTtpMNsdPNTDqwTv9pN6RV
ehe3bvFAUEgbb2UnIISwga2LvFmOhRbkW4Bz6WogdU25UJlcpINV3bPp1E/CKetknS2t2PqpXn1I
XFfdWtKBV6TJ9iJ0vX66qt3JWsVMIdYxKdzfU+nJdQGMYW+qHJkRO/WVE7ceWnXdEeSbz5QD61aa
A8PIstr5RTMrtYtVHbyEmjx2jNssquodqv1+Tdpx/YSbksnLZA7uQaATGTZz6fVXTWdHd0GduDut
XfKto0EIJrZw8eGPuu6VlnTNiQV73gPeng+jpiTyXT5u5lbKsMP7Hjb9nGGWbd37IR2Wr7peZKfA
D5aTFDIo/kyaRUnkAzsA1wxC0KSP9KYkmsvY7gLZ2Ue6I+xhHubWlMWfziBuc+Y2DB74W6FWDkpb
zNRs2v+6RHrT0+cDEOHC/14a7BaN79c1WVOVlp+hpT5OXc0sgxN/qI8Wu6Dq2qzB4FSniGXmN1d9
o9Z6uarCmwKCpHNCwNDrq9ro/71kdIJjg4HxI3w0Vqa6Mylyfv3t3sh5Xq4DToQ4KMpNJb98fZ0h
qdy+DeLoaDOkZlHXJZuG8sA7U8SK9ecXo0cItoQKnS7Dm1tpsIhoMVXo0S8YGVfKq/wiVNTSPtj8
+lLvK2kGFBiPOAzogIHfKvqaOPBqbVKB4+5sXL00Ohzo34zhuurUKjz1H18P2xZuKQM/HuDIN+o6
w69YN4rSOS5TEj3+2AMFzoE0dISSNLQpCcq/uZ3v3xFEMA5fUweZbjr6m2tWwm70qQBh0fepik3G
xToZ4+9y4v71KlgGA4LJHFChbx5aEZmjiNLWPcb4pPdzijPZwwv0X3wXDpQ+2ZKMNd7NbdzOMhvO
/e7xRYHppqgncJv/F0/JIT9LRy3LsgL79PXbnquGRA0b6mhGeOchL/NMhhnqKC0yRBRdPQ3Lb450
75cP1nSWEL4WyTdc9vUlBd3neSxc+6hVkftk4DNHmjRQivQkNWwE9n5z5bYLi9evX8j3P2wAyUhn
Db4tpOS3X5XcvVRfascEtcmPK6pYpjoX4SzuCv83iR//8hV5OZA4U4MDBn+7Vnlg9LhUaWIGV/bj
0qhOS4s6qLDV8Fed4Cb11vz591P+U3JxHEZ9lvn6vg4gKqwEq8mxcJGzihLFYKH7yY6Dzm9/aC/T
tNfnclyTeENt+2WG8e6XpiRHOj9nlEot/vHMKB3Sdjy9ONPyl1cV9E6EAzNl8jRS16F7mduroQHX
tmUYaXO4qBDrABT5ynDAoupcBNo3P3fr38XEvV/3YMhYntJNo2Q23krOReqMKYwy3vCS8W2YRhAH
skljuyLhj1ctCyjrf/0kjPcrhIr4o65kJIkQ/a0kNC7ol0RsMUfN16h1mYdwfugAuH31pcGOldSR
et+z1Lhq+qL5iOt+MehBBtO5aU3MOU3cL82WKglbOjCZ5I/XZgbjOCjQq1uski/zzJ8kq3pD03vw
+dWXi0/RrTvZJyNGqEbKq0ix8eu/a+O8++25jID5NdDK4RXFB/v63WzSVhX983Ic7Mh+bgH2ZKu5
Ebymk9L9/vr2/9vF6Bvh+yY5lO3gzcVQMgYEkwWY7GJkZUxKggu99TnlOBj9fpfp+O5R8818FfCj
g8JmOXvzq2MaYtRtpM9HN3I4WGKM5s3ih8gp8dffylTSjVc/OWTxmCbYEfhyOODVJ/npoRVWkk5u
7Y1s4DJpb3TOcH2o+W1HfhExMO2pzgY6IXYMsyQZE0QvRe1Zkpmy2garZjonaU6fQBs5LKG1gaOz
eMi3dM2llUXXy9rqpPxyPG9yDscjyo2bTsBVLP90IX7JwEQ/zr6GCeRtJZIK0K9e2bZHc0G+NSKY
OAHuSXexPv9x0cOleAdsJAG09N6JMyC+md0wQTOR2IoghDBiWREdF2wImK1Otph+2z9Uu9dPT8lm
W8MyoagFvoER6e1TEktpGY107KPbTPY31zWHo7Sj4PGlIeJ6LV2dZimchwqr7282APPtK4KxXKVf
u/jllRyBPeD1K2IX6PuQmWZHA8BtucCk9F0Sz2aQeIwhSa/xP8Muy+31ULVGexXEKBGFJWNsfN2M
kNE0s/ms9yVdxCVX/ZpGeqqu7yV/foGCyNJtM+CWRnrjdbMm+JfG1NkHyHFRaeW+Vd06WYvETr1e
TIypHuZOGvVxkHONF9NtpxtnnGiNtRHaqVNO4wj5YjPEKqQBBdalo2u5XOtGXt6OdBuupNuBGbBT
94YEZW3ZVZ5ghjR0YGd1DxrqBW1pXYQtUzWc8basL7rcBhrrFQTRrStySDhAL+lx9FMjhPHj9BC4
jKRhVtc3qYO3GroaBGJclspdVRDqvUA5Mwrj6yj9nKa4BvIrDHAV0wxlQp3cDPPEnz2tQcrtVrQo
UcwGZBGR7sqhBJ8s/3VpvL+LzyGP6LwEhaprmprfWiIKBw46xvMxzI1YWVxmySD2EPvadK6npUxu
EOkW1UUeN0N326J9xS5Ze/y6K6Os83O16OwXsu+MZosaajrnOpaj2HWr/IwGr/06IQFb6PBmzvLN
ckVvX8rGUK2oseAxQ7PiL/LVnWcHKiPhrBickCmZmX0xKI4pHQ1ws+SLd/m0dWuQa2v6IHSuuiWh
Ee6Xs2tt0O7zL/aowBFEj5Y4NFPWa3dTlXLpJl/YtQId1VyzSgqrNa/FODjd2Ui1pF3nvC7JDcdF
oFzG7EEXRT1vH4ZBtl6+7rtBC5daQMVyTZZwZ4l5gwRmV0wP3oiV3h4iYzwkcKwi9lUDNWklC3pa
ft23y24qOEKuTJJ+5DXit0neG8KRxc5PHV4wcmFc80pLJXvDSx1Az563D0YXrYbERY1zhDcJtQ+h
woREYpmr6XvQLdENBD5cHS8tOKfo+TBWMhn3dmY6z2mUJNGm7Vv8WT9+Vq5SrOsKpDN64O6f8c3S
ekMJZNwbk5GghmJXbEKzQ1cYStfhLWp8BRxKCof7araqZ25lbf8Zk9I4bCd8ATc/RjOGbz9HjqUK
idimtvMrD5OFkalOLF5rhJJEgu4nQ6cD/7L9eW5PkzGhd+VdOB7ziFWup1O2BdOptydktvxMy1pj
0lDMNjfWJmvB2iL7iNPbVjR8EEOnd7KtC7M9C4b906d+8iwN7q/n5PkZXcbUXzpTYdy7WSbssIe0
P3/zNSYZG3xjpn07GzVd4GSmNrb4/Y1eyX7MGCCpVgndAt4Vm2kOrgi7s7wPFOY5GgpHdhBMV0U6
1OAlogjNYqim5NmxkC3d+rmgKQnqSiw+HQHE3sdS1ydabXTIO58G2dIzQv2fXur/K2+EStGkuvnP
c9LHb7KsRPfzmPTvv/P3mNQz/rLBtFIJogRkvqlgPH+PST3rL+DQRIbQ3XERLKoJ6j9jUkJKOGej
dvKoHynlqff+0UuZf1HYs8MzrMOLy6nyT8akb0s5TtkGJi4+IRdhTPqmwPINCCUp4RZ7n6IKggoK
5yxmcf7pnvzLRPNtgYBblEKY9hIh0RQdb7sHUT80poUcfd9nBD2SKcbxyZ+A4wsqlZuSlefAjI8t
sGIg9/HX11bP61V1oi6OUo1OELeNI/ibr4gHtoCK4gf72A6oUD0JEHmYDK7r6EBcDTCScVDWwaoV
qbVulzn9NhH/h8tKuhYZBWpEw7Fl1w1+EVoMQo99TupF62cMZrMCjm03S8h2cbxc9q0XnUtYFev/
4ktQ0AV0YHSqyLeoJV0i8Cy7Jdg3C7zMya6WbakRX5164/zQWMQ3REbOoFUrAdMZOq27McBL5lTx
zOfjkHXjCg6mlUqU0AecDoGi4Q1+DuUwgIZHKJtxX6Z9t52BkqEvV+y5X3+HN0cUBsu0+ygVyVWk
m+q+PQ+1ttX3bHsBcbNscjQL4FRSIe286ncC7DfH3x9XIhGNPosDcfhts9ZhtlnW8BaIMICZiuiL
h+f6zVF2ADIBZ/7u8PXmR/RyPeW0t1UH9X1Comm0QpRawfXilAwd02TM2CNi/eP7x5CeCZuCT9MH
f3PEC5A10jHV/L2kq7Oj1fi9toJ0n7f+/a8v9CJO/rme50kxitVZmNS68G5RyGKOMSPvIEMIIB6L
BzQzCXhn5pkHN5cW4i0jcYFyVF1+Rs/rXxA2ka8xt0XnpBfLiRFOc0seHduyO8DzqY2UAmswQGvF
qoleFfAEU97NB2pgMYMO04E7xtnIPOsFDDrVirDhm+m+pXz+MLpL+pt+xY9z0KtvCbVM9QLAaCsj
q6MaWj+dLSNqFSaZciK93DJWpYJleAqboSmABrFrdORgakyFBK6hMBu8vNkeGEkPR1hBOBSOo34h
c3QwOhoGEx8MM0+vnGC2P3nU+B8cmB7SGM07IyibYiXHwqDqiYp7U8+DLWoAUmcVGiSJhbkW6A92
ebw1siH+xHKW712FFIl709kziapO7C7JvgTnsrFiN91rIpjB1wImSUzb2LVW5d9LhS2hdi/XAjEg
0uo4+pKw8YR4M+ID7Jjhui4M6CeDAqGUComCgJxkvMEk2MCu+9DtXdgpnRFX+1xW+WMHWYW4C6al
CrbiBPX8dZ7nlnEoKBZsb9bOiewMSYabmCE8UnetKXyLk1j6PXVp+cGLk/w7aliOGbkewHwJZEI5
PlY6rhSRTE+eL8i3UaAY5QU9YBybLpYmcK9dBZRBWyug/5TpeA1sqfksMgQc9HI2moLRJFBpNIWn
YZyu4TtJ443myWNZunxq12go74PDNGjiCq0cR72JjBNgtUBwNE/s9Dq7UPdzXRVZHdLy0FbI1oHL
AHRyEqZ19pToB6hl5YWtYDvaC3cHreJyZfQk1KxmpTXU2V/CTMF6zCrwD/1iW88yctsbADetOHR6
H4SN11r3ub0VCv1DPgMexsaynisFBiKzRFtb9YRikowm+SDmtg+rfBp5NFO2ahVgaIQ0lCTWrRkB
+mJtGw4deVOrGYmTrxSpXy3JM5euUWOBZhqKhzXUFNIIEy2OKIU5gq5Mya3rx9pUM+jYtukCTvGd
yOJLmKKfEgVMSjrQSZGCKGXS/TB3+bPJFHs9AmFmOogqpCP9bmtJaVx4Uz8ehUIzVcOCQlYn7aln
TLyCNhqtvACYk6+wTkYpstDOqumkKehT3k7ARxUISlNIqFrBoRJ4OiEQNohRMGSh+7AZeWu2oXzL
LNuFLgWRe90r5JRsW+3kLFV1gclEJ/LBmdGstPptn7aETIkXdpVuZvX18kK0MloDuNVs2IdETMXe
UOgrr+Ln4mogr/DcNoyP+4054pFn1MbBp0si9AWZ+CIHO37KIqP/qjoYT9Ygx2Pp+8MhHwIoQXFt
X0hUFFgG8ygkeGA49Aa/L23OweUSIhxbTJHRAxxEGiB6WBsYrRnpx+Vq0pbpwR50sbV0MzlgEQa2
WpBggd4jWgVWn+4MtxEX6aTaanrZKfkqURUILuo1J6LmGNSwSd2qn3eaCx7/heobZaQg4UYdqyt9
jos1Ae4DMhrAwVJhfV9SOdOYneMlZ8LUe4LXBojPfGN59NDJQHSb87WZYFhayOb5sASjfU3PWr+a
waj1a4yUoJ518g6/GYqtHRS6yhrN5JfEw13pVqlHxkMnLoTjGfearhLWqjq5hjVNdaKwxpWKoXDj
IOPTFRM22p7MYZSjbn4uYhu+vgrjyHVaGCnD+xvNgTRf5JDCAe0DK1YY+apriWNKnfbroiX6vsiQ
9GSSL4mfe7l0i4osMbgIe0Kc6ysrIbbHU4jweWS0G8IJQAtbCQj9EvIyGSXJdaDSyBxaRZsXDjW2
hxjbZx0BrLUXlcMTFO0HugwA8CRiFFgxgY7cuOMraS5uak5uC36WPHM2VpA414aKrlroc+wY1BJg
gVwnDDwC26hVIEZHbrCijpSQBHhfDVK5vlMDD48pFP6NhXLsmM0FAS7UNubO0MtmR1oDVjVJUsfM
BZK1VrDzLphw+dhz4nwikolAF6DU3Zk8IP6Uxz1IebNZk/5qPNETP7XoTnbe0FTEwimsDvWidXIm
Hfwri4Ihe+tqAM2wrZNmOpSAawkLzpJtZUWJUu7dG5FGJ60jadvJR2fjpfqNjEQwrPIEk7kkICnZ
cfu9/Iu0/Sa54JzaDLzNTkejQvQz4nvMhNIyYbEFoCNqVtYZTp3APJdcTT8smi81zP+Evb8V9tLm
+ance0edvUyF+NZW3WuHj/Hyt/5R9hKD6atkEfS7irrzU0Jm4L1gpXTXfxHvvjqyBn+RH0k5ZaMh
YNbocQj858jKQZf8DFIZOfr9MAb9ibKXvMjXRzqdc5yvU7ZxECbjllL1delm4WcDXSj0k9C1Cogn
nDdYmPD7o33aGVO9yW0LkPFsDbXcTho6hI1bd9a3aSqwwJQUXggj5/YSpDNnQn4PmKunpbDtRyNg
HLAeW+Nz7JvxQznBmE9j1/kwEBdwSchXd7MQxhsBu8wcAiGxxl/GI/8Rj80U1DstS/K97DJxwpSy
AERwbguOHZ+1kcSnE/LJiUw21+wuhoxIsAcrj3rvol2ahZQJOG49pt7S6r9mL2pjs50Qc1b6iiSX
7TJzbl3ydl5bUreQy1v9R9z/I+LInuzIy9xKoabj/fbqbc6zvSMjrnRDy4RQsamLKH0wsCesYgSb
SyjTDD2Q7bKOEvzd3Ll2bx5ar0t25pR9LRgkbVIvVdmXTQrjFB3aLjPT+xkg942bIbnd83+xLqmI
o5KoP7Di1MCdXEGysDadoT1PuY3rQ6cuIsHBo7NJHNmm4fCEvd5PBtw6XuNsYC+2Z0MvnMshQEBp
dL1nHPogaBhTL0H0uJS+d1d7TnQvuxnfDfwgS1tnbe0UAONtWongHbOnAeI1VhnTC3P8Z9yDelg1
/SSOblAVp67GkyT6EoQeZ4kIMfMMxLTru9gPtbhOWM/c5dyI2E71XRQjJ8zhkiIVRN5gdiNb3LiI
NWqHIQntqMm2/hxFe7sqzad6sciAWDA23AeFV2AYi0cv3dua7hePKXYu8RADHfb0TU9TeNI2I7lq
bbtDzDfr7QGwvQD0SkmbGs9xC5abJ1cYK8cpgk3Z2qHZ1PbV4kQjm2REQwKKB0a25ewnkbsJ0CeH
eV6NWZiqLcDGaREmLsUJTXKIlcWiWemqdUyi75ZooFjy65XQvPscF0zpmIe4l5fO7GerZVxWXlpd
2c3ShMTx7MhGYOPMxVYwSnnQtOR2wu28klxmGy8TjaJh/mjo47JF8wbdc5jvkH+1h4asmA3ZUdlF
U2r6oXbsfNtFjXkMiKZe5cxfNq0GhKG0p/Roo33Yjn5FqlcxLwedIpkHVJgPwWzSGPLJ1DNib5Ul
nQbFIBu2lfC67kg8b3ZgjPBZ0v4+ytSOTw1SOliVpb4h3WuH3jNsOcts7aXm/mgE9pUaUMtGCzRO
olkSxknyzVmaJ29CJhwgl4P6ppM4YEtCzgDtUdv0c0wdMwkgTTM1XrbcdanG0aBKaV+ZThTaMjNu
+PTZKXNmTaKU7eoDjoT+Gwz7ee0nFjeHH9u+qQd4Q3R0RbwQP9s0gA6cu8YqzrmfXixGxCCl10kN
Xe5Tt9tVehscvXg8twFQ/KU0174O05S8Mxm7SejDTG6bZufP02VG8CAZNpB3ZV10myFaAK9G9qML
yWI1irJdG2XxrbAJoTDF6IJgSvq7VBOXOJyMMOioI4gnYhFM/Uu7ho+CNQfpIz6bFY1J+1Yn0nFT
TlKg5h1G3q2aEHueh7ujUd+C2A36vS+LL4tHGDZTqeDoslweqZMYt0RWdpUEXQZwnnhufhXGbZw0
t0PG0c3nSy2VuJp8O3su1GqW9xGAYj+juq9r0z6nZuMeq7pLQh4YPfipDuBaJE+61tJ/N6fvSVca
+9jjqNSmHK0J15lDB6XtEbu1tWlZ1m87aySnY3GDQ55558iVt+i29S3LhH+qMm30wjZ3uw+sK/3a
HLxoWNVWl11lZj+EFPXdTudBbXWcY0gwneRsTVNwKScdOT7EWDsrPxIOY4ZoSCF0lFvRYL+bstpb
Uf2dW1ewusAcACyYbalrLT5eZT8ndkogUcLu0HDOyI1gl2bdfQGzZmuWS3Q35uNlTQcinIwue8CH
8eAQs7QqtOG5XYInN4ZuTcoo73Ffk/aKtQ5P/bYdJTjgbBeYWcRdbOwr04ib3ejLLwIT6saRC8bL
zryvIy/nBc5RvpVJMZycZtQxSFrnPqgvijZ5xBZJvg2xV3plzytW2g2IpU92MKIVtp0wV2tprfk3
fmvtWlyk54lHh3FsiMkPhGn9KY9i46lwfJd6z+Onptmcu73hEozFZmjyI+PcbusMjXmSBGqumqFO
0XkHVRLmc+HvoIYsh6Tq9l2dHYc0ynfkMKRhHGiKX40Dt8opr6MAuANsCY7Mdm9/sTWeF3Epmn81
00m6TUoVFeLJ5pIsQi2cx6HakOOafK4n1w5Hs7+Y0oY9YSweDHvYC9Ikg2FhY80CsE6yuxsQ7sAJ
KL8Mk9hDen/KvLzYDHwflO5VHtqOl56GmVAkEA9bm0QwM4wdZ7maCG4h5Slq6nXP2PDkpE68nTVr
XrV9bH2Mqr4+MyjIxf+xd2a7kRtpFn6VfgEaDO68JXNPZWopSSXVDSGpqrgzyODOp5+PZVe3baCn
28DcDOAbw4CtJVPJiH855zuBhpq43noQlcOhNKu7WBvgZ0hFmE/HvVaTanyYpZ1tgMXXu6qv+xuD
1B1sCQbbtl4nlM/UnhJtXK9norwkjYXm2dcRAuUz45DqVo/rYdpYc8FcJJiXrH+oMs07+m2+nKbB
fLImvX7X1KDFh6ikt9zZ7mhi0mVAxBTOkuQicc8a26HzP0ptuBOJC9HEGruH1q7u8E9qbDy1+3JO
+lsgk59bZapdPznyBBv7s9daxeOU5idDw62B0mbYGKR1feF4tQ4jbJO3bBFqi3FHHc1JM7aZHJK9
Q9BH4Hl1juXW4sW2w6sfx+220j3tEmOveQZIBiV9aL3vTk9Qa4/uPGDaVLxJz50/uaOG86H3Xs3c
rkPSm91nAknSjRY5egiQK3skukjHAIDax3cLuDImmLbJWh8i/mBZQPAmsSkItnmu+fViWpltmX2t
Vf4+65r74PvV8Nlsh62OdPwKwswGU8OV7Wa1gG6SKithi6usoNZVcQZNIomS6S1qhCq+CKM4MC3I
MXO6xG70vnxAzd8QaOYl/T0pt95hcZ3ms8acX3bz9DjAMNsJP/XT0KdbvSHj+WuTex+czgVsPcff
sHTsn9JMnJ3K9Pe1D5/JxpW0BVfFBcE2eNMZJPAktoFeQJOZgTXAxD5i2M1NJtolKLp2vikthuWj
FBP5lc1HEZci7KciJd2xHsQnDsgWh1NvFl7gdGNS7K0qxghQWjmXV6tVrw1S13PszPaOVUv6rI/K
ZDbpFd4KoZnNT2ViincUAM67lVaYvZcu9oOIcYuGzmuLUCPfGfS2mHNYT8CxO7n9ohGjA4HGNG4j
GhWT57ZStNEJ2vKSygMAWDrESVhGAiHNWSHqh4s8xJ98jUJUXCi0Qgjoz8pfjiBhvqK7dPYNWSqb
EoHntmfmhZtCGsEy2X7AJbnnr3ayM6sLfFavmwK4ODla/Zehs7rQWOoeu3pkbmxGDIGKGu6/XJLk
XhGEE9W4/j1RHEyU8UGiMog9+riNlHnNkszE1+KofVE73jlNSnxvHQLJ3PXxRSW7YmjUg0oGa6+L
9x7f9q5DwL/NyugJmQSxE42xiTTLhDxX15vWVkzHsuiknLnauk1xWCo+dyVGdgzdhgilVtVwSocN
hpiG44TYHNYXQ9A28E6WPPky+t2NQ4G/0z3eYlLjnoBSyi34X6wsaXkeHUhbmfBwfU2UhpixiLmM
3Zo7sZBHKa0HHzfEnoTPj6Lqn7CBEB/uLPddSZ9idDbZNBj3QlV3m9qak8CsbXXB/TwQdqQZz6hE
W7AKZfk0dS0bfyPjqps1hpEkawQms+csQQEcGBkzPuQ8T4D6sPBgLApTwiC+5kpsxOQu8Mj4lE+F
E8y6RSz75EVPrihuQIRZV2VBLeyb6jvFL3OcpN2KbJFhouUGf9IBb16b7JaiL5+UlaWbwgLbD5nS
31oWxY7ReDaj1ay4MJgzghnG6I6lXHN1vOhdb1W88fMJls2YT/fNjHfPbx0RzoVL1SMADjFWvlbT
3F8NXYalbMZwadW65Nfnq5H5J014OgwtaYbuMOBl8N3xBpnyV0m/QQbwq+Etb3HtQHho+xva3Jk3
I8cKshwjLx+22Kj2RfJd85o+EE6r34g2qw8sT++a1CRmOeF4TBovxNWv7+qa9hb3l7k3u4EBtS2Q
V2RnD3E+dYIOntB7Iv3HXJn4b5Pbf0R9/C5lzudHmvd9d3Fl9MSAtwtop+Ivmkb8YE+uFQFLSxib
7s3iey9eDeDN9+U+53IMCBUnWp7YKrjuurixLFD6I9WZ1mZ62PULob+Y2HW4bHKkPNPuSLwdvCAv
p4UrIYt4udwEDS6OOtnNrKWPDJWcL7NKvpk5sCEzGucgMY1WBaMFppGcsfK1IDlEblNAAleuLOz7
kzQLCjwJ0M9IVHU/dkZ3GLSpWfmJ+T5LtViFuNv1hFk7O2djFPjKUOvQ5NTN09h7BcqcZDhSVecw
SZNqb/kVI7J5ic+gLJ2dYjA2qwULsPRvfa/P7qpUE9/ttO3PS5I6p9r01MEo5vzUEw29s0dLPVoV
sC5PGW/08Nklrywa/Fi/hWA1hEMr4xsTiUnYY7m+oHEiwXmZpr0pIZRmA93S4FrarkOGt1Epkz6z
wqRUmdYmxugGvRKBadp28YbZhoYeU7+Fi4Ufts7MrZEU0a2Dr/XgFvM7eel+UBouLtOCd4yi9lL1
RXVQ2Xy01YDPbhyu+MUoK9oE52Tuf4F5lZKQ4GJULMGhwPKpKIPUsoHAQcHtQ8fj2YmdiXKPrn9n
GWRadpMB1gzRTULO+5G68eiu64CiKIFQMENirVgQm1Ha1baAR5qBjKKZ8h5IS7H2tMJMXMwpex1y
ttUENur5hauaW2ikW7gS5nKu2soL6jwjjjNy7aDPQVeg0QqkMBqQlO06bi5YIuYWmzdVZwHWN/3c
5U13aqX5vVn6y4xtJ1h7C2NJr4LTfTuRO3mXKf6MMicW0c9ZRRbFyEZFEwFj7m6TY0A+j1Z2lxq4
8XJZXmLHfZae3+6pr8mmYcnC5mbaVULfxyPzjqJjJVPbybzmQPOtcBri1Ou+LbLG+tZdZgRngZoj
JFkmJtaGPsswq5AdfxWMXcLLI2XOMdsQMyynsq1Hh0QWGJjz2qZomU8jT2pIRAT2p77jjLSFIsV+
eB/c7J1w3aNnNXcTVuFjCqJhQwt55oh+rqOh2ln9tKXV4pOMLC3shhZuGwvb6yJ6Y+9NI2OUhUsX
kRI2Y/EA2ZFohH67DE4eNg0oTBqdpfrckAdFmso4ejsDURRn54MxxzOvaOi2uTPSeXkjqC3awU7T
g2VhT8JEYCOidDwlBBeRblG9V53077NY4w/p2ftmbIgYmczlCQvAnbv4HUknwiA4Ut91re0GllKZ
E1IoaySRuHNAg5M9lqB+PNFc28U4557zZgoDGdcb8Qf7vvO+qwF8oe6lMBrFAjOm9DdNVoUiq7MN
RLLvdadyCBn5l4TMl22zatVWPGZusKAio4lZyZL58aaqmAUkYqFsAbOZyexOJRzQYdsrZ8KXarm3
pO4ZJ42avsYHWmBQH2jKh2ZW/E/c5Di0CeHW62ZbsRZTm6Rzg7FxznUpzoBhQyebEBtOedHvmOJg
GSl6O8gX4Tbc0HPTQ5xd1N4C4uiDA7HUMS0aFHucal2A2FXZJaVxg6QHuIfTPWrQ+dpd6WFP3Ckt
H1VoogmVZ4ceYeb4MHrgr5YvGiJceY/sqGbmQFanftOjfXhv88nNO1itfsvE4leF0P/1vP7/U/4b
j9h/mMQDUkRF/HvtmPHrF/1rEA/T0IcCsOI10NP85GvYv4DRgqGxMjL+KRn7kROHkIz5BR4+PtP/
nL+bDvQtDAiuI4SOBAuM/l+Yv9vmqoz4nXICnbdrrI4bqnFMfNAd/zh+V8IBVN3E2PjBwjQBOE+H
RBkLhzgPoGMNr2w5XVz3tnxI67m6rhPzoPFwr4eV32dbwQbpU9bl7JmVMeW3iddBg3I0bMW+q/aT
n5on4LSIMoa0bja2h5kkkASucwlASwD9TTDUUIzyRo9ZFbA3L25ATOZ3LuChfan7yT5yI3dPOgq1
e1wSYtMS8rxf0kQdWQ046LTWo5bABA0LNGJtomc94+xOcvySk0qfbyY83uHKr4E7vFYOlYweZGOB
tEy1cTr2+nueL/KNsYAHcYzsoYDxakcBiQx6ZBVAGNLk3I7RBBpHOKxK0SpI/bgyPRFWGNrHKFXz
3a1T/9bMKu8IUV19iycjasIE7dJdmtQ9QGdTPVitNZ6y3EUvMefZXIZmZnzLdLbfmY3pnmmjSR8F
y+Aa61V8butF+6gciIYBrFY0v0tTHee0eRn8qSGyfPX3J97wlNRd98n3u4kWQ1vU+wpOeOFUyH0m
wNScDgjSnlGWj2fHq3BVoY0PDD1Vx8T2c5fKXai3BlF4HxrW+NkxHG6VvireAYF1B9RC3U5Yafqx
6H1xk+rqVlti+5Srrj6paFnOdVQMIZvidudOXmsgXkjpFnSivBR/zzh/oetloMa71PPdSq3dGa1Z
nGfhRhDjS4cXigIkACHS34jU1g6ZrSd7wKbFI5bI5HPepUlOz1iblPCTlNvSsTPBIABDDDMzM8cp
z2ePkTUor97yl5YMYN0EYy9AmiTL6i+OGdKHY1slm2Ix2fWCkRi/pwwIKR2n1TVUFSiv6yyBPQUA
IrBoB25iJZeNvcywdJVXXmow8jcGK6g5zMuRuRRzNe4pW9bxM1R6w4FKHVvvzTRaZHDirSfliE4I
xH15WOoFkTZFH3WYV4kr9nf/Po7mJBw9bVsnJY39PGwcZV+hTA0fpGTnR10xPhozhvabgbQxevVk
Oi8L017EzV315MssetFKJ9ZOTOabbOtXroAxprd9kOhj/zAsI0XQMOfitfOLiKKuavp70VfNFxbt
RkjOlXjLGfZQss7d/NBip/cO5K0jnVGeL6FIIBDyS3OySCwj7TboI2E+m4OenBugKu8U/HoVCLTP
ceiqpTjUceV9yRDKXnIbGQqKxNx/XJhSMrtj2bTmNLMT39RxK3deUpVvqNf9J0b/75o+1hunViZ4
dmf+ZteKFVcrhKy2kRdVL1lMiREWKuNmZSamXjuXFi9gb1UfScfqNgy22LkhtPJvEmOiZ+3UPW41
3woAenVbbuEGmK+yth7WCmjFLjDgoW8ZGdXpxmICDk+8a065FO7J1lvAJSZJhbwPVraXfc+JxijE
DTUUG/uBLGv4ZJq9l6meTxvN7yKLVAelvxp5AsTd4jAdDB00nF+VKSv7ri6O8Ww2V4ZhWDh8aXYP
ykvR7kRumX2GJt7MVG1MujnMov4YxRNjZ08b6y+DO2NUt/BKHcAqE+ln63N7a7VK+5C2y7C/RWh2
NzezxuGyQGiWWuaDSLesYad5SfMFyPP4rSmS8XW2KnEx2xQ2eTe23ow4YVZR6Edmc5vMfpRvPKMu
GVCMEUwKjQQEodef4rytN17ujwx6VQooJW82TuWerHruQJFXxb2ftAUKpTQ6ZjnHphRWs5/08jGu
7H7fqhGPDKpiZhcKLALojbliaTE420aflq8LWIxyOyCU2UizJwlCJgPQG93LbicdMHt/tgo0eR2L
mrFOPy9aTH8zu1aV6y/enDPnZlBjiq57QZXaZrfRFBE6twIURQaWBOGjenDKQn9wBKBFjkWQiyt8
cYjHZ+rU6qFBd/rQizYyAj3NoudxBTeaPxiOlVtR0a5gR+8H47FdcY8eaR93Onj/O8BPza5dsZBd
mls4klim0GMzAmW/xrHNbRdO5Zxe+xUvSc8FadJcoZOZr/PrOrm2Ez+YlO2Kp4QMxdBJrNBKqDfw
H8m+vth2BdNSrXhLy1POMVuRl9RyHsaUFYRpLtp8S0RAX+47rZH4iebo6su6/sTGyT3GvPAPBvOA
s2dl7wFpERIfNcuX3MomkHGNhpBTFDPl4sxIhb0t6pmoByxicx71qVjORre4xyRNGIGM2V1T9JBK
EIHfRpLFLYdsTk7xEq1bC4OliowlyebWCg/v5R1SknS/vp+PSk7ihtRtdeC4cPdZo0h8y4eBhtYY
Wa37S/I16mD2pBPdWaCaCX4XhMX5NLOVujdyNe792fePg+jbZxXJ8m4Q9nDgeXJmlsJSMaBy2SO0
I6nT2F5mfcPyPqGbNf3mfjT1khVqZvohmByxTWz0Y1lTWLd0mtFlcf3p2HIx4j4xxiuh0h+6TP0P
0ZqGDOzWbl5SRnpf9DHKj61ELIZJUiN5euCo4eOXcElbhWmHJlrcXTpk+R2bkPFL7brjJu+E82rI
1Ls15oonL1kPTeAFRrpfxpGEBoUgWH6qZv8FVBG4mCHxkhosSNOLUEdak7BYGP3XVIvyT5gA2ubO
UW3aHkwX0FKwgCC0YSIBsbwxHOY5DI9FpTfwpJKUNGwCDsSNNJb5k2rizRq6OO/MxHF3te+4YQLb
JgozIiUX9PMZ+qSiLQ99pyUvdm3a6Zvh8IiHUImI3lPIemPG8ijXFucixDQN7DljEjn6Ex9ZQ7EV
GirYXW9NtLxS9k6fWdtWH9kwGc8+moBH0cT1Ce7TY1O587Y0m/LoNi3UxR6CuiunB6dYXjkAv1tp
8pZ1zqvbj/07eA4qCEuh02jt/tX1teyA6qq4a0SxHa1Su+GPg3+KFLBjhYvtu7nYQxV0dZPTxzKN
B+fSp2C85dzdm/aYzyGjfEZTtWIp8eg5vdqWi7HcJwv1Dvun0Sa48m8dU9Wl3fwfdEyrVOh/kzGB
EycE4aP7h/z+j1Ayqn1P/6Bo+vXrf3pwnF8IRMMYzaCQIQPTs3+2Uq77CyZZHl6szFgTfmidfvPg
mN4v0Bows6Mx+uFYwGbwm6CJ/4SdxMTMi9ca6obj/JWGau3Mft9PWczOsM3iYDWQxzjm+sp/r0Sf
RZWjzZn0Q87hWsbf8Y3fIk06Zp63qdgDlql+avWIXKX+ReRakJn/KRfa/7NDZ/0VcNEiUOA1YzP5
U0snbcepPcayB0mNd42sl5mFcDtAvS13cW4wL+EO2PhUapxY0aWuibZ1DavajsYrMM9wSTZVrcUX
fd3bSI8hZR7ULlb/hFBwywbwx3BFY2ET6PUH8hL+pyQAdse1/iXDX7D+60xdQ2jMU7vIfVq2Qatt
Z9tHadPxGMc595s+wEBaSDfq2Z+2pkmKQx/OZvU8e5B5+UwcJpBbJVJkKEJnMPBukGbLvdW1iAuY
G6ZsEUlJ8AKzM5Gi5DeW1t9Dbei3TLcDg4Ls3vFfhanh5nHfFsTGLP+Iz3TM0OLUKxs/0FG49JK6
hdEMuTMPkxY9Zs2oAN5TjnT1l9439H1a9Hdx654zUb0v5CHR34aNMxZ7Z1nHl12HwrOqPsqJvVOe
UVLN+vhRUefHgHhuqna0KWXqsHZaftiCKdW8jUsA9n8fLv/N4WKgb+UI+Peuvuu34e3rH86T377k
twNFCEDnOGNws2Ed+fXU+MlAX31NP118BnMX18RzxoPNMSNApf88QWz+k+1gQcE1RLInsJG/MJIR
xupy//1Ihip0/THoIbEaAoVcLVG/M7MknTUNlarNixu17vM8WvZxNoVGMbQU+mZOSBJjcipPxDo2
gvF4wwZ7YbGO3ZxYXKNtbpCw98YLjMr8KmlB6dUQCSBBqxvkYr2yZjo4a3jpcpJZuniGplyDOgn9
wQMGXncZk1knqcicGmfx0JutfK2GaLhdcIlPtCTVSHDIolwkipEadynL44OLa4G1QU5qlUtXsHcw
nMugTsB5h3GMc5ckKBPo4Dy7zi6ZvDE++JZY+g24QQLX+oJQE/Yr+dfG1ZrbNLaHkvlzOd1GkURe
jPuF117W5Zyv/MjcPcpZWQu1fT/Ve8bg/FdzBded4PHMd01iN/MRMiOiC6KFJ+3k8QtCTIgWYuIQ
15XmvcGu6963svhhyfLhtinIXM7YU2xgT3hxGLWSgdGo3EPpF1VD8rBcYmrTbrpDDJhXG81S6MQu
Zm48dXXduUu9GQnL65pDJOy035eRwVZt7wF7jnEqAu/RN/AUVaWHeeVNV8TmZSVCQhS0o9UKSaRa
HXPGhpljeVWVb1Ov0ApQ03VhAdAbcrgBysQXQpJaGg3TNW8GywctWKTKD2rJhnkH9NnDu2EyF4sR
KSVZdBuJWdsNkRSEHtktVCbezH5wuxu4kUOyiRudKLGD3o4iIt2R1dKmsbgs+OC4y2GZcODvtCkj
qoth2lgMp67r+1q/irnMOhOVaNsOI7hpwvtQ2r7EUWIYyyto6blSX7ux6UoG1wAji+j+7wPvvzvw
OH3+9wNv/Mfpm2q/zX+YRps/vuxnFWVSRRkOgY+W+TPe4aeT2f6FCQnuTmbM6+T5d1Np8QsfLxdV
l+2TUMKZ+a8jkPqKb8cxyI1oCf2vHYHo0/94BFJF2YBVwE57uKaBUP2pijIaYLYma5WDP2ipCfnR
hHkP7SM/Awom+1BXzfAptlvsh3qa9Mchrbr7pNaGkitYwJNUOLPKAG05MOCoJ0+zV1Bk6ynmMCKK
6R7Vkc5+rwLY6DfkCNJykk8nEnPDWDd6nIzKfiGd/K1g1hfzrR4HYsQ/dblc7lvlPzLxY/VZ1bkV
SKfAYAK5k4kZ2vNLz3ldsZD3BMJBQlu6utNffFwbwFy11HioqjE/tYo9miRUkY0uXzg6rrZFiDZd
Sd1ji6YJ8RAtBhULYonvraHQY9TSJFxnKBd1BOLK0Mea8vrNHFBkLWPrE4XYZux6eKN+ALowjLzz
908BU7R89SgGmPi5Wrw9NbUvcbn1x4Vla4j2nC9s7ZHBrQGkntjk0i/9z0O2NHFYFZ7+4uJWvjj1
4Ie24SOEZ2ZD0nKrjgTD8tOFN44BerR516adDx2XIQ58fl+hV0lTg/6rxSyqMq9fKSCx9tr3pv2J
PQFHg9Ob4kZ5LUac0RbF85wXbMSHuBcvirxg9AWTzncrymS69epC+74kox9OZhOd8mRKvmpkul9r
lhv7H79fu/5WfLIVekf+eTTY1Vb4HZchdB0mOTtd9dWeKdGApKmmGJO8yYzBui3g6j4J3C41bmKP
ASQVbYfb6QYMRpIApRX5cnDoY8xdYsMA3pvL6nHLuE/QYcv8tFjyOCirg0ubDSS6pzGScrTjzk7U
s4ciCQsSTXXJZwFJ3Cnr23bDT0cM1rZ2yuQQlT9k5eJZAYf+lDD8fGnqpL3x0II9ZtCudugklLMB
eGfi1evjc9QwGs9m1MgFaOqzVvPH9pyMNTejm5QgPF5kthA8YS9GW+1tgsqD3G6Q3KErd1Z5K312
Nc57z2r9fVEY5vfRQWcbRqosJX4mwIeb2GDctPMzvUuueSH5Xj5ZwBjE0GEZoUUZwcBkUNIlCo0p
4UNU+vMlXcY8NAFxb5ZOjy6lA60dZvvo7UXnC9JCE/OZoKB8X3oATBgmrEKwqUtLb58Lvf3USevF
7goUM7b+matyJoRtaEgWyZCSgYAFElvG0dKFrXCcXeotSLhdow57Pa9OcUSVRrPvKaQYhbxrnYU4
P810duM8l3d2aolTH2NERVYQb0t2ratQr9sS9LqcEsxpRZAboxmOhW0+TezoArucEb/BNOdBZUcS
WBhww8oABBgS75DvVvDB1pAd4iqdaL+wH1sNeZrZXhg8McL0zPxMQoV919kxEsxkoGPQ3VbvA2Zz
hBB6mm/dFOBU+s046e7LwMLiEgkRf8wqy2BfgASf+dMvtZ9vKgBKIworicBxzmDjhDpf84bLFiqf
lpHmdYhl2Xxq2EVnrK8ELU4yYB7Q8mp5muxZJ6WiSTCJ1QpuYS2hXNvz3mhc7HvmrEksB3Gta9sK
1HkdDEWHHgM0LJrBCsXRyEEhgr4Y9c3gOPN5jCiiEljFn31evwl5hZLhWJfSbTfOEqtTHyHS12Zn
ZbaMXo7dYAXJBJgQexpNVwI6qmoVqsJIHh031km5KVjZG6rMzgOt1hwOak3YzAzUpKZTtyFBp9M+
0eMqHOeS3DG92ap0Nli7Ne5VkgP8mOeoUoLewLXoj1OGOKsqOuZg3qKo3XJGVBXcREmO2T2zLU6l
1umj1x8nS5N30Xd/KvNTIXlCAdULlnPrU1Q7HFoTs+RnNZbextFY2zHhR98UuDM3jJJOtZ9ijmei
QAyLx2E0HphP8oNwZU6bymD2CIk/Xy6jDqU8SEbNr65c2/MVTZmcNxJixpa923JRsLnOf5dL/025
ZOLAooH69/3hU/eW/L5Q+u0LfnaHuk8Mlg7mgpxwzHBrzfOzO1wbR1b0vk1WFshWiyLmd83i2iP+
2On/7BJdukQdqh+lgO3+GFz9hS6RNf8fm0RIuAyXTIZcUJQZWvypSZSNZB4/e/PFrzgT89Ab63ne
UaL7z2Sam0dSmqAnDXFcn1vbAlM5k103rQymH9xCRTzy2aglDCm0y9syFeD15tm+Y2Hdsp6WxZQi
UQxM9HEDV37pWNH4oLnzRCvU0yj61lMSTbBWDj25n0izxoHJjl5E2q1fWgNZnioDrRnCtZPedwbz
c9ofRmiH03CM3V6wKYpcpG4nFHDUcvXAm/xJq6RL3hYSbgubzKiWM++lZZKrSt+J+Z5njbMJSmFp
xNjfrGVmh1ZaNJ5jkV7BeUELdY2Fw5uR9mNVcqYsnTQPvCjJ3rfX3unt0kcvswDS12WS3U/SvnaT
ao4LQURI26L+zRcI8tGKczKTbUSFRmxI6MsBVSgUtcUl9jhjwWCT/0PeAwSXcdSH5mz82s4hAJiu
5CPT1E2jHOcN4+94/kQaQk//p8MNi3cR3HXD3RspYG/IAD96RgEUXXAwljnOinUIznr+Uk+trPgr
4PAyyuH494nwX50Ipr42Nf/+RHj8ttpq22/f/nAs/PpVvx0LHvk2tvsvntNPMY9Onh4aG4fBNLRG
/vnPIwHdjgPiyaH4+NEgrVOdnyeD9QswJbAlrg/j5q9KeiBS/fFogFHqg8n1AcwQy8NY+0/zX3dW
pgZpvDpqZLSJeo8fKs6GLanOI9VpqXsCsbFrjGQ3wPAoiQHZiHYy9xBT3ENTAsGP7IgJKL5gcW0b
y3mcCLXdOqlebeLYae0QT8C2RB/6gsmMYdRs2uabH2NoNGq94Hiwx5CsFWuLcOdrX9XdcTDbeG+n
VbxxiCIPRZRjrVi6fj8Puo5s2rQkwbxTu0PjVtJYwTIKslm+WHUDeY6H8dhzte701Nn1retudMgU
4ZCl8a1QkXeo5hQQS0KYWjC0FuA103DkSyL6Zs+Ofjm1Q+GvtazjvEeE/OLtKuuiCUoVxxeG5N1T
DnuOnMBFfyDGAH5L4d4PvfAvPPrNxivj+EuBzhyeQz5QLfa4AFNi4KNMV3tCa6rDmBJkjTrgXtbS
PRLxUu0cltyggwZxW7n+KQaMYsspvwOXoQVuRFck5tHbFuggkLo29ielm0zgG0sP9cWyWJRO7REY
oHaItEUAc0+0U9FiM8qNBsOEli0bRNjy0jiwLrZoWFENs5p+FGltbZGmIV7Bnb+3sLLsjIa9pL60
y309GO2FcJ8IY43x6Ezl9DHnvbNtxww9lpu39wu0x4AYsGLn9BJdQz3ND1aaue89R3BdzV/YorZ7
UZu4AYfY2LNYiZ4HL5U7otecr17q5POln43sEttlHhSkkJGiMXUkypTFsEkTzzu0jlK7xjFSIpmE
sQWmYASxR1VMmeu/e6oav8dkiOwWYgm9sMHRtOW5se6teWyLmzmrn5JeZE/eJOc3wA1cVxXqtQtt
2HD2NDCVstT5I6d+Um/rGKgGTRw55EvunSLdqW5NMchLMYonAIzYPTTTag7sqnNug4ZJYWUOt0ap
/LNFWM6EKsvC2JAKrXQPvdanCC6xXQ1ofaw8D5d+FdWmyy6rjMHHgbJ2iFbtcfGhqkNQbpSHufcy
VuI+y0vD6jHvFAZFpzkug7HJGmRBrWA1PRlLeadpwEjtBosBGp2Lcow3WTRudIPHdErOUD0/Owgo
Hkpp7yPNExru2d6KjH3RmejKgsEfK/9jIXMk3SIuWm6XYWrv2t7wyg+/MqPlxqowv3hd/2Qje1on
mYnqEWy7j1bUoh9SRLCjrvBPIzcxgtaoJcCeaIn6oZ60EhZhOg/xobbcXD0ZxWghfYG8VqFqJhpb
uqeqtdGkYkmm/b7loOR9Lwca7cjJKgf8ZxzpFNrN2IU6K6YrIqvS/azbHhOfbQtb8r6a/D76mq2m
HDtd/IATDmGupVlbvZc4XiM7xx1T9jgjlCXycBoKslz0zs/eXS2atYNXDbo82hK8VkCSeA8450f8
UcRla11GYu6ey5lQsJz6jU+KPov4KJJOH4KqGae7ClXR1xnkQL43ook4JHduXDCxWsoWrBOE4m4h
5fAjlyJWTlAiUHk0Y0KRQrLfEe0jYkr3v2ItsYcBFiLeEtIj6dQZSfapX8lb15sNidC5bxKzO+fF
aOvU/gPQLHdy462eVM7ttOoO7VWBqOvFgPLI5j0OHRHNj8Uqb1Ss2BVqddXgPyn9kXAvpJCVbzXH
PPV57ic7WlFXq9+pZwrdCyPZV+7g7eUqrqxQWS4/9JZK2JKATUSYUV27Ozl2KDPJTHJ5qH4oNvtV
vNlljrGO0Pf2KuzkWUXjKSBXbVUsTW2nryJQt6DhdIx2EaE52tqqAa2ubtJjjBtc59o5zfBq/9CV
wpw4zyY60IKgy00+WfG+U90CCmXpCz0o4fZ9EN3yzh2lrtS/tO5upIUpLhgP3WKjf4rxWu9A++B4
seL23rKgOMCPL44FPuJb2XnarkDsfBoqPfpAmGffEZeyaV0nPnJ0RgfEqPpL7or0f9g7k+W4kWzb
/krZmyMNjh5m704iEC3JYLARRWoCoygRfd+4A1//FqjMSonKq6yydyfXrAbVpigwEID78XP2XjtA
Me49jRBBiZUOsWOmdqMu3Nmdryzb8FZRQxxpLaf0EzpDcbSbajxZRGn2WmmtVK+jOScakYNyyoBl
k07hfHb8NN3Qedx1NAg/zG7VHyZOmbsF87ljrGET+Cnk4iTSRroM4AddsjzSoFUGpjJzIdoYJkHr
rYlGhOvfKd+yV4bgFBzRjDrXUyTX47ykgiJd39Gt87Z1lwGaEdKKWRpn69E0m5a9EMbX84hJ94pc
IfF1HIxqa5NQtMlEKOhmNeZHTXE9+oEYTQSxOGlS15u27PNTpsvmYeA9vBravj3bqE4uPVeUHNrL
9JLeW7JrzHg8ZZVNypuRO/t8Hj81npVcTlYcf8Qey+wZgTl/SedQCdDbQn2K1JX4Ff3UkanWrxPe
/LOdugq3s9M+e265bjroc6aa+5u2s5ktW4XnHApk6je0iTgPpFn1WXZU/7WCEZBBfjrQC/gYtqWz
FmWhUzyAjdAYNm1oPbbeShfaoypDfWPR17iyk0S/MLVuqbTbiDka6eGBJWILg6DoP2gGpoJg6KIO
ajQhEr4mq1U3KgfuFx3rNRYp/PFlZJDLXdC6dlZ6BjloaWhIbzY9Xmo6uwHuNvvZUB41hRUj7HX1
lJWgbUGd8FY5U+zeQfnyIrY8kgyj+L5zpjr5z4DkX+K88h4u2RH/fX1/+ir/cfVVJS/V9wX+7z/2
z3P/knINNMX0Fw7/m5bkj3P/W0uA0hrOzre0zD+L/OWMzzTD98iNeTchYXiCFoM0bWKHwNwQG/Jv
HP/t98d/n1AIMlptixcPEq31bkDSpFYOpZs3scXpMT1blQWasbTcnn0yhtABZ0+2Mp0AdFZdoR0q
I8a8uYacWO4hnutA07rpS2uiGlxrem2vFbmy84ViF//atLkLm8x12rnZl30EN4Seci4nDugEL3gD
ESsD1vXuS+6W8CNBlNEIYewwp7F/rSdaT/VcUfmaNM16MB53ZgntZe1ImA1PII/zhMqYhDwgdnGl
l8URLYdcK89Ftcn6OJGBFs12puJLlGdN7d3FHK4XNgqGCLqUAvsScMm0rIvuvuNkJTac6M1c/5g0
bj8Pu7Jm0SsA3hRghRJQ8ih79eYlZsvcuk09nVmvSl7mSab8qDNp86e6ZA+7+s8B+185YPMmORx8
f/0CPjGse/f6LT/0x3xS/IaOwvDwIv2RH/tH2831f3PputHWcx1OBqTT/PP1sxBiLC+FzshaLPn0
f9pmLP3/B1tFu+B7hQZ4N6oOFzoNcfXIxpx3b58YqWV0PWLiAyI8YZwf2dcm2uTTTHEWfHdrzt90
H/8AWXSumFF2//V/lkbed2qQt2uBaSEvjZ6aQL3GP/9ODcKcEtuHJ8rDW4AhEEACT5grPEzcgcum
mf8ucmL5+95dD0qsQS7Uwij+KXKC8ZPh1p7O9Yolj1PqNQEH8K8EfTL6imUfws43lSfusZcb97/+
sO/nvm/xV4xcaFqg3lwWyR8+bKPpMDK7tjzMLXiEIi9YeXIxepeTmOGThLP/EBr6333kv7jFNneL
QhLBDQynRdP33S3uuz5tpecWh7YAJZ2BQ/1CxiqREf4C2Y/0fzfWA+mi4CHlcjy9yJfeK3xSXcNV
yhx5H2thdeEi2kDW09OG9UwCYcPRefr1bX0foEy5buumswzufW4uGXE/fsKpEyiEOM7sOdNzuByc
kECDeUaEt7BXSLCZEHqfvJzgZBezyG0z2uVDyYFAQqHK5pKjSefewu0yhlU72gN8nWU4KZSvHoHu
/M1TQCft/UPoorECdcsjqCNUWLru338jJTVtlEI53dsuQbH3WgGm6aKLcsT2UcWgC3+0kEeGYFOO
ILi3xT3v4HS7pIPuDT12nGPCxnB4O+hFZsdBDXQ4zxIKf8JaltAgBb4hPo66QeQpDklxKqBqFFBQ
liQjRFQc5bQ2weY5GQQp1rYSJ611CUMaXBJVa20izbmnmx4mPqXd3I6V/dkbTXBRbJtqhAbTGOlF
a9rQulklnCDxsD7vU33UPgJv8sPbpmXIBQYtbSj03W7SIgz3gGbEV55ShSdcJEB5rnrLH60bVU7y
stRj8n/wPqEDQNlB9tOyELRTwXuqRpJJNIk6yc+a1iO4tKmfhtQgJIfO0uFbtIcax/rJI4X0rONn
LNZ+A4lkQaQuWfKt/ey1hFR/S6IoxpC82rhXt1qjiXu7h0CezJS1tm8bJfGTvnpyqp493LEEbNO3
/NnBavmkjLrlqsg7skRIsw8fQB6Agx88SWLWwH18i6EIOb3fD2R/3s5e4z/IhkRoRyMKJIlItm84
QZrbCX+2R89dI32qg6B7++1ZjdOI/JXYTORwlWSKMiStUApwXsP7P411t+skCaFrDQZqzHwhTIpD
Busd+Kpj4O7f9JYRf4xHRiUevEsR9NlArV9MFs8J4nXrGbQ6MSdRzcvfFP6lT1vqoQYXjRa1THgy
UF7AMYuI4Gn1JcLbXAYpqApAao8O3GhoBF39hFmeIIyoQo+x/daD8MEzHYaYU9ZKAnW5TaTl5ysP
Ycv+7f5bqsdAMHgW50e6nFCM427dlL5+evszfYiDqyAvhnVjjvcan/UmdvsxkJHvb4em4wGOl9fD
Id6z3nddGoYXohtRn46dhPraKM+/JdJItOhSqKUG8B2A/U5943R4zz14oequhn69UEgrFY7bPNWn
hU7ED5RAZPSDFL1LiDpGTHJGug6S2m7Sh1QGTUT+xW1dl3a+iisbMGgZD314acz+9ETEnPwyThoo
UUm8TnKWk2ZIpG0LbhTi+rjrGDJL9MBQJzSP+BSIvsys7dHmPnf39YIvVYurMASVvfXNnAYzgFP5
hjr1UvNkQyheQ0/ah/6kLvqoUvdOMQAKIaqMr12bTpadOcTswFHtdIiqIIudFWAeAfIk7m9l3CAz
7FEXfeqtzAdibHaoAAB2qYvR1ca95VXwfgfdqKh4q/nktUP0pelYNpE30PhKYudU66VPUjL9t0tR
yiJa8ezS3yX+NaEonfsvfkLvK+i0IUoCHm7/aIVQVckOGTsECa4bPphl15cogKwPuPjpebTNcylc
UGa5blv7BhcL+mt3yTxu33LxpgzuY0ycO0x28HG3bHM8ywbpycne0UJ26Xlh5nZwMWzUF/S+4iFd
udGSLmKPo7pF5RE+QBoRp9oS9dOENTyHKiafVeVFD6ntsGACHb5PCRv/mGLxm9dvSeihDheXPHhi
qWpfpzfuh2XANlrdOzZZ1QnIiI6PAQTdLDz7aOez7n+cu1p8KlpNmw9zbA3ewSza2YQsXXcKFrXA
PuIYponOerSha5eM4f06vJRaHZ3bLo0Pkeffu3HcPOR9+zwValn9E/FAF2cI0oH7hJGUdd6GUn/E
A2V8Au4NuRrrm35V+9K9MxhAcLoZ5cE2B0BWpmzg58XCRRtatd7Wp3d/rQZDDdvZMh6K2KuDSnVg
SMYiliC4UEqsCBVHBl+YYXkqXc36nAuTP1+zY7Uf7Ng3ws++JxOiy5o6rLYzXET6gFE2MCToMu0S
xebArSsw5c9oQh4n18NpaZXeNfgWHSZmTyKngFOF6SbsnirlUYvUPWx+U8JAy8TI19r4RH0nGLBY
LCx6kSdUVBNC4dQ7aWpiWyjgqLwRhr/Ac/TRBNssb5kzs1kgvlC3XaR7C21keZQQxDAfiStx4hDL
WkpznjU9xW71MBr8Nk4f+5ed5KsB+OGzDhakaNDXWGJDGTjwf8TZEuarTKISnLxOyEA2Mtb7dmz3
UzyyDo5kHwPqQkd96dc5aRtexZVTNhNs0K6nzsTG8y7ZEpC9O7GPVy0XpmVtPc8IXQZivFkm6ScS
yeMS1xVB89HJXOxl6RGFVUvrUg4Dor7cpjnf9lr3pTQzdg5htjwRxtzYz6h71blLbNbp4i3OaGoq
onsQiblUDIisnd23X0uUS95SE6dUEqG2BHq5GNsumpy8uXEa1LkfqX0Lj9BbMROAcEQN5ZAbPUzg
MK8EaD9zrbd+9STBfsbXhr0k2yVFzWeV45IsVSJZcW+tps47dgunB0G6yuNoUR9JTx9ddx0pixzY
rEuB8TX2dEdGnv3kkAAApKrFhyzrViGPy2mvsWWI6F5yRobUpZPFbdGK6hADu+IurzQ48UOsvfZt
4+/iQfpqxe9MlZNoZNwbCnMehgr6COvG72lmtySqAtZXpCm1roWIIFLJckdRHIAYsye29aH2QLwW
LUvVXbh8o9C++ZqGJXgt7/gaNdFwauiNWQcWbUPcSDa5hyr9QWgTWG7uE6XlnWMm2nBHpzt3AF3J
OIq9W4ICfIetqvZnE6Vz1EzJdspA/IgPqUe1HO2U7O2VK2x1S7a9vUl0CwobfNwk6CXIFOlMxq5A
UiVXrkHAZ2a18Ym8lXFNcte04V90/SxymPN0rq/4+pvbymNlycaYRqHmJ0etx2I7djFbz+QVe8aG
Ats5cKh8gJide40T0FZG7OAyIpq6kFageRN5LOlE0Q1bJvlkm82iACOgmkM1Mo+k0yduS0LtARSz
SNAtpj1LRBxQbafIXskOs7feWIXY4ytGQX0zVgFvIOMWq3wtoQuAVb32lSUPPNcUBkOjX/t9rV+j
TRuDUS/WTjcVezXYzYbaOLxTzoCjk02UAVMMctayri29t66UMZQ3fNvsy0D0j+x8xc4iBHJF0Fe/
9gpnE/n51ZCBYmeIPF3rUx19qDVneGorwzxVY5FWa5JYKCBVs8tRxgfOeDYLcUvlV25wDOuvNlGS
R/ObNLDAhovXsXRhJnt7ppZf7cbhC7EGXuGtbZuS2cig5xWFtjYSo8YO3JHRMy4rSKyzQrBfsRr2
iPeHxtAOjjk19VWXLVOfIma1SZyWJ3IeF1xOqBjTnqdMpugfKbuDXx+jllPHD0djj3MUkAwaC+j+
jPfHfsZ1qc+OV+9r+63oHxWzRnI61O2vr/PT6Qe5EWkm9DI49lsc3H48/RDF1w9p1df7HCcllnuE
CPcNbu8cza9YGC/L0eVtOfz1dX86+nPdRcPtEMFoWZwUf7wuR/LcJN2h3qs0d557DXxy0alcMX6J
Wb+qopxuHSdmLW7Gpcr99dXp27y/u3CiOBXzgvNLICH/4cyHcZvuiXCqPRxJJnOz1xr33rLqkrzA
at9HNf+u1y3HkqXyNiwssqu3X+F/mlxzlby0VVe99v93+Ztf4OKB6Ir7t37un//rfxPfZun0fPdt
/USav87y57gqnn/o2H37od87dr5FABqaNzRyAmUapJs/hXL60kt3HN4d463zzT/6XShnLg3zpZf2
OxTnD0WM+RsdEpg0mK2M5ef+vWa5TSPx+0dL4O9cGDskbvHmLg7QHx+tdsy8UjmiOVq9pgIT4GaP
CnfLruARb1PGzIt9zEKrnvY2jeyWuMEPcW9DT0fqQyGktLaeOXoVfhLutEEz2/thavILUlCS9Nw7
ZfuJBd19smenPMYiAlQuUyPwl8Kh0ZOkOJKNkm2dzB+DfkzJ/6gbDVNVXFdXlBM16YWTAC6GTD2a
YwMa8Chb/2mkJPH2ng7OizVuch5HqQbvPCHMCVz0f5fpojremG/+bD+qveR5XGzbw5uDuyLzJ2Iy
CC3nsgeo0kdbLS90wg05WsUKTE7imfKUx7yR7pb8oLk+oXnl48aqa11EsxOJhPu+c8yWzb5qdK1A
eW7ZHhm0RgjyLeDcXIQnz8CuLVdhzv1sVsnEcB4MsO3rMhjGkdwNQcSm/iJl3sl5k8WJLQG3oxSg
iV+mFbt3MQCUhFMzlLRCsLtrxVr1vsXqH3tzY4nATmtrXmfOGIHEZI5nxC4ygBQ/ZfplDgnnsbN1
X5CPhnWgSix2fmuMdkamwvaEe0E76BBHz8yLQ2RGmrmC8s8m3MUl42Bt3EUYx+4ydjkkxh308JHT
241gML91/Hp6dus028h8yNdTNsXI9jsO9ByWL1vMKbuqswpgmoiZsnJsCGoqK5qWYz4cvFFhawcD
WhRlFZhOHF3bhg8kOM5V4FgRMVu9bZK3REITROjwpi1k8TEstR58TIi5dGZLvM5T5wNYuujGjJru
DIDOvcnrbHzCpaYCZvgAROtY3Sx60O00VskDlojwnBvV9JHyd0n7GKBgh64RBqDg3JPvZ+FDjPpj
r2JHu9YUuPMVu4u/Hd3WvAwJtdppqZbMgXDbbHpAgkW9FebOh8YR5V03gbpegWWL1Nqmd6XWSdG6
al1N83woWzRWKx8cKEjcsj9IBdRM5ln0QIvEvPBndynIa1veW77A8efV9L+CIWvzV4bXDp0Udwa+
E1VE9mVGRVofM7gz6b2IqqSNORetTDpY5soylXspKE6iFQeRnKz2dhivhygyLmASVHu2N5obKbhm
xOpdexPnTvnQQmZDb+nWn8kI+igaqDf0P7wj33SxwUhhraeuhgE15eqG1Kf4CNOxvY9wQjwO5lyA
DkXu+ZJWrX6hzaWbcr4z3aPMlb+10vrr6DfhnsZvs4nR3vINuumdn3nDo+6k+ccpm5OPpuwTe203
XvaxYUgHcJE3zNH6dkdTxtj4ruy3Se1cyAoSHvagfJeiKrsu/dI+SgWZkVikLK3BcfoacJMkA7PL
1G1FZmJyLsnpPaJoUu0aIgNqE0GrKoa4la8SysYAtPa0qeQAZyTETMF96Veumy9gb31d253ETOWX
gTnZxoNFPXjda+2HZG7v0lpzvyi7grOi+yNRS7Y0XRs76ZzeY6u0Lgq6YJeUl8D30y4M3CQ6+Fbn
Xk0SZW1VDd0dVuk8sFu9enEGRBy1nKuzGfrzZ3TIbbMSGB3BDMn6Ikoj60MUwyd3GmT0K1kgT5xn
P7oiInt46oEDllWOPTNj1j9nQhARq7AZJHX03BEx/jWHCb7uxubSGMhasB2pgngczEcjDpO9qbmI
OpSU06Wh6LpbsAxh2PaGxhtnxdgaG6Vt20poNDR0r7rJ0m4hePfC37z1LscuIfGMBA4OuzE0FLU3
lh5pJS3SbLNImndjT0p1JskQXA3JwDmQoD9/E4YxOjot9C6rsbSfB7utLnwHTwmMDsE6N+iYYyNC
TwApejHhCdLSr1xfiPtJaN3JJS9pWkUDcCBh2kAuuyQ+4B9D8FhPwrvUIHecAIJg1ZF2te519QJb
urwVnIYOkRZ2a/5SvG8pmXg2ZyvSgix1qfWL/4jpw4tVtfZrpVlfYLQZl8Idu349NQWWXD/dNG1K
I6rQsiupYu8KEWR2GevQXlbp/BLTS1s1SwFvKfWh0ts7yCD62hNtvC7DJRsbL9U2EcLe6ei5bhrR
VhvNQay5tnBr7SMN9HY2RpArkzBoy1YwxbWtXRrZ+pb3/SWdS++2MTgLxVCL7yMaIyQWtvVRplmx
aSm/8yu7Ethdu3K8qko92kN1Q6XhFEQwMFEj0bvKSNHTfXlOpqr90qgOZqWBmI6yx/IeIie0jvyG
U2DIuiSHr+aMnWd2cS5CDQy2MVUHUfbGWu90FQAiTS61NnJXTllWu35QQ2ANqn8y2pZWgleVq9HN
PvWd+Jw2wM9ntsdLIheiYeV0Mj5bXoMIpKvg0hWxAfFAda/ChM4wiGm4S3Ui/EYLBkEVedmWpqPH
qVIL75JRdCdHd/ud9NGkTl3SXo9RaopNOvtLYohREFLQxtpBDhfgtOK1XZKroVv5J3hkwxb3VfaF
CBaxAavP9+p5n2Iv/9pmSXegveuudTfLgsbmv4W2668mplb7Men1g57mBK4ncDfpBInLmSjjFz/1
IB7lsbbDX6fhiArzm7TPzSMml2SLg7wh+oUotKEhSRNx70KGo/JCTWPvMiMeLxLywXmPFEjAXmha
oE/YuXCMjxvT7cqX3pYJ6R35fTJE8Mun2NnL0aQTYl/NFq3tkjMrZwHf2FbCfmn0+maAbLcqk7eA
OkLWW10jMkh7FAn8uzh2ErgLMxVGrjubTK9Obt3euDr9qK4BwVMMK73IZID07tbTeux5eL23ePAJ
NWA8tXKS0gBcRsMb1R/y/fzKLDTt1u9I9sudAa7FlEbBbBY3uKzOnBbiLTrrZDWD8F47+YTddEDo
lmT5jkZsFfRzXRJxWHkwPQexK0eTLovmmtdarwB2+pp7z4wi2QMjrdBsiK9N6ODjm1JYGwWMMyOp
bTayDD50aQ430hD+S1JMDY0xHj8I23sHhMCNowFjJvk7XlrDgIT8ejgohK37tIxQGyazdyz66SZP
7E8gAz/85yz1L6kfLPvX6odr4I9V+eNJ6u1H/pAeCec35sLALg3fNRfIzZ8nKcP6DekBx3TivHAc
fa99cH4zmF4tLoJ/+rZ/P01ZAvgN5FEcCY7lWihm/x3pEVL5H09TzBmWFoht2Do6RLK73qkfsm7A
9zL4yTnNfGI2IM8u5NAWqsu1H9YWOm2nabtdletlu0UwK3ybgjtx1lk4VlKdGhQ79crNGETT6SZ3
9JaVaCEd2Ax+Mn3tZLDy67HM9tEMe//c543+pdBrbHPMScvEW7ci9ljBB1Ehsa7InPTGXeVb2Dnj
Jj0WaSleTTra1YrX2/usLb0KYDLR0c2sZlVVESbD3s1vbU+GO7S7c2BC9QRGllRwLE1nGDjgtKww
c163hLCblvbB1bXPHlQMGsco7THluicnHpMD8PT0koSs5ODykn2S6WBsLFYmZ4UiMb5tXS+Lg65S
05l07tAPgIsV7cas+cQrb5h7b9M1eR0wQYHSwRkRZxERhJF0PifIpT50oxOnJ9tQWtAltXudsKLL
1YRzKCEVdcmDZhrCVMwn+XnV6X0y3bl2zwSJb2J6DCeWA42abaCBGUZ3rkXNRTAqQfXriV//kDhh
fDFLpR7x8bJFO5YiJRUB/MZH9YW3VKSEorg9RxdSpcz649RSXUZRQ9PZc3F5aV2pM7GzPfJmi3D2
sGpJdyB4ZOEfpnOCNcxVcTcHqd117RvX+ann7Oyc+SQGOR7ZWKjAz2MVgBADPq5TEhUkr726bc5k
I0qyfZdYw1ZGphPYi0d2qGL3ppktZj9lnEWBMfXUaU7RHqeKgBpyFsWNZvtyU44F3XvLBaDetrbz
RUJFC3BUDSe6BBCr46kqYqRmk++JbVNq9aUV6el0pZeD7tZHgzG2V7P8lp3nbbgRFikkY1zWZytr
aBnMMKOtlW4mEyAlEiwcYoUJ+rrEElyKZBWX9CFAegjyLoJi5u7doCtdgjHE6N4xCkhk4JJ8Wz8w
JHEbKKLdAnehKGSyRy9mbSq1mGgNHCLsR2HLYKWO4i9F4041WeUucv/cmyCfjVjXunXoKUpAjRyq
Ean4hROW8tkoUO6T1SUHjjek/h5UBG933S3htAyxHD0mEY2T4h61IcEnvaAYXcs50vq93hbulhzj
5JwoxDcUXyOO46oNC95sTDQhQ+8JfDpUFeZrdViP4+U8J0MTGCRcrKuYbzOox2JcAHZaO69SzizR
mdlygoWXTcy9UnNB+6Gz9V2bEfoVR2Y08cRZyKJTl+I819zkpFVVPsIvCXNOOfir2qDIPfloJB21
Fxjc6GjpHUPMHjaUP2gv5K2UvFOaU0GqscmtPGEA7OYt3Kmi30YDpiLC6nVr5U0D7kCqs2pHInBb
kta1zLGWdLN+z0o03VmNr6qDYTv0lxP88c4u12ODZOk0NA9mVbevkjGtPTD/MBO7m+/GzMAwILNY
4NgOJxV4tSYuzK7Tr+YwNW6sUvI+kmeVFps0YjWzMYMQYdeku1mZ3pFIH3DFntSUulQCg6ZrduUc
cKVs53lht8lFtOjg+a6qbcTpKzBIKL7R6kkft+YQ5wHac+MCI7K/Mb1U8zdagssRtqkS9/VsJYFu
5gbfc2ZF6ee2cdNnjP3aB0LAxydq27HdtJVl8a5BIMJMjlK8EJxOD/ikrHVuMmraOJwj2gv+gEVk
hVZzyrENB0n6yvFmutJWp9lILyfUc7WOhSsnvkRxAlgbnaND3XVasnTLsR73BGOZ1SbsCwkns7IL
zBmkuQ7eyivh/goydx8Ay3y0eIR7ohAUzV+/1I2940n3xiFlL4j6cCISJ24OLtxbHYQDwbe5ZkN7
rpRUt2XYWae8MFAr0aEoxJVsq+pq7mfStbymMh+bXj1GEAx9pjAJAzFMqbmHiEDvmeSNqRquAA6B
6p1Ed8vcAxcQqbcquhGKcR7qG4usu2lfmG7v2gQja2EUHhsQz97J8jKx/U899S/VUy7y61/1pm/j
6svXfxy6/Ln88kNV9e0H/1SUiqX7jFMaqJbn61Q1vwu6XcSmyKV0Kq53GHaYX/iTket5YpGAG+hA
/6yphGXrlC5viJx/Q8pt6ku99G6shNbGMvkd+L3M9/LDhqFhW5C5steobnhn4oq2EWetDWKHAheD
/SiLcbwCEJug+Kof88heGpruyaiGnOYpVpCgpgnJKaMoz/mgPzBpJScMi2O6rXgcA5zP5D0IN2ei
qbnbdIIk43XuqQZHsDKUOKdMgZ99s7gC8XRlanIX9nUY9K0NQVyiFMlHXkxa3K+DPiSngvu4btya
sXtZNStdI0dB2QZSAH2+qHz97EBNxZ8ln5f3EPxTu5kswF0M9F+7PM0CqH7Txq28k2uqnUxc6HhR
+epn5RWcmttQ2aA+E0IfjQwr4Xy2UuJWI/4UjYgVlc/zVPdVUDXzi81ZLR/FS+U6j83UbTlU5uwu
sfkROsqe1E4HASt6sqoDoVuSKQdf+RGrzLOrz2KrE82ot9nVcgf6AoEbkPnXtC61dRf16dbMCXgx
C9BXQ+RyhpLjfWTK22WUsPYMrERt7r+w2/s7/CP7KJouMFVSF+SI9DTZcWN0fW3ZydGIB4OAQBRJ
NIFkbT3GZnaMVP7cNikACxuXlEnZ41jdxuIDSSt5JTLsbLEBbiezJx2sBgtvLZAZQsUVkVOr0qC3
Z1TcKCNuGXza4GcZrsWbJFvykrSR1NWaVIxIW+5lXDzTXZAo9ZHW9xKZwHKtGkDjRmvms+z0c2/I
3bAYbLxoyV3RL2q30tZjFr+ayPU3tkiuskxd4Imz915FeZsmfEIA6A9z2HOS7508SHwSXUm1RZ6Y
eGkQQ1S5bO30SGv4obUwzMa2ui90O1BTKdclyNwgrJLnEiXehiDIF6+aL0YjSsiNahPwZu5jovTP
XmNe+zIh8luK7QTAf7aHdg/R7h5Jxz5JSKcCy7MnpgACJWGt66wfyTga5gunmuKNJN1uDRbURAnI
k4CziBa9UZirutMfyki8+DRl8fGBEu+j/Ejv675ph3tL5a8F1eBaR+UYDIW6N0MRr7Kkr+kIVRC+
HS1eCzSa67f7LkqHzrr1SLp7unUsGyiR5dIF4OcWNHCs8ApJ03lM3HbidM7jqAnIRTQeP6UhiVhu
Gk8BjZ7xxnR47HIVhXTgaINOcLL31Hzjsans8dAVjndQowY7GfEroUJ1Afy5nrZoQ8cj559ubWi5
+dKL7tM0ts6l8LIaPYOqksYKWiYCaeDDEArcbJbPoVsBqGeekqN8sZryISvDh0IxCQlmqEDJqqBD
iEDsBGv7E53ocY06bMPcYAKOngR1P7UbOokxggeGygATVBsdvaoHCOE2p1yLz2VlVRvqpIdKo0fX
DTbtrcF+Rs9KnmWJnLik2N/kTrPyXNhT9ew724ImB2V9FZ5FT+44M58GDZ3xUokKIWhTULpj/3aU
IbamS0XFb7Go7ngMGwZNgWI0jNrBHXbK4KGbMvfR1RwI3I08hGP7qsn2wnKy43ebzvnbev1LnT7D
a4w/Dvb7ZWL5fnydQO1DBkmOnMUhdmUOTb+U5KfEbij+hPNtUs04Ofpa/cXVfnIgcDWfDc3E+gMf
7b0UAXXLUDoTZh7CGKugFGQz5ma8cmgk/s2VfhYFLONcGoOGDusEeQC713fieOm6ykyh/OyNPnv2
Q1bDZTlOhZzWJEx2tEblpH+rdf7bT/ezFIBrLvY5c0HA8Z8/XjMySz/2Onz1E1FLG7sb79HA5WuM
2nup2fl6+bx5Pl+0Havbr79G8yd6AoxgBNa4+dAQIUB/NytGZCDndPLKfVe0BGTRZMc7Cg6M5eKC
GjDb6756kR0heJkcx2M6kuLd4q1etfH0shByo3K+GCLEJ7Np732/QOoGXJq8JPL4WL6ZeRNlzEG1
qdIrPNHbwh5vVRE96HYMeF9Zp4HewJqYC39H6kr9FNGJXSN2mIJff9K/eIRA7sPCwK2j28b7No6R
Jz7CTqvcxwYBkBWSHn8+g5dr/uaO2n91Ry1YFIhnPFpH76fvvhQ0TvB27pEWWYdOqfNEW3aj5yzC
JSeWoPOyqz4SxU0+Tme314ubOGIPtebotRlZl5dSBRIUlmNDXURaF658SAea75zMdtyRgNIj+EyQ
WkfkGTfKoKq3jWlXREa9iIaTi0Fvu9syUw8KXdZ2MBLr2CdesZFODxO0TF7xazqrMsv5FpVX7ZSW
vobV/OAh55r7js27NvfxZO/juCTAlnBfTr/qInO1HHv1fMYjbq7gXootku1PrQ21yhXUWL/+wpan
/sc6EQ7GwrcWmIEMOm8/vhUzzd3G0sxyP0vxVk4oVjYm14AFpbn/9bWosH+6lq2zT6EIclH0L//8
u7e+NaaEDPSp3NvZeGt1ybGAcfc3l/iLlcV1cHmg/hDGz6YUpNBZn+s6hkR/rGEHEjAHPuxlWemT
2ZzwhAP5M6y9rxknGfqEu5f5kXH1xy5NP3uIHlZAccjQzFNzP6b/j70zW47byLr1q5w493AkZuDi
3BRq5jyIFHWDoEgJQ2JIAInx6f8PtN3Hkt129H/d3RFthzqoKlYhM3fuvda3OMTTkN1JzeUV7LTv
izfa2I7pHxW2R/sBqRlTtqW7LDJvNwTqU6D5Y68LkpMzZ3OEsnHcoMrC2Rs2am+1FoGXYWMd+glG
hLCy7y6zV6JE5NUwybN0aVaA26NANUeqX1NFFZrriMvjfV1Z6c6xl18RXv92V3T+YsXyXYQOvHJf
OI5r/filVJbSIC/K6mhCAtkMoIyiTIONtQzJ75zyCWSUW9tiDq5LF0ll3LVks5nlDc2Rp4C2FIO3
ilZavIzceEEi9an4PObK3gYCmK8cvOu49z2i51zyvq2cgS07kQKUtvXz+UlY49vSiU3mZw+TTXVI
qE8WtcZECpF4minEiGxL1cEuCGpQ433iev0mRxGwcRQbX+cNQBsMSMBlXIQHy12eQtUOv5ou/+2H
9BeLhDNj/Y8J0dn64LP/4cHFMI/IdxxAsgTVlhJn2vgjb8fB6xCr5B++EfKZ/7xOAk5htjX8SsGf
1mTj2LMN04O4RRiLO9PriISM83PMSRUC9YiwrdJGnrkgDRbbVJ5TASbFlScpAImS9DZ1FaJ9LYeG
jisYXQTdmhl/QEKbecn45qYISRRJw9V0UtX21lbdW5kv91MxX5T+ehjzmCW2fI3HtUqFyQjE5qrp
qy3hHlZEubqDohfsNV/px/WSvqm9RYFD9s8qtmcEHOVqHPYq7jWJeDo9TWixPy5BcUWe8gjz9Fz1
42OmuUgGEgD60nDVc5fxsdWJgPQewsUZHi1p3jZGhvCTas2kn5dVErAQ/2KU/AmmNh5I1Q9702m7
3bqMusmFMjw+ejRyEBZLg/WEr6ZoqJYAKV7hVAu2DOq6XWu4n5ucFGjch81l6E5v2AO3Y88HnBfZ
VWZzZwknSnGncD7n6XA/4ryDQOkS9kWPesjPC9BsRhQsYHjtZy7F4Jk5WbJk4MFkdXijvipM90va
jdVZmu710OENsNo5Wi9GqFgIMWmY2QdU9iARP1vot//hPPb+YnlT6wDfRYHJE/VzFFuBdr+xHLc8
dv78VnXDfSc49wauWaQm0+uj/vq4atcaiKYOqfQ+1nyV6j1gnHHT5PwYWmTiRipQLjLcBkNr+8jb
CXS3rKDahVM/HwuzM7igyXIlqGW7piqSt8YowivVAklacIbsGBmGl8gsqPJ9+9oy2GNyPT8NNuWW
aG0VITfpoykhqb0IqKwTLoach6ld84UklNl+3j/qgR20tfQ9QVI6Aht6NfT9veMi560Lb9plrbS3
zbhc4Kt4zGOYiqVpLPTB5zevW9S+Vfre53ZwlJl3PXCIcMnsH208d2s1r/3fz9f/qj8fZ/Xt//3f
1/cyq37P2vhjo8w2uUH84ez+k/rzoe51+n+2r7LWPyhAf/vB3xWgjC0dGmUuBfTqy17rvH8hExxQ
iQ4O298TEP+lAMWzHTqYSgKKbqpDn0Xxe4vN+gXzM5cpXLnIrU1csv9Bm836SN74Q/mEj9QkGV2Y
lLvcyCntfzw9Q9Gxe8SNceE45nDHhBWXEoEyp7JY5M5XBIEJFN73duENh6B2lp05zOEpMAOcMbIe
HwmaKmnm0902Gx3wVAoShuOctNGqNvPI96qU0KTkPqFWdOhB0Ohvabg51dPYy9vRIo2caCxEGggg
ALDlxAV3695ZVsWmcyTd8cYprAddwVFUylrjx5Ly2hmH7pFxY7rpfFCs8EWKd2EwzwvsT1xHvtsK
zSWI67s5BIaY194atEqoFdnQfXlPYkZ/rlXQXMw+itfN1JTygNog2+ZFNV3OgKdPZUL4Vp4v+uy0
cbjXXW9HUFYWDwuPENetZ1jTZnQIWRymSZXM8wC/EHJRzccFe8dOKCdGPta4l6INjsxJ7pUw/Y3N
LnVVSvOiiqeS0wg9XhLQoJcpXLSmCeK9xloe8cDUOwLxMEslkg4i0lG0a4SqVrq8WLDi7X3X8Jnp
IoiLSVbc9I6v9pNFOtpxqqDxofuZkp0slofGrZrtOKdPIarBT7QtvdPk+MNLZdYEhHVNiMrEruNr
1c6W2AHeyVqwLkZqiouhiu3lAXq2hBWRjXVgvMligpoDCLM3ln3vdTnjvarulki4tUNosqPReqIR
nu/x7wYkf4VAc0eaVRMYM2jFh9LqMCP7LmFjZVVx1pikyE5lpcFoaqEZ4hplqkly7+yB1lPmXgLV
AjZrEm+wM+RCF0EPYYlHCtDYtTEzfjU4SydAeAdGQkvbXtWcfkYKsLhenQsb/qLODyM1TNVSneHS
aa99qa3YvW8XNWaScXidGaCbWg2dc7yLCYA4VE0d+AmsrgX35B7vgeiXg7OoVqNvma3Z+zSKvhMP
xjAzQt8ZYV6UYD2Tsp+sPfyeANY/trLaFdPVmFWzavYNV/c+MgthPkPZnu5GJGEltOKqQUOUmThI
YGIy8DWxUURG39GWAytmPKXSzSQzLR/hGb6Y6QoaNGLBKmze3SVpmIShO76vkB0pLGNuA3VJqvQp
JmGhvDby2TKjklkY0LPRw7pqQGeOgGzRITJ1VZ3n3EyPdVUYO/SkdkLwYk8iVpwC8kQBRVBVVoRo
GxvP/tKkjrUtkjK5afAL3XgECO70oDj4UqTBB94AIz3RuVAQG0HgTLEcs5nJsAe74Imp5EQKRmNi
GkQY1AFmCk1Y5ADyTmngxRgmfYMKqtM+02dNJAfAd71AKqp8vvKFIGFuK3remENq7VLR6XsCG6rb
JlDJwW8ceGiDexPmQ/IYFxy7xIZa7qYxkuVXbMB/D8R/OhA52DiH/j3A5PHb9Nr9cIT++hO/n4T2
L9DUoZiZofc7BuhfJyEcUHula0AAXtMNOCR/90JwfjKasnzLYxiFuYID6rej0HJ/CdYzFTPQBweE
4dV/cBSiMFhvin84C7mruA5DMGTwjMxXgPCPZyFDX2NoathZI0KX58Fw/A2gv7dgsgqiwg0UzIaJ
7YFL/70/BlcdRu3P3pA3D6o2Hhq6Kece/Qg5wD6ctLo3TnNse/FhqPP0FnCh8YpnCfWNV4sG43RM
Zx7GY9LdVr472+DaMglc0KgK0z8tZhtY14wKRP2pKxoLdzKbX20flCRW5QqFuPAh/zALnqYNBgpd
kpgZk1ywX5ZE+JAoxrZtPhVBpVGO+1VZmOc0nDyLLn8c6p2fCqfbp4VjqbN2QHUxuK0kYT6bCfwp
Ow/XKfPs1zOi5znpECUt9JkR1jjxRFiC5c/uqc/Y3mBm0hTJH4EMGoyUTR9S7xane/2aV3Hwnng5
JEdQ+1MHkByu0cCUqFvBeNwecrXVvIXuQCqYdREIeyGi1guB7uUmpo+RAXK3H0QOpnWp6T5ugzo/
lgndv6nKNNbQytbH3JiC3SgC92UeXAQMdpIesy57SIpC8WX1+VVjVfUxt8anvMaYkGNC2ZhlmByp
O1LCesokfc6mDKjgjHIJz+1V7bQXKf6A5y4pqwhFOFa+Ca1PNYSw3xPvTU/xiD14fFkQ8ERWEzIA
sE/JJJ+mQRO+Gpr5mcC1r0lWo2qKZf8AHwoSFTE7ByigT7SrSE/01XjAeY/LxKoO+HTIpc2evML6
XpMwfLF0NY0BmVwDhiSYq9cvddmdy6GujiT/KuTk9hatiLXpZqTxiupi3zK1ShNSCqQln5QwMlKN
jHony+EbWk2PyIElvh1DjBjIGgxQnWv/wY63cu7lwRkcczMtQD5zNEUDJvgoQYMdUWqll2SztleB
Hq0d5GlxwmaT7atpcTcYFmHWrnoyVN3DoUR185VsVRT37TzvVOMaVH6zg6Ml+RbbcX3jGvrB1dn0
gPCmOFDrAI7LVHasJBaJPgNjbdcznETCHPaacvTEvpDu29YK9+SJOpGbGuFh8MZvtSvLk04ZeWLi
wMKd9FkVxVP2tUZZi6+aRMkkQQIcChLp69omAbPSc+QuBkZ4MRQ7FOTZJrCmR9OtxKYt5JNRxKeF
8AdYi9zNXW08u3MsNrac8nPaMPU1GA5+t5Gpf+kXn5qE1oWE9gmGo/FW+66Ql+Ug+wsPZzjkizZo
sFUtBnNLj1b4gL/R3dR+IBIEQsMyR1j1jSMJkv09mczY8AtHcloKq6zWDKnsWjFV2XN9DHZr2ndH
8dDnUPFgBGphLskhy2uLNgQZRxETUV6NBwuPBV2Pt75oMFvHw3DL+MVEvsFjkYQDeqZgmub3RrGp
7hLfmc+9zirGGIThIoDn0ZrWYAIxReCVoIpit9XfzaYZs01CrMHem/o+/c75HbLWRlApG0c0arym
DdS9dLA5B6pKh4wBcyjFRVqFJaNsBGNpY1gHMBH8ZpKb8JwTA53W7BITTZdaJAh5bQR5NoHQSJgb
e4cNAq95AqfCCpbPk+mET36mpusiN15ZUs/WkgnoG5Lc60afyXh1rnNhyS2ZCTnBEtl73AXtNrNU
9lS2OUp8T7nZFb2LAZ9Ov9hbWoD0Zsr4E44KiSI4tMNL5RT12Qwxwfn2cDngn7hHoWA84Pz1Xy3c
8Vx6Qny1ZUhwTp+kLGPML9YurqtpPxezuPJQF+50rDuEOFoj5EprRntZtcdxPoNFZtUy5vDuCF+x
93GDYdwgghh//nCL5yyj5OuOo4miimRpJMpNsAQbJi3V3WjPL8S5ukzSyvCNxtqdD0Zx3HTSHo52
oD978yqEFtTblj2cUEMFONGIQ0TApjSNe5AIuaGNi7l3032wSq8rAScLSEu2gVW3KrhN9oNgvs5Q
xd8shhiu5owE8mruYUNUaLCnjip18K0PWExyYJQ9bcRoQaPJiVJXZnuA10Pv2dZXmLHXu9o8M4AP
eRIBepxQWLkbb0Q8Cqfovg8WayODWu7qVbfO7xYyv54OxtyEJ8gdcVSbExhsLyzf5lUDL1Yzdr/q
4gF7Ntv8QyzPoKx7xG8Ybu2AzhqXxXDb6eYUGiH+QEN9nxr/EyiSercwHtmLTmURFGU4OA5XrLSa
0n3PHPtsyOZ9TaEoSPnFLFVALxpJxi4sv7qhWS9wxvDFVmLO9+Oq/19WJ4CxegIaRQQZWbDkzCSA
ClCrzbCrc9gWpWS/a7wvy+otqFaXQSr1F6uW8sJVcbwxZy65sT3OtOdz85JnAEjPalIYpfzee0W4
n9TyBYcvV4kPOwPCvfiK0DISmQk74tMLk69Q/MdIAP64jaUVR+nqiBidYOBwJ9QSedkLZoDvKmy+
OTor9oVLwTBMznPZ9mlUyg5oSMBftbR4/xSOje9t79D97BCkENnExXa1Z9Rukd+FVq1O4sO4IRGC
jPg5+jIG3z+wutilhudgrjkwtP2QZUSwDAkFfz6hNum9rPhqrWaRcrWN9E7p7fPBnyNE/dWeTmN5
Sc963Ol5caLBnr92aTzTG/b8zRjyHsZUyp0Im+AJSM1yK8ne4wMFHQ3Byu8nMk+k4u0PWuYvLHup
r1b+xWPju/ysLbjP9PHJK6YxoqOXoDgtxltXx/mLn3sPGL9HAliTa8eqyQ4mKY9w6jRXTFhjPmgS
np1PoStBMbqIWWe0yc4SexZMVj/hmx5IM1hWU1DmDaEJ2Mh6d6upcrcz3/PGUmZ9M5gL0tFl8o/+
5AZfRtmJlx4zUq5ifbMI28h3AwE4x1xpG3aBN4DPyCdySIWiYeKmpKVbA70OGp48EaK8b4LQvWfA
3ImIXdOgxLCUFblOV3zvWjuAwdvlCd8pc+uaKPjWOyhluiyZitHekQCKpY8wYXlb9IQPCGL6iLv3
JWkf+ecONtvXKmnOxZjGCJTrNImaxH4vvM59qGDbveGfw4m6IMOXGyPrp5P6MKtlMs3JLXTn6U2s
tjb1YXBbrW4xm+cVHIniEFbeLWbgi7hGHAigwaqnI93NnMfZG/z3OPFBNVmdD8XBzZ7JundIvc/c
LQ7QYudy1WfsopZii0iz3NXaru9b2yGMglDr7nqSVkAjNq7xZWrV4zxpA13SnumwCq6mwcRs833s
YyZcIdc7xftimuYZhxwAc3lgRJI9s5vJZ464/nNB6tADBPz4KHI/Owl3pOKNG+/cVANa94yBq9zM
KMOeEitj9j8YM2TwJW3PTOZYEKkY5U5xeT5D8R6itJxMuZmcSoGGSIgbEvgvNQrdZxEs/bvLtOEY
dHV4Uee5vnGStP1U224rWX81yZM2eA1ZuvhEqa4YEbUakA3Xh27EickOG3FP6sPtEiqbwVKh5mGX
5ayHC9qLJZT51ag6xsHifU7kamIdgomTNeidkIXYYnUlSomGkSMdD7a0TF8Gf/RAhfv9Q7FU0MBw
BRtXdMeyFwD61Z58gXIVcE/FCUsrdJ4gT4KN40jCv7vVryuIm78DW0o/qmR7Rcr3MJbUxl3V9F+r
1flrpD6aIL0kF+2HN/jDJqzLoXykgc+UUfjWYVz9xPnqLJ5LaOp10hSRMpaCaLlWuftxdSRDHWrb
rbvQBctp4O+G3CQjq1qIpLLy6gjELLm1QGXN94Gft/XNlKQ0F8JkEo1HQgxedoqFUqXh3AUIpCwL
hCvlZrYSXaXfjM5DrX+lvSKThvbdHfMwLcMNHFnYsMXkGBF9MHOHU7xqidtM2UfRZUyUTp591Knn
PlvBqt0BTav8YytZi19DL4i3Auh2cpkNQ0Yo+SzaHD1EMiJu72F+SBo17D66rS+xrxMo04Xm/dRo
7gJmYxwWF9fFoGfjTDSvOrU8k9te29mlyok5i63e/14iW34TFRFrmzZrdX6YSvXYyTDOXpB34kxw
wvEK3e8qJVgWd8vUN/hGayo5ej1+DtpDqRE1Wes/LfkodpnH7rwLu0LuO3jmr4LC+mIEGr8puB/X
vhKHmr/2vFiNvlMqU5/TySnvx9F0z4vKxsjCK7B1UxOCjZmW9i6RTPVqEVMdNLI7TBJVfIty/tpx
GoIAeI+fOqrInZ4mgvwqM98lnHUU5xh2J6vVu77wT4aqhm3Nxf2eZmG4b6WwXl102MdStmoTS4Qb
Ba1efBp1esgSe9i29YqMykqPr7dLx69FiNcdU+2NPaXhO+6cm4F3QjdQWJGyrPlImHpDKdUnl+jA
AjhB6Ix2PDfNXoWTu2tm8g4rHkqxwXuMtC4u0x2ajpTbiCG/0MRWmzr0y6ORxTZmP06SavQqJN2F
7sAMG3Pk5La9r2MHBWPoGzfaXuZ7NabHfiLUbZJ9FbnYT1oqcKPYFXOaflPKc67iOMvYaJvkGNck
JcqOjb9XxMIVaREtLQzHlo47h84436VahNfDlMhdXmXeUXqZuyMelg2zq+tzJszbICgxy3SgRiEZ
YRv2qxxT8cw0S5lNcC2RpkfQxeXOLGJnkxeh/fLByrfHlbBXQo58MVT3gvmbnAaQ+g50SLGp1fAu
oJceA2Swp7mEjGxy8Vwx7Lpnepus+ACb7oOfeGSjFa+kcKa7YQ3PtqrpM8zVizQBBLo071VefO5y
xgsERYh61+sKLN5k2zsPO9YG4U58Rn5JhgFO/02ZCC+iZiaozKggt+xWlFOPQr+5xKNb8bR0/sEU
0o+sFjp7kSTylv6DENvemfpgNygxXHeaejsXBFI0a/tnCjp1CpumIFuS+KckD8S3seKKlpNueIS/
TFSd0Vh4Puk3S9W+6XTSZ7/MCECAr3amr7VN01nR6vTARSFQOFt+OZAukib7JGu+cl+jFJsrpqjO
kpenqlcDQcGIqZ4xUHcb+j1Xtl3GT5RSj5nRNJHfav8iJaAwaqaFwrFOT/G4NNAqeqPdVkP/JTQb
9MOzvUlz66ky2PLyATeD8sBhgpMMnrFBlBvI+LijRDCg3Indx6WWgPAWaV1Uc3qZGdWLVn53nLv0
ofWwkbGT7seZ6qhKVPWQ1hZQTLM42UPlvHc4sYl0QiamjPJp8gP7u1Il44KkCjy89bjcI0ivPZ4f
r7wnZZIZT53kACdVEH8ZRC8hpg0DCsxwHu8bvOw189Q4pu2kx3HvdghTKP5LkzvOhHG2t8N7SMJI
IpXtkiCRwzLoN0GbaoOVUO48IduzRRN5XLJk4qoTb/mqlH8lmZ3fDJ5Dk4DM+RUzKjNz41mAE5DC
MBDe9SJV16jngxP/wv8lq+C7lVj3Tl6zeQQZHE0l5Hl2OVxNe3yLpSJcRxoy2YGaArjhg/5yi+m8
ZL5kqZtPLUdSVJigLHpr7QWqKkHL2vugu7yVVaip8lbLGToQJ0o6iy3Bm1oAjhiKjv7QfEmC5Yxu
DKJ/psRJJsZVHHbUOgWMK4zhZ2WCcBlt6e986RVn5dL+w63bRRWlPu5n5ESx01y2yXAHE/BdlBlP
fDy7TMGru8bBgUtjxj9VDlgD39DpgbsLDcSlNG4Y1j0zrukudGyQ6tx6iL4KuzqkQiW7rC5NCElc
zlq37wAiJ4LOha6JAnDfFUKlu55swGMeY2FO6/mLTEw6Z3q298x3UPBr+2vsDubDGLgSvR+MBASC
9fjN7fzhgb0Pu7EHqt0XTX9uG5pRmPBITDKcq6INDPosZKruWiHlMfSqK0cXeL8W20Exm41hv/MR
0vmbXKTy3HA+mhDF9jKb1SsR0/XLqtArt9JYljfGkPEUmbM0Xmvccze+KIxjzoHXQuHwp2Mg85aR
FFckZK95ugVJe24BOu7scp6/UmextBJVvma5GdzUox1jrUn7NyPzvictaI5NCHD93NCGvlsmRoRu
5o9VpDIxktzj9reWlTrL9aq3g4bql/WBLmgJdkGTyADwgeDUOjP9rSezaausrCKDZ5kVeAzGp46I
jWsTtdMQuRwGR/KwH+fE/USF4D40cYI9qpn1kXUw77y2I7cyDJ7GwGOHTyvrIRGFirrUvgnMLn4t
JxTieRkHEZZcQokKLunGxYhjyb4kwqPbNHpIL6gh9LRPvLbGhpB5/dmp2H82HlPM/JDECI1oEmFS
G+mFUdOUnrmpuNxQ3o21chkP1+1Tq5zmgtlnADyi9kOBII0e36xytN7sCwB1p9C+HjNXPOJdNL1t
0PTLc49MjhhhhrwbmwY1MSDV3F3Zveov/ZWwQZTOCBagqTLM+Uq1Ww4sLE1AHamYZlRhpqUhzbV6
rYTYZV5K6flfwOIFLO0+10cVYJVtjKmhaA3IHt8kRjEgObWnB7dXmuaTkAr5+gwwEsV6+FTAR353
U1gd2yqJGeXRU5vvZ4kwLrJZaLulWQkMfsfFe7I4oilBS7UdbPV9pLzeMSK4I2o03yy4ws5Kenrr
qn48JFnc3E3JYD3n63x66zps2EvrmrddU+OpLJohuO/wOlDxtkl9WwDIeTawipxtjL/9piSf46qd
Df0MoFdci3Ik2VShF+Py2tl3HTLn+5CUINB8ZhxeGEZqfZ2LTJ51FwwPlrVKlyDksUqJ3WtTcvcC
jP9BlwL9cZkAk/eKZ2LbkwcDH69FlXVNh39124atXSCKtmZ3r73R5Zsuc8xtbZJvJ9ndLklHwggh
HxbWX9C0YvGTc06KEgHL6fy9wGb2EpsdhdriEUBCp6NFgRcCgU7yrHnuPbfejwanblI7HGY8Ulsu
O9lOJF1+UAbISIiN5UUbT/5pGIXeKWJULpVZwaSU6Ekva4Ron3Re6YldFrZeaoxO5LVOzHaijTsl
G3WNADI4luCrdt2wqAOuECeyleQpMVrkUQF63c90bw0OsVE9Cuq7y7Zuxn2vqf5pZ/p0aYz0fk7z
IQrCBOMfs4woUV151evwzRhMsqXMEuBN6uqtMS/mFcJPgMc5csmssU91aga3uGvg+s7ugDjNR6gI
jghMEreOnooxot/cnrs07K9gVsjLwAu/Erho7oYYEXoezK/JXGI2dHB8x0FOW9GMS3pl7fwEqine
+zjHd8rC2GjwoB9SYNHRgBzgJDtY1lEtq9nahMGyTe3J3KKbZiDrIrszxNK+ZAhiI64KyxEXNNpR
3+z628Cv6QObYVFsK9caivvJTck1SzlsclfWkn7WIC8NH2WCy/iGHiuKiLlO96ZEFBgCEnblwp+L
+K6zp/lm1BV94EE+hZ312U7YrIlc2mXI/LZ0Sl7DCqMQrLJsO8LLhCRciC0I2npvmRJxvAPNMclB
aiuuCmSHILsCZ5Ukyw1oHPKW8uZZdU1+6yU9uXIWJsxGH4bFGb4YE2MQC2KGLUyxFwsV8oSc76AG
Duop6F/LMG/uxr6562urmDeiDjjazfUimBbGDbGGcxQLKz01mDQv8UC8O4bfX304jVv2f6whC4I7
B4uMHt01+ni6ZKA+YaJqnj9msf8dW//T2JrDG33qvx9bP792KRmL+kf6BIr89cd+m10jj/oF6Syt
wN90XEyhf59dQ5/4FUjB+PhfY2uHgFxBX3gNMvAQJdv8Xb8ruNxfwMGhw8Uj6aOq4mX+g7H1j/JI
pGB0ChBK4MNkZv0RoPODJB1MQ9MbXc9AYSjKJaqyqb8DdKeJMh+b7ssfPpi/8Nf8qE3/eDEUxKvd
JXRQp/8stU7cySn8VDt3qTGrl8qprccZNc4TgloWoGcJfBkEaLyGQ94e/xcvjUtUrBkYhEr/ZH7J
DGlOmv7CHYGYvHQImW03zCNUb7/3zEeb7Y5RqGhBS+FqhA/69y//o4B6/c1RBVhYDMKAQdCquvvh
Y7bsjHD0vLDvCohPdPqNAfu70P2izlm9vtxUkmv1969p8Yz8QY/w24vyqDj0Iz3w5T8r21UV9wk4
nztw0BZyt8A+Wcxwmz2MlPBJafoYTmavLFSzBy0CH1W/ewoAeQFKyo4ar2an8hNwXB1opni3LGCj
PQYmK4hwEObFoGJaexlAHsR2ysQUPzFTt6O//z1WCeH/l1X8+mt4KI9cD1cNqvCfHBrBGNj95KfW
ndlTJckeu8tU9HLaBx0OfHyU9cW08tr//lV/dEv99qr4Ajzmqbxw+NM35hkIJCa3Ne/yFQxOf4Zo
Nr9Kv4t8oswyCU5xHWVeM8FBBPCB0/371//zwvRtM+AmDFmG5+bntTKEYQXLZTLhDa2ZBuuC4aIH
zmxozOu/f6mf9PYfvyt8UVZWIHjBP3mJ4tnXlRC9eedkIdEUVPNyD5sKglps2907IBbndRDeujpF
WUZQplksRu4jaSdB9R++7r/6xTFus1vCPWVO+tNTazlGHTYiFnc9WsAmcoAk1pfU2mLYIH4P/xeL
xMeMzrrkv/B3fvLkmConW8serLu2o0akXQGK/yOE4iOShNGvQ1uiq7lgZDzlIYjv63IIJ67duYne
zMyX+sLwQP4nDGORTAoruNRyAGGuEVWnKaJF/tacVUbZS6ppiBSw2P/DF/gX24tv8f3B8XCB5Pxs
YsqLJO4DZCN3Mem5zX7xIap/PDeTLtVL22KXg+/BvjfzAX4A1uFUYQbr5rA54u0BA5FB8SkOy7jQ
fTGJIXj/iC35+/f5V28TBjKCK4yijvuz69HgFjCAhTPvXGxXZIusxGFTwR42BZkKcOD/6cleT9Af
9g5PuDzVaKeRKSMO+/kVS51YuZBzdzcCwr9wdem+QvVZ/8cGS9ILe7ptbQ+SfZzFwJjFkKfkQzLg
fcj6NY/Urmb9btcDT7pgBxAGiyCzHTbO9Zn4+IgAkXB4ESQJy3/w64uPCCkD+PjJojCGc9HX/2CQ
+dUu+cctkcNa8D3bPLkWGv2fk4eWQIZ+AyLnDo4L0z01L+029438hkRbbugV08AR3MvA5MdyQdKQ
8glbdB9C/sk3uMNsEc2TQnCaW8zFS+3vhw8+Tep1IM0qM6HfRygsAzxEVQzCRToaAMvLRG+FX9ct
EZor8sYJ/RSBtyVYGXkHD4cjYEXjrHIJJ1DVHbTS9CLoyvwSkF59PeQxJXsAR45pv1UAkpt9eWPW
c/EmZGdu0S1xP7Rgnire35C+z/gWvLOeUyT4mvP7LEIXf2Nj5+q2+eD50HPHHQoLDyK+nwbNBsq/
oZ76qiA9xY59/yHEUCWwcUDSwjgxNHBL3AR0TuiRQBN52gq+YtSgm1mVnZbHBS87Kre+dxCXwsk3
TnFgOpdW0jM8U0N8FtDCHuZxMJl6wsNt7/AJmjS0XV25DHUtQrhBqCt16ydlQcs7dNJ4G+Tk4iRp
z7EreUZ8FFPAXWqUcg1GjWRHaRDufPSqvLvadV+Rx1AmVAG7DSUgG/GwJtt02cyPzX5H1kFs01/B
zlvQtDcBF13SIZY9J7PJfU8x7+gFuCX7g73k2XVzCRUJIlMyf+CZVDYFJ3R76TX5SfotQD6Fvgey
PzzJvN0CrUiuW8tp9y129bpBMjcKsXw2uwDwAsO/LXQPbvm6rulANd0BUHS85wZYfyFV1P1MfC3a
WU+l7zwo07ekj3O9WdKk2oqerydKY10d2kS5uFP8IeLBKoVNOk41TchVyBndYHd/dxp68BMcJvVo
uEEmEZQHnXTOVYV/69EfIA6FjNoBSvjb0i9JjcO07vhrQwrLRGzxT1QBFg4nSGIGnIFsRppU4rcy
Q/XZSAc0yWUoc25bczOXwZ6gNIqfBfQ8s3c+6WolPogkoBhiB3deGyg50LSKUc0MCOLiE0E0fGNz
rDkU5hmE++CvOR5cQElxmXkqQViZHKYOIm07ApWiXkJyrombMhe+VPRXRiQQ+G/HcOTxqhLGD4TO
smVnDjoDP4DfuMxkJ8XuOMIWFNSrwHXZjUpynz6S20bL6t47cl9OXg8zyXDYh3ynJPasBVuwaVih
AYxtm79+blzeHDcOoraIpf8f7s6kuW1k2cJ/xfH2ZGAeFu9GPFETbVl2y2rf8IoBizRGEiNJgL/+
fQVANkFRvt1dWiAuu8MLky4WilWZWZknz/m6teinjpt1+iHexNpjTq80H0oT966qdthnzBkok8Rw
1/6lqlb8jX+gFEObE4GPBlIILkab2/i1Y7I4hYanvoCukk8UgRrdk4/CxACycO46wSc7rR964qcJ
FrW1kcRwzt3CxInaUV5QiHLKZe6KpXSFllVJ38SWgIPZrqmgRRQajPpzStipXWzNsPmct7FInJCG
/7ShZgdjCLJj0BaodDcRGTbaXn0EQOFeaRpdBduQ64aeRBq9URruuapRLWnVfhqNtVfXDQ/FkeSb
4mBXLoGo1g/0vpVLEhokLX1oO+dKvEPVSxDQ0vReLrMEb5u7fv4N7lSi3zosm4c2UDjEOSomLe+/
VhPfg1rnp82ZDKrE0RJ1TRsSLKH2kyLSdw9RJrXgdIGQL3DC9I5txG+nidnCCIPjKdFqKRfMSIkU
gvA0zd0rU42zb+Ar8eZNrCGlttBcovTyAEvsLoX1Yo7IATMHB0sEBdVSU9/lk4KSWxvgUC1xERmN
qmV3+WlVAJrIFZojZmMAxwHZBN1cRj3i495snLsAGKUX2NBb3eB2mGCm1ajxOpPNProi5bb4DkMF
X75pj5C6MKP6elcXIgzC88Bttv/DMfboi7klv1EGeS/gwXLpghYtrjaGiW1LxVUlDtbhjdqoBAag
recWv/T9ptTtOY+TfgC2Yj2APAEsRa8GswUkV9zu93hc0K3E5cCg7xWgJmCf4HcprsAL1dDERs32
Y7aHH5ecHAwhNJdCjHUBR4ujX8EQyWQWcMZd0CLDmlWq4wLJDe3HKIbK/aqCdv6m0/KhRGp6cBWz
prTv8PytEaDXvX5oQrjtZgmK4XdwCerzHEaAD5klvn69r5xZJE59AqruW0Tx4IPr86sS7ue3+ULn
Vw21EpY2HDnrsEcVzxVqb6iG1J/rxrc8QCmcV9r811daCBj10jc58UVRMpN2Jxp1pFJYDzEBpkqM
fqUCaYQX2M+Birv1Aq41JxU/UJTDP3KtpYv8dl0gKR0CJyHDzXW0hIcFhnqQkyAYYU3211/QRzM9
PYrUR23icAcgb4Vrqh31cQ+TLhTjGknMC+w80mug/rJvlk8P1SxX92jniSfEExEjl+C5L4qUxs/2
wntAg+rbAXGBRzjoKUliupWLPVfax23OX5LN52epRJR2gFUSpQ4RMbZuszko7KgsgYJJdwKe/WBm
dFdqzoTOHm19WWy33GTEqhXZrnYvo72aHC4LMZ3A4inicGF4GYgHHcocBE+SeMOxOjTAmW39oF+D
8VIhki19zBEMsyHZT6GMEZQF3PIBWx6OlRjxvCAUyp17uAZvm9CkXGjSk2k+1AXU+NTphdLPpFBM
z6iFZeHT7tdNrXBtTbYG+nkp+GoXWasEZLbFv062gZZ/UWkKZ4ssYhYaIiD1Poxa21dr0eQm9VWM
PKGIL67kVKqgEVyzJ9oF6GyRuLjvIg27IAwrrMp4nHbvUlXArdVVVtzWdth8L3BDf7T706BuexOR
CLhBHNiIP9pbhy3iKJACIfG2ex/4DbLf3YYAn+P8yGxgDrN1gRTVJIIaLwHJ4fkWuZR2V1h1zKEA
UYj6FFwQN2q+QWLVFNmGuJyE6QyeZxWSGXODJYJAaTKzc40kBK32CCKF4oEm+zW7j3IU5FNwN5c3
DYFQAd2+pt6rBo/AllMfzcBK4e9OfE6WvcjxMDaCWtdpxqZB7wVrr4fqJ9PWDn9wU2dTK9B6b2cV
/Q1gezhfdBVCZJ0ubBabyqRw31XEKungZ0gG4YBA5Pt6Ax/jrsIopH6xW1znEwelsE0r2BVt6Zu9
0vOG7wWtXj90oocZVzXallD78k1yy+C7d1QU9rQsTi4jo6jBiBALHb7sVCesb6vtbhN8UstISedo
MKv3QFiZhelUrAeNAOx2RV0cisfK3BKE+JPY/arsMyGBB4bhmqOy/2xQFP6yder1JzhmUWZeIGtG
lfbWhOv1whaqL/vYj3744B8vbMHio4Prj2e7VOcAo1X9gIYiHqkJKbFXpDxdIpTG+hpHDescZvyg
qUnHCGIdkX6tbJxmd+HnKRQRu3o9D7Ms+qgbparO8JrrOTf7+nZDLhsWiCzbgDvV0x9unRAvWFqN
MSTIhJWz1EBE1nVZKe9zYfzfg2kiEekGATHV1oAmClnpZD5JNbIwZNmQyUkW+8kXP6KyNCvWGX/m
rsoi6eah/kwGEBY2fY/BgdcMTY0dMc5ahHR54NQPsY/8WUIOfraFI/9De1GOUbz6sNddjqob5BDR
K0hMfV4cbJJNQFaRp1vsmWndOpNFgN0+mGEa00Eg9IpiN0PnU/hwFTjW1wVEBT7oAWHsFDiWYNSJ
MqE0gk1LrdpewMVfC8W1FJEl1zfm+8xV7/3adFHxqsqldqBPBQSdMecOxu+6sTT8J7VRduvax1od
wFA+7vjmWWs33SjGOKI4rF81+YYzkYh4M1u4zt26ADZ2CYcoNro2sm/0Xu4v0gq7V+QcoQpBuZtw
AYgEDbRrS3TaXBwOYOVm3O2CW42Ky8rYWUoJ2HjLiasmoGTMOHfvJl2EkSMeNcEzr4E1oHBrHxR7
zoWtrkSrPQgKGhhuUhpfr+kSAuPtlJXpKfFBfaSPgZSd6WKVyPOwJDasmuSaFho3ibWFY7Foi3yk
hdQCGmvr81Yotjj4why0IbOprH8gB1eDut+slWs/XtvOldVU2jXfHDwGxbb+Ez6tw10A2ONPwJzx
ZckJwTpz2zlc4xAFZMJaA9FqjGzyGZktmE0RQoblVC909Ad8c/K0zXRzGbnbwwp4z462mrr8utf2
iOMSVyGJkZXKnSooUxNBniqawhBkbTlVc/jK8qscWeD3pl6H95DxoQoYWeG/11nlf7GI8evZdp00
ELvB1No4ZnPv6tniz2Bix08pqjQgEltSV7AzELweWrLXBGo9VUBtaR4o3F2vZ/xfU+HpH0Q00l+1
HJd/bFdF87AqtwDdnksg4t1W9PsRNH0VVs3f/dDvB3q3agftakZPKfkLMQPM7wn1OFnEQcWonVI7
ld+NkHjMeLuEVkB3aXbUyV3pFEvEC/qnJIUZuHt74lIfIjtME7/R0rIIYSi+8GiJXluE3z9ft5q/
/8zgCV7lPxAZqr+2CCdDHC2Chii9hXHQKAkcP71jTckh6jrUo93Tk7wf19PDN9LNqaPY+bkrX26B
15/entJPalkUzLotQHnneBFU1UXPy9bIAXbUPKNbBICs5GP/yjl4fRGMKe09uAf6s9rXyU5QVXXK
FqE8gxiPeLFI49oJuqm/YNp9xRq8vgr21IQIydUtu1sFCqvHW8F2phbKBXDc9O93J29E1oDip07d
TmovGMrUUE1T1I/ProKDuRCadNC5dQdmdKtgc1+VXQR1atqmasIe2T3kiVWwWQRIHumD747eiPaA
StVH8uktY6oaUNtRUui2AG7v+CCopjYVfKGgC0ZoDYWCotQJ0A04tTnoAAjOngAXch/d5YxAmda+
RrcHNMO0ZFfB0KfcZyxHkI53r5NNoClTVkBVTANvMS5vAPSEoqjcJnAQnnFMEzKLsxaA5wYgBCze
Gp39cxyBY5J7egGMEk1Ven8EOOfHFsA2kfmBLxjsRLc3xncEdEuADKRWwbCnhmFBZgcM7OwRUPCV
lgic+tBwdNYQQVuB7JBaBcwhmCpRBO9iv9NLEhfuKdAZGCudbtuNyRmCZJJ9fs2Zmi4BEayGZy0B
AZHhEA5pTv+B0RkEQX8texZ0bQoJnuagbXp+FXTOCvdoQ+md4vhWQef2InkW2ssghlER/uXYIBIN
TE2AomKl2/UZ3VGgUVwg0uRMAQ8JIhbAWB8YntwTbXeqOnSjwZffbZJuvcdkEAxb7XbmP08ZGMZU
R+wEqGlv9k/uibS8Ti0aIAGIjc4togUjYGtyu4B7MuUdxzL7vNDJ8zvmVIN5G2BlbxDHtwosgvQV
UZmq7AACwD5nchIiOZwF1HdAqP8KoVj2UZ0FoJiSe8FAZghZRlKondk7DQ5cQSenCNh7//4ILQJM
dpKrQB6Z/CHk5s83QkzMsXcgk0qugKwRudT2Nb4TQaOAtHdwCIQMofzZZ4YY8HgVXAe7ST6djHsX
TY/u3qiR7ZUNEfAOjm3YwIPPeweso437ZDP074/vRKBnIOsjdWUKzpGDT4ro3NXJFbplqkPK+VeK
aWTWkfyWrKeEIBqydhLnRzv++ERY7pS+dNqC7LHWlzSFu42sdSSVQsDAGgztgW2RSYZJ9Gd1bXRX
Bqi2DdmTgIekfMTFiFPfvk6sIgp+wOcps/XrPKIAAUD1C3L1v1tUwRwa3DwMk6x8+zq5MmAjphQt
uFb29ZsRPT+NekKDQypYNixMAJ1/MMSf/fldcu3A60hTdN80pscXZWHZx2d3a47m0pDZvU7uCux+
Ey1hCPb7mGB8NoCWFtlNQPKExiHH/nkVOLGE3BXITWBrtT4+HF1MoKEnJr0KxH/Iy6H93qeQGPDY
G4q6CrdGm0i02yuji5LJKUvfG3WqyIZmEh72t+cTg+go4A0or7r0qrevEZ4IhLxk7YI9xeWJKvP5
e6OqcCRAIGswfLdfNSa7SOpD+vmxe2BKIKPpM2WnZ8GdEj6LDuHR1hjxWd0B/eeZNO7NfeP9eayB
aOi3TBKKNi5CvLor6pj2grjKyZ4FfWo5FGyRnmkf8jSHInwk+0RzkYFpX50hHtEq6J2EgFSgpKvU
0mA9ddTe7p3EyWDxQOKK5MKvrOO4bowU24Qwj9QqgL6h2Eh/pX7eR9qklgkjNNS7u9f4rKPOjVZ2
FTSwB65mCOxh+8IHHkcKlJ/xxEiNPePVxhcvoUshe3PUqbYgO0V2tVsEYf2OV8ElD0/dVUHttd8M
o/OUBLWyq8CJcFzwmb0fbH3A8SrYNvoi9J6TdOxWoUvsj8k6co2UzSTpoHHoRacQ/ysqPF4FokYH
IUiM51izirqu9GA5iXgBLRkOFkiDfjecRE3k2XUEYwRetzsyo4sXdKulEZDzEfgAACkgXvsd//I2
SdcPkAX4GJ6t57g8JUlRTTbPLmJH0mrERb15PNkLLWbZJsOsWaPzDgR6fbrnn58FEmsKRCr8d+oc
QWqwvDBO9ail8V2jz5B9/e28ItgsFI25R7+SV2zhiaLa3WcbRmgKXNFxIWcKCJRchLesV6CqXCEB
aQLm5Yx03vGvhwh/wYP+7AeaBWGybDuBwlV5rhfotQ8898C8fL/vf5kv//d/YGj7Sb7WflA0BnXf
/atR6F8DXH9bZz9687nufvzP+wd8+dVnJ/X8l7fhqvCKp6BpH7fpp3nvrekn+r/E++6tvWN1Ndw1
5/PXTF5omf78/f/DwGV8Mq6oTkmPW0AbthkO3LaTyA8ce5tyKDSnugKaLTvyzEvCH2mxCQez7jqB
pMdOk7TwlunzLMXm67DE8iNvNqunKnzaVoPB21YF2cEvV4m394rV8cgdCFh65LCsivCpepf+eIe6
ynb9fbjssC2+wS68ZtXD5eD3JMwVwE3Z+d+s0sIfTrkHQ8qOfMuKh+HzDMVGUTt8oezA86UXDDYg
0qoCsiY9LtwkmzQsn0dqp9zhoKSH3ixD78SKQAf2Br/fPN0Pt4XRQpZkJ/zhpW3q8C/SAzPA9ilu
BovcQe5kh75Ltwgini5zB9WQHfujF24G1oOS5Fu4l49e0STeZnm8HD2iQH7KZek9BdtyVVWDPd3X
7KXHD5+C0PeGDccdPEh+aHwBnMyDnd3XmuXHLsuQ/1FuGSx6V8R8i9FTKMRPhhaVQemh0011srk1
ta0zyY58v/peQOc1XO2uhCM/9M4b+i2gDKIqIj/w/t2tt85KdLwHB5PxRb3hLcZ/vyrK1cBS9Qns
txj846oOnwZurG9FeYvBv6VF/LwG7f2gSzlLD50WVfBu5hUotw69WY+df5svuPTi07Pf9SrJDv8p
CIcr3nUDSw8bJ0Qkw1sNjcYivS09dLHyTzkd2s5F2YE/r1AHaJKdd3JNgPdOJKRlh38I0uXq3bx8
4ds6xIzs8F/S7SsbUSCy3iDg7r7g5UbsAV+y839k9VdluRpYrj7/Kz/2K/LlR4whg0zAUYbldzfs
PysveN4Ywqb0KUrZ6X5dFWs822DkLvknPXLIzeZke/csCLJD/55rX3Kh/70qq3dfz02+A9dITz4s
n9JNGQ4itz7tLj02tK2IEAx+TavN4v1+5HOZpp+tIC/zT8/0MOf+2TC5Jj7xlKy84l//DwAA//8=
</cx:binary>
              </cx:geoCache>
            </cx:geography>
          </cx:layoutPr>
        </cx:series>
        <cx:series layoutId="regionMap" hidden="1" uniqueId="{E2526151-83E4-4D16-99CE-D7E428744FA8}" formatIdx="1">
          <cx:tx>
            <cx:txData>
              <cx:f>_xlchart.v5.8</cx:f>
              <cx:v>Spending ($)</cx:v>
            </cx:txData>
          </cx:tx>
          <cx:dataId val="1"/>
          <cx:layoutPr>
            <cx:geography cultureLanguage="en-US" cultureRegion="US" attribution="Powered by Bing">
              <cx:geoCache provider="{E9337A44-BEBE-4D9F-B70C-5C5E7DAFC167}">
                <cx:binary>7H1rT9zK0u5fifL5mNXtvnprry0tX+bCwAQIhJAv1ixC7Pbdbt/av/4tAiTgPdnh1eboaKQzK9IS
eJop9+Oueuqp6p5/3o7/uM3uds27Mc8K/Y/b8c/3cdtW//jjD30b3+U7fZSr26bU5bf26LbM/yi/
fVO3d398bXaDKqI/bITpH7fxrmnvxvf/+if8teiuPClvd60qi/PurjEXd7rLWv0fru299G73NVeF
r3TbqNsW//nev8t2w665e//urmhVay5Ndffn+xfvev/uj/nf+rfPfZeBaW33FcYS5wghKbhNmPPw
ev8uK4vo8bIl2BHlklOC5cNl9vTZ210O419j0Xd7dl+/Nndawy19///zkS/shwvB+3e3ZVe09/MW
wRT++f6qUO3d13cf2117p9+/U7r0Ht7glfc3cfXx+13/8XLm//XP2S9gHma/eQbOfNJ+d+nfsPmr
SXeF3oF5b4YNPYJJl4jgR2zkS2wc+4gSBzPGJPr+mmHzGov2Y/Nz5Aybvy4OE5ts9/cu370hNPaR
4Jzati1eYiL5kaSIEBvZP9bTw/PwsF7++r0lv4DkaeAckZODROTalODaordDhNpHMOHc5r9YLBiJ
I8YwpQyhJ0f3HJhXGLQfmB8DZ8Bc3xwkMNu7v5udTt9wrVB8xGyBiRD8wU3ZL5eM4xxJQAfWy343
9hqL9kPzc+QMm+2BhpjsbZHh9AgWBBXIflwS9CUymNlHtnAk5dh5Wqk/3NhvnpH9iID7+z5uhsdf
m4NcK16Zlc3ua/k0N29AxyR4MckYovbDWsEzRBA7YlRIwsnThz4A8hpT9kPyc+QMFO/DQYKyLr6q
XfGG/gsosoMdh8onmgVT/5wiQ8i3JRaOA0F/Hw17hUH7kfkxcAbMenuQwPzVqKl8U2DokQ2TDpNP
HyL6jIthjI+ApDGHs4fIA4vpech/hUH7gfkxcAbMX18OEphrpW/LQqviaXr+ez9G6REnjsMIf4ws
ED9erBnnSBDbYcwhD2tm5s5eZdJ+cJ4NncFzvT5IeLZ3/e7r2/ozwjgQYfKIzSytxJgfccaIFPKB
kM2Wze/t2Q/M07gZKttPB4mKt8vUt7Ip1FsiI45sRjmHcLM/+mPniGMBZJpCQLp/Pa3YRxLwKpv2
o/P8fmYIeX8dJEIfy66N33m7pszUm4YdcuQg4lAb4x++64VvQyDbUCQh/DyAxF+i9Hq79iM1Hz9D
66N3kGht74Z3N2WTPs3VG8QgUASIY9N7Meb7a8bbQNrkcIXxJ/oww+k1Fu1H6OfIGTbbm4PE5lTd
xiravS0/kIIKR8jHNTKLQZIBP0AOkOr9a+g1Fu3H5ufIGTanh8kOvLIo7m5bddu1b7h0QLIRDDNC
QC27fwEFeO7iBMifRALxtmeS8yut2Q/Ni8EzdLzLg1w5D77a36Vl+4Y8Adg1JeC2mIAFcv+aJz4I
HdkEUQdzUHSepzyvtWc/QC9HzxD66B8kQutyeEtk7CMkKGeC0oeFM4s5Djm6X1Eco8frs5jzO2v2
4/IwaobH+jBZ2/KubKI3JdX2Eafgq2A1PEAy82WSHIEGSgQwth+QPV8yrzBoPyo/Bs6AWR4mMAvQ
OtVb5qG2PGKgAGD6KAHMg4yE8qYUhNpyv0bwCoP2A/Nj4AyYxWGW0tZfd/EbStAQXIh0oB7zlGPO
qBnGoO2AbiMkmgX/3xqyH47HYTMw1ocZTlbQn6HUU9D975OY7xk/NGggApHiOQWDsv99We2+TvAQ
SsCtPXdbvzdkPxpP42ZwrA6THa8zyP1LpZ/m5r8HhKIjDEsDKjCPorPzEhfpQE1NcsLkz4aa57i8
xqL9yPwcOcNmfZh+a/PW7TIS4gWFOrIQewO9I8GxIQz9NI/IAGt+jszv7dmPy9O4GSqbjwfJhzcw
Jd1tap7m5r9fMQQaL2xhS84eW2JmAQVyfVsKIQh+jPOzsPIai36BzI97mWNzc5DYnJSd0m9c3ERH
DnRfIA4l/ofXS3fmYBAzsYQi288WgeeL5lUm7Ufn2dAZPCeHyZBPd6q4e7t1Q9kRgWIA1Gl++qvn
DIA7RzYGFQASzgfkZrn+b83ZD8vjsBkkp8FBrpjTXWOyXfH17VAh0KEB7gwweblQBD8SCEM92nlE
AzL/5wvlNZb8CpCne5hjcpgU+XSn9e427vRd274lMbOPoDQGeTwIx99fszxfQDMAYtCaKWdx/9X2
/AqeF7czx+gwXdl9BeP4rtF3b8gD7pkzcRA0BTwKMbM+QAF5pZAMuukfI9HMn73Opv0gPR87Q2h7
fJieTYHur99WVuYQcBzQY54aMWcryIF2QQfEGGi5mfm219iyH5jTn0NnuJweZpfTqdL6/l9VqadJ
egMKDfUWG1SAHznlLPhA0gk9TjZ0DT6WOmey8iuN+hVEz+5oDtJhJjn381F2zVsiBMklF9AhSPc7
t/u9GpDiCGw/erdZkvMai34Nz8O9zLE5zP7N07Jo37R/k4ojiPoMOyDxf38BM3vOozGC1UMZtjmZ
RZxXmPILTJ7uYQ7J5UHGmvvoudrllY7VW+49o+SIS2i/cJ6qzDNggLFBhZPbwBkegJuFnVebtR+k
2fAZVNvVQUL1obmLyrds1IBmJyJhByDhe/UBbCPYVgMKAnSlP8W7h2a031uyH5ancTM8PlwcJB73
D9np3ahu37BCQ6D8b8N+GkwfN9TM1g1G/AgjCVxbAoN7noS+zpr9uDwfO8Nme3qY2JTN/50GQajM
ECiQ/WiwnbVnCCgRSOiv5fwRvxlb277arl8gNRs/R8s7SLQu78Y33VyLYWMzkRTaNB+CyzzZcY4I
dA5CMeGnav18Kf3WnP3YPA6bQXL5+SAheXhQ37y7SUBDBifgvGAHwffXnK8hgO5+48eTUDBzct8f
/99btR+gl/c0w2l7mIrbh1i9YfgBHYdC9Rn49P79A9C3AVcIdG481uEgPD1fOb+zZj8uD6NmeHw4
UJKWZtCy8ab70SHkSALL5rFfc95L40ANDhgBQk8dgyAgvMDkFRb9ApcfI+fYHOaezrO7otAm63dv
urMD1ox0YGPHY4vZvzfUiiNJpLwvXT+4PKiRPsfntVbtx+jl6BlOZ4epUF/EcPTHu7V+2+oO7FXn
toSNaY+nnTiAw3Ot4D4lxbAt6n5X4ffXzLe91qr9OL0cPcPpYn0QHOH2P57c8vBMPwiiL975vz+2
Bko50GZLfsaY5zjBmQLQ6QG7pJ+qcTNlZ3agzK/N2g/UbPiLOzmM02ouwc3BcTx3b1ivJgyOPgGy
jB63DaJZfQf2SRNK4IAOkLK/v2bJ6atM2o/Hs6GzVXN5mFWEq3YXP0WANygfQC4DlVGQ0h7pwQyZ
7xulBTR52HyWiv7Ojv1wPIyaIXF1mNrnp7smBzX37cCA/lokmA3/zWQb2FTD4fwah4Ny8/01KxG8
wpL9cPwYOEPk04EiomCDwJuys/sONWxLByo4DzM/j/ry6J66MeiKfrg+i/qfXmHRL6D5MXKOzWGy
susd1AiKqH1TCRr0AIwh2Mtf7Hb6LkHDHo+n2tssrrzOpv34PB87Q+j6QBG60+271zyw/8tzBGGJ
UBswghao76+Z5ikR7FwHTcBBj3LbbAldv9asX+D0cvgcqk//b6jzr08b/HEko79rd8H3sxyfHTj4
n69+nwE4YXI29DFf3MsWHvjt+iuc9whdAuDdfpwRef9HHkc+lG32AvFs5N1Ot3++t4SAjgQQsB2C
4ZQo4HXwRwcAAS6B/nPf6vv91CjoTgTS8f5dca/J/fke0mAQ9uCwL1jKIL5yAUQECvH3l8AHQ3MJ
COKCO9DH4HDnx1GaZ2VmoKj1Y1Yef35XdPlZqYpW//ke6ojv31UP77s3llEg/wLL+y2SsGEFrARi
U93uLsA5wdvx/4kMHbIiieK1zkW3KWXBiFvYld4Qk1M/o22p3bQj+EJjyzV5lLlIjcrPEB5WadxY
SRCGnVg0rdN8hA5ay3VI5nxSss2WsWNFLlGdU27KkdWLjudt6o1pzNY6nESz6JIunDxm0YG7cNpT
xlyaMu73jkl9VuXjqg7pcSHTrncbEzVulMvoChfaCd2eNaHn8OSzMwyfsM5C7tJQm6up7ScPbsks
VG8hv6VJdx4NJT4GV6xidyz0ELShlfXeZIX1BTO1OoEhuPIbJPplVVrnKqwS7cdjMqwaUpen02AK
d9QEXU9N028SgsxlWBmyMI2Oz2xH89p1pvs7z4pUB3bOla9wki2gD6Iv3Hgw+ccoZmxhk7HyEg2X
BarxxsHqqkxL5kay7U8lNQvZZ61n1aj0o77sI1cr2n5Mq0SchSUm5yHsEBvdkjcUL0rTwR1n0pp8
pwsdV4qeBnbVY5ebOvPB5tQnuqUeLZ3cteE5dcORXHdpWq2wik8ENfYSd/GHSE5969sG0cwXfWx7
lA3ULbJooiet1fShqwveupJPrRvm7coZivaKapMkbqUmHFi93Xg0MSR3G10wwIN1J5O0V22CblRi
M7+DewnSsP0UFgYdO0NzZVJDPceg4kszJOYYx5VwcyNjn6UmiHDL/CyJogtNC1L4vSizU5nk9TYr
4hymOstj4VZ5yT9EneZnKbFC34pFfxM2oX1u6jIJWMTHEzNVd61NIuMWZuJBWKvobBoSfTw6mdsk
nHhE4vEk42noZpiHfldY4Tkm7edIl4XHWpGuY96E0WZoUdafj05U1rsmivQXNNTdN5X0+JznFdsk
UU0+ppwmvsWK7oRpXXOv7XOYsqHKm9PORl+GkXZbq7KtwB7QHS3yL2IYSu3lrKjXfUI7N1MEfTCZ
wNrPGyNvZBR3l5PVlV7Sh1nA6zDrvCnvunyFaMeSRcjLIvOyYhi+xNFUIh+bTlWBtmo9umnSYHcC
lAMm2jxQhe7ReV9OmZeiGJ1UtSOIN2ITnveVfTYwfDNp5wY1ndvAoR5BI1BerRyuKsejIq6bZa/h
iUGRza9ZKC+jsLpDdhcaNxFZFTTAOlYs63v5Ic5o5RaOVF4Sc3sVgc+5gL8QuYLoeKtrtZHcGdYj
LnINDzONR6+L9GCfakdP0VKGYxN5XVPd5MqquoumNQJM0ovE6sKzvitKt6nT6tT0pPd1z8dFh5yl
oSRep+nU1+f2ZMt81YU4dzzZmWSTEpSkgdJVkbkjKtmpZiQMBCnjdZyHOKirdnC5sCwfV1xe0yY3
zG2nTYGEtYpaHS9TmUVuyG1rwULTuw4yw6KgiXKjMUs/j4wYP0/qYSOVWNCizd0qNLhzpaapmzYJ
OweROw0qnvYuH+Lck31KvaTO6+MkJZNfdl217KlWXo/z6HTo2QAzkEzTZZ0htmatbE5H1FqfhsiP
u2zToTTy80xXmauiUgajRfJFUm24GT/b4cj9stH2epzCKWDwrk3GUHmKM1Irl1FrbNy6rG3ks44R
sU55L8FTNfU5cRpyCYe7xR7nlfRjhuPBM9VklqEVlsJzsjS9mRKnc+kohg2jOHHBQXzJUpm4cd/F
o8uE0yxsaGVxx6nfZlNkvnXx1MNVIRYxi2jmClV1yzHUtzTktc9F7KRuzAvslzbq1mFuMq8sw+ZE
Zd0XCCx8MbRZvyqmeoBVGpbW5LbVMHAvz1V7axcQbQJoddYnNA+dRR/hj5HgckWsHG0UEpXXFDJZ
ZsLK3XhqVrqSyIXzaGRQiNJ4uLD6ld0UaI2MwF7opPGaD3QMoAEXbXg7IBcitlzoCtknncDOZiyE
CkY7uwj5ZDyhI7EcKkdLN2zUt06ZrnSNkNTNK/C9A+4zHwp09bp2cD65SZTWPhrJWYNLzypH23gM
luhpXEVqq9AovTSrLM9MqeMzW+Fj09bhYujqzZjndYCmUX9lZTN6UV4NQZJl1UlLSOROHY3XzeT8
LZ02X0es+Vo7URd06fB3ntMuQNjgoOsg3OAmXstGR6tuyIifh3Lb4/Ci1QXZktwuXNn17HygKl80
lt5GJrnokLbOhzg5G2Fej8OR2bAas20k8mkx8tSB0Kgihlzea75gk258mjpR4bK+a72GjuaKpsa4
QwfzelF3KuLHU9Ka7tRoFJWBDZGzcW01ksptETFR7NKhNCjghZxQEIdONX3MFXKsz4O2R+MrIeTk
K6ZtD/VpISZ3THGW0UC0GJtVxdRHJhqe+FM/AZXRaUa3fYobeKwYJq6dJEnpItzkd6bEI3NRN9Uf
7NK2Yr9KmumaVN14nZdoPBZtgjddXehlbayh9fpcjNzDJu2PEU8HcP1ZAXPQx+3K5GgKcA4eU6YW
35lEJj7wueS4R05HXNgnkV/IqVPHOcq1D014AdSfhoWxZfS1tjtrqduBnWkj68Uga7wgTZsUbl6A
e01rAhOUmnRcxCiKPlETVr5I8tZtqlQD6cgJXalmor2PJta5Q9nhwYXoNg1uSSuyaaouj4PWbiqs
Xdt0jnQhcqEF0xDbXGlimXhadMqd0iw+NhoXkT9J3XdrFJtuk8WptbbqmgPxC1GXugh6oz9gZvHW
K9upVouU1U5QSmdq/Jh03E+jGt1olsTYHxOUnMu4qS8SJxm063CjvBI7bKlVOC4aKCCsJhyPvVun
Y49cZBqhXdGY9jqD7MkPtYNP8kTmzM0A/M8TUXTBNVuSNuxqV01tZ1xZDATGq9DTJelXkbKG3rWU
jgIyWvmWGp5E9wyozrwcihprqii6DsM48aIKhbEXdUSmi8rQoofHpUWeatr2MzjvKSAwSZvSwX9T
kaawsBnKXUA0rN0sRWZ0nSaNg6HtEuM2HbO9tuVT5VEe5x+KWkvs8TTugpbFpxUbqoUz5O3J0Am2
5rGsjFcQyc511nRpoFmRLWnBm8AB0I5lp+vezwpqvo6hjL84wLmvbMPFJqRxwT1lenGiEVAzP4xw
5JzmiBHPNuJzmxN9bcI0cnnE6CKzpsizR4bWjW2mxtNJwm9IRfvB07JqVgpyUYgltnOaJcbc2VYY
eW2t8A78qTpWg4UDU1P+ue9Tbby0yUW4sGoVS79Fk+1Gbd4sTNGSiw6XJGB8KNzSiDRIqXKWzph3
ARv7fjOJftgaHQ0XWqSNmxTD6CUstd0yreKdqYexdu2ypAusypa7Fa6aoLb71svLUbkkbOvA4jFf
2D0SX+3CHk8qraatrKfqYzVgwTzw58m3ssX60ilQ9jnCKIt8ZhLnuDRReKxEho5RFdYLAc/rBtUR
PydTO3gDqsq1PSH4gIlZLha0CkwhMHB/xAPGws4rRRun4JrzYjHwii2TzCrWIwIuXjnZcFk2GVlY
qAnaqk4+qKiJ3STJ+20CLTMbcBK9DwsQFovobSAs4PlI2igvtuoqSPOEB4bivPTS3tRumWtY6w1N
NpUCjpLlqAYC1Wa3ccrZtBJZPASq7vi3vi2HrzwfY+lVmTOe9rY9ksXQ0HLx/CsAXmSMt2VlGhXF
j9+/8OPHf12WOfz7/p0AP395//UNP3+C06IevvfhP74LTvq4T571/E33+f+Pv/Xz2wfuc+4fX0Uw
y+IfviniFyn+f7z4uvwffBDIY79O/3+e/P9TM3gY85j43281oHCeKrSDUvAqDoLE+jHxh/0hHIN+
zW0qoCeUOVB0e0z8CYf+A+7AeQUOulcLBKTrT4k/gVId9MM5oL/CWdNwUsv/JvFnEiSE54k/tHPB
P4IY5P2MgaVgxPPEv1a1TSu7o2uWSel1zOq3TdH2yymMx+MsqtlqssrEeOUwGGAdWpywlNaRC41i
w0VZdsjtdGXtMlhYpymjznYqQnLJk0SB66l44Ueaim2c9frCJL26zDXLlpDKq3UecfylrEIZZIlI
jqXNg9bo+u8enNNqtGSjIEINwFN1V023qEotT4URt71wTO2PjVbpsVNkxSYUJFt2RLtkbIvTEhgT
cNQw960kj49xr4d1ofI893KLE9+2InGc1x2Q5jAbP5SVzJZVJp0T8Ep94go+2uej1TlboVJ0io1C
p4YYq3f7ktQLOGoyW+LSjj5jRzlbbKVneOTdaWjjywmZ0of8sXOLmjqWi+qKfCPGxO6QG+5J3Be2
1+RNe+YYTF2cCBIQykbtNpnqlixD1ddhgA8hDUndWjXZsujK9KqmCSgLY0aTJWghycrRbesPdMh9
JAz2Wmx316VU4Ye2i4fztlTTrWMG87loOnIepdKsiEmaLSfJeA6bYpSHbFst6pB1GzTy+u+cdKPf
F5FYVH3WLwVO4TaicQQRpshWfTHYEFVp99VyiKsaZjziVBu7iNY0tMagUxlyU1QWvmbhaZ5W+dqS
1jpLRepHdTld076pl3Xds2+RA5RLJ63atJwOSzgKN1zbeZyf4UlM9sKxkvQ4Njq0AjIl3aaiJvkU
GeXciJrnQaJ4dRxWfPhY9UN96YRUnU6Io9NBIyAOXUPUddhSfZJ0KPtIgfMsczjnyHGHuoScdMxE
4qYZIeeTEeo0iui0MEJkmWtVUlwUqsK9W7S1hK+XIf0JHxQ6cxp4Vsqo5aGXTDS77cax2oacZysz
dgTygipb5hVXN50U6nNdxXhbRBU7z2U2rcbYjFtk9WRjD6xcNV0ZfWhpqS+TiTjemOtsnVvduipC
yGicgsmtXVf2TQGHlJ3WEU3XCmfVKkkymrt5qrPFQGP2IauGjR2DMtOXdbOyUBt0cQTF0U4i4xqg
wCD+hGJXk+GO1SMkAabqQVPJ2boEEW0hJGR0RhT2J0LTWzOQKvKsiNo3QhaXZU+mT1pXZjmhAp2X
MefA6uPQOmaWRjEoehJt4x4z7A0Wr3c6bJIzAblM5sKhks6tAoayLHoYFE0qu5IK5V5PrCYAgp6D
OAIgDoSoNe8y7kua5R9BCmj/htN1+sZtU3wJ2tw6sgd+XA71sigk9yYu8sJVWZKeg7CaXbAwW3Ez
tMc8nIo1TfPS1xWQ0Q6c5U1bOmotWB4ujCK1L3Q7umExJheVRvRuGuvSI2kSe1NsUjepWPpZIGu8
EkVlnVc2xF4AVCC3iVPbrzmuzqxmXAwZrzd10wM7dpwFa5N8GeoBnUJzUrass/M+DPvPVjiUfsoJ
Pk9QRFYFHKqhvWxA/bZAfXNLWuCIIUX+gEaxLPEwBn2GOyuI4dTAz60wdeVWaMqUOwhTBsVkog+T
LtOlNbaTco1hwmv6kYOQYQ2lG4Um6IpJa3cCyUD6jtNfRZOhCbBRp/KzJqrBzWmVuU7VoE1U1SCT
FCEKMLY+J3baSDeKJhKozBEueADkOQ1wycxS16kc0DpDGgUlSoCKJWn5d8bjaROWsXPOcsnXWrMx
d6fIas9Va6W+EKCRFZXe8USMywQxeYY0KLxelRO07WWJPBnmU+baMuNBTkrnkwNRYzvROL5uJFUn
+dR/caaWryAiTp5JdL/VEVXwKA3JiU544bXGck7yjjZnbRLWpwnobp+sUGVbneZVUGIdLbBTQr5i
x1XAdE2u0yG3V7yFu2xCWS5AxbXvJhF1pwNzqh0l9X1w6Sb6Oc4zddXakKG7XKXOgiROtOymOA2A
Lw6ehcP4DINS6g4OZW4f1eNH1MHUFzGbfGNa0NlGW27gODWW+GNWxh+ISAZ40PDgORZlNSDbTUsT
kW5ZqLFdp85UXWVduFS4SoLUhNNZ2hMaVH2PKtcAnU68ziqoy6Jxweuy3+I+so8dHKVfhtpO/cHm
0u0xhFsFS3yjQ7tagbQ/lpAjNs5NykFYzosBfc5ACF2BZ4rXYWv7xubsbOoS67aCRtTjqpXWIo+E
/oBVka1BEAoXnEb6PDODvIoGGS4wqtHHuFcIPk6EoEcYiy9ILJptY+q/Cz2ZWzR14P67pp20m400
Wo5kwP5EJGTY2tqwAgF5d4tGAa/vyoHlwKyLDinwaAqdQwNmA7E/SaLLjgERcZOuzu7TIac9r6M6
W5UxLGl3rO6zLpAUIKkQoay/OZDyrvsstkGBGqwTZeeBkUV+1vdFumpZd8MaFrnga+sYlIyh+ztt
+Q1T8Q6F3TeRTTeyHC8KPOWeNQ0VfF6dr5tCmKCp1aVdR9VxFQtx2Vep/SlNhuKWOHy8bkIY2Bfc
gkddmbZJj6sI7qI7rmpI0tplxsd64qdAtYqIu5OdIhYou2xpwEtQ2keoBvrdMHbyrG5rwz9rHt4r
RUSusn4A4CwT29XC6qfeC0u07AywnmUeV+WpqmqrvKnAgQL3cnofj2G6qFMT5cfSShtfD4ntA8lL
NzgyxTFs5BQ3zLD6CxJhlJyFY5xtBOh4zSWocHG4zCDFnwpv1MMEVZ2oZclXGY/aumI1CDsBjvsQ
0jdLpeW6For4hYXMsnHKYtFzfa1FNLjNGGU+MoBkG9Hr0bKHFWjEwjN5223hnePCyQTQSZASVENP
OgckDhdZUOVII4gyluitFXCRq2KKswD0YXEMEcT6GFsqOhlFhr2owGbbx1G9bQDNY0jR3DZWww5U
JXPcONxyNbW6JS5G0PW7e7pFJrtzYTd9s1FqnYaLVHDj92XYrmRGqJfWUi01NAR7JqTn+RRrP6mt
aD3RqF13YRgeN7mtjlsUnXAQkjwkcHUSh7z1TSTqLx3hmSdHZpaq7tUiabUTWBEKg0ZlZTCEtIKS
TAw5bRtW2mMA86pDle22mZ0vGUgm32gXAo2u0gpyeChzEfyVywKEZo26Qujbjoo6ZVdhTYFxeKrO
VJ65/z+J+/X3+v1MyAh8rwKkNb/O4ub1/e/124dBT/VbOHQJusWhHAyl0u8n+f5I4+BATC5AW6bO
QxZ3X9p9SuOcIwpJ1X0Jn0CaBztnf6ZxkOFBv6WE+u1TJ9lTFvsiG4fC9ePPz+u3AkM/wPM0Dk7y
gkIN7JjmkCtC15qcpXGy52UJEQuvpDRFNgA/lF4Dh0t4U2HqEzWQYCzCL6aA8iqwpSi+Qh1wP/hq
tnKj4qjbkpLDU9n0ZMFEiOGxhs3bZ7GJqk3Di+yyLIBBuHCS27oO28uwD0GkNl29Q6QCFcNvoG/n
SjdW8clu+XhW5UOYub1tNV9ZWEDZN46cE2pGtitQnU3eaGu2IxWHN9lwbtynlpfWXTqK8Sr9H+7O
bDtOJAvXT8RZBAQB3CaZKcmSZVuSVbZvWJ6KeQimAJ7+fCG5TtuqXvbq29MXrbKGBGLYsfc/bPyu
Wb/bRtdUhMUozW3ehaehGZMoW8trGJw+ulDEpwfjs3HLQ+bM8nbmABdHL++cB47cfjrsebuc+gjA
L9RDdRibQssj3VDWWzGs9RG4LoKvqCPvepyWiGHpPO9SrCa7KXsxJ3OlODqozLtTGhkTnIV25SEd
qy+y2dvrzBT9IYh2eQwGWX0YyrE9BSKVRydUQVKnvnn0vHK7a4CaKZPGubjo+qZ/m8a7G0J65PKK
ksX5OI11cZzHdX2fu2N+rAqS/YOGvAofgbVAvahGnfi0D3veH9YydfU5jbO6SMJdTt4bXfi7PjvQ
LA+DjuTnuZf5flC16T/KTEY3vDdBPKzGt6NcCcaC01Q8xFXgeofNM+KBt1oS/+s+4OMnv3ah10HO
bkd8XnMSTmNPSQ1b1pyiYBHeIcrjliNz0G11NpSm16Dpnp88/WcN0b0nlGeDOui55fe2vOFv4MSq
8KZv1/4jED9FeDA16WMpo6pIgllFkO7SKQ41xKU4ZmsQP0Zd5c9JO6XxIynylB2GCOKYpSnFgycC
HqMBPLgwYUdatU6xf+XnU/C5X2s9Xkg4soLDadyv43bj+lsjumsvE9WelHLngUI7KJ622NpU7RxP
TrRxA0boNTuFWcnoNkvaf6xN06Sk2pQuwIeDXx4jziV5jMJOebfpUpv0PE6pm11N/VLsh6wrp29w
CmAU1c6/YTz42Jwqrb4gxZl00jntMsL8OS4/kOQrKcm3ffhon8rdJgyM4GBWvrPr0L+SqpFX65oz
Lfs49R9VNjuJdHoeIoVJfhsVi7p5uqIKZ2iBBXjjytSCtakXj/EtTZY+mqGaogScIQuP0njLfjEM
Qn52t22MEpmt3bVyIVm1J+DndLAOAOdlIN9l5RyfKl/n3VXhF8N4StXs+4n2Cj4/82sea2uiiBOy
Vn/Jqdycx6e7pPSds8t6k0Wb8KJObjboFavM8XxxGw9II6hSRr89jMowz1Wz6P1+MlVXnXl7GFOK
GNqOSbm54+20oRmJ1dhdb0PHv+OtyMpDFGejOjjdXlxUncOCiBtdXIToV9JDWFIWywam61zovv57
3wNWZKkcu6aEV1M9BU7UXHTzYrrrUDTrnOR9tSZrWE3mOMXefjnuyty5JlrfLuXWf/RZaX7iwqdE
rNO2EQdE9DBuEYhwH0QbtI6joQw8MoK5aTM/QRAS3iqSr+sy3uJHJlPlsD2huCvzbdoP9TD2Hyc5
j+k5LL31fmEVX5Qmas67LyyflQXv5mIav5YOTQAPNWDgYx3X632knCYJvYGF7Q1m4GEYgBvlkgkl
bVN1PhVh0I7JZMCij0HcjjphyBbQiDgILw0eta8aHYl/Em0X+SeZGofgMFbyKstKeeW3dnw3av7H
AX7tRs3UH1ywMW+MCORJUolkJ2fyzcHTqYgPzSD7K38t/IuujvI8GTgx3rWib+/qpQMIWKoazCes
cu993O3h2THD9l2Gjf8qHabislwi8a0Owv0xyuY1PLuEwBs9qOK7r1dDURBsV33Tkt6XdZp0hfN+
KJ3hMffkeGx1NXWHGoHBxSac8uCtTn0j1tbwvbU9u1GzndrM3b8XGyBY4pt6vI4CAwq0lOEGM7un
/setKsfryaShTgBjxdW8D9XrBi3yMTBmgOxfJw+WBZXSTWBTUQVfyEuacnnao4GScd309qqd1ui2
Ns6daBxvPbnwi0NSRcsobuonKcJuVQlQgBeT1Snsi1UsWO2CsSqGyuoZ2mUgmqBwaJ/EDqJtP/iZ
EXAwT2KIZS78m76imnqf9n73aPJ6uK+NfJsHi77bPFgek43iLhUivG+hKQ71vE7RG23lGFAe/cnN
cvcD2Mp6LVFt7BnyjdkKORBkdcNFYNouZn/0IE7LsNqNby7XPm6SGVHIOGbdAYFLHpxqqxkxVj2y
pXpy341510GDhy5lHDqTsfSHFZZ/ogwH/mjdY57m5lPa8yLpRDyJVdwn4QraJEQsjpD1aUFbRWLt
Tg9eW0UfC9pbjByFaGBmq4ZpXKe/WpTPqjZ++WnleL829TzfTlZMM0T6dU8hOh0AVXqVhG063Yxq
L4+LjL37jQr8eltL8a4Savp7kevwaXuS76xPUp7iSdYzDXt1ldVVm/R6+AA9lr7Lc5EC6KAI4qUO
680yCT+pR1KaUA2v5tF33gzDpE7jk6xoC5vv9WTWG70XyOCCzXtXFtPyMSoQE2VNrt7GfRy8WWeT
hYfqSbwEHN/fhk5avXZT7bXIOVznnUQEdgzlbE4MV3hYpFpf9WPTfipmRARB179P5959VbnD42S1
VLlVVY3Iq4SXXZUomm6cLZAfjMkQYYXVNiQiHcUpdfL8GkAle+NH3fx6DodLiuLpUIXedMhdMRM1
u36VNyafwBWRrCZeLv36mEELTBx+zq2yKjGXIrYxUXfp1eKvtJThIasVai+vk0lrpuqo1rpGO4P2
bPR6ecoBrDgp4nQ/ZlKrA6QmgrX4Sbzmeb3/LsqkehvFw3TfDXLmoG8X4LwSjqza17MToobjBTjB
oZ+z98oq5drBKY7CqueydgvOiBya+6LsENeVVmfntaI4oskox1Pvrs5hnhTwyzbm+dtmHfxzZRV7
rtXubVbFh2aFAKWy7jURaLksVvpUHacmfudPLgrAdqZCnOBGrv1m13d5AIOXbFY3OD9JCHOrJpyt
rrAolHscUnUVTWV001XZ9t59UiIGzfyYz/mHMm3SBIdwREKxLtn7pY/1IRzXiRN39F8pK3FckVQd
ZJwjwpkV8zANJWrIpnGBxKJwVtCrVjC5PGkneyujlE+KyjqPs4MOG1gMI6PHPubBl34d7tOyC8/j
qtPyxHFoLqNyLI66RmYTpenBXQdxR3Xbwj6UuTwCOY7XnUQ/dXii+1dLIZonNpG/WV+HTxwjIMLy
rbTEY/REQT6xkbklJvsw1JfxEENW2tSqtwRmbanM/YnVrC3BWViqs2yXAj1WBBLXC++YbkgdtwWS
u7I0aWUJ0x1G2n/P+Va9ntraz5ekgUF+C3HgJ2MVdHdzs2bqro4d36pG4+GwTMgQ4f/ll4oGLNk5
Vm3LBnLJBSslqjcZh2y21OsNwszxtM1VDO08Rum7kTTgtVf3CA/bzc8+hM3SduBXJTmWjD9msNl3
e2rK/tBkOZDLvKHqC4Jb3SKFO8RaO8e5C+ZXfldP16vQ20UEyPdWBNP4kJvmlTb6uo/29ahjT79p
xm78CtbhXiyTHqCmgvRiyKJHEjVzDpHMLOEg35XLBisRLFVVncsVpe2rMd+NOBfxviOgkUNf8o7S
tisPjaf2u9l3+y9r1SBNI+TVy6FvAQ78Ft1Z66f7TTUPTvN1W9bxrRNv+xsH/VNxyvoimL9EU//Q
z1tbIa0rZpl6F41DcLtCPHahcz+860T9V+/Xa37d1jpMb/zW/TyZuH+9BiRyRcRauKpMgRBiL7fq
FAGvh3e8Yypw/yoa/msAKara9G3Xj/ocgEgPTp0Evflrz2WXSH+IsvBt5vX6Laff1dRwgprLnyr5
/1IaW+Hyz8Jm3j2G1TsWSJqlwPFNdf4zv5nFZt68jLw2HAZ5ZXwqUaBA7wEaaPwWD6K4+P31gpdK
auTYPvwsL9IKXWmNS79esM6XDZRp7C7bZohvppzUfSQwf66cqcmPXjd/zWtXyttsiWb/ahiUn24J
quq8eV0GZU3kY2Mj82zl8KYZFnELb7n3rwbaOzwiMopPS9WRAEp4VtK2Ro3f3Mz1Ywp6Oe33nnJS
NBNrhaYDPeHHqS+Dz12wmOl+hLgezzv6KDMmraK916edeqJK0milYMvSwCfXz6hFKiLGQxP6/UcU
1OM3lkz7N/rg9t6PMzL6SY/8Psr5/qPbyHW9yaiNHBs7XQosgXp2d8Z5PMclhcNFlHXD5cYvDm9k
1wt1MeRCradRRN3Hp1q4UVpgS/x/8M1/mXSLdvw66SFMNkhNFNDvN5QvJr0iQ07V6HaXwWbr5aAo
qQ1mMPMM1/DvLmQ/6F8XirFy8FLVyAd5/3Wyo4EKDnVmd1nnNVPcR01zmlrN/LD35OexiKits26l
CNk5ZT/+r1enOzvWaxVJOkjEwQvRfu9sIkR/BLtY9t6DMgb2UhfbnWjr4bJbHa6qppAiwDENZdvv
Ly4QQrx4dixE2CNiT2BU+dezmzJAD5oO3eUoej59MdksX4eV9h7aEmLmKIXi4Re5dddT1pOjukM7
U/hBNdeXmVzFw9MN/XCF/Jj1Z1fDzyqRn0Uj/z9rVL7+7BT/x19pkUpP/hbcfGG+/g8s+vR3P/BN
pf4P+KHPm5gwgtDT9D8yFezH1u0XM88+WKaKWOI/4E3c/X5A/2Dl/3i12Q+JiqDns+/R8SQWFE0x
L+D8XyQq/q/Qpr0ih3aMHcrD62Jfo/brHgNaGlphquB7JNKJ0Ehy2XOMuBZ3eQyCua8+S2cgtLV6
GzdJ0rYGqMmdLnW/ZO0gWyfpvLUKX8V5sM3HKnZafWlilNNkfg2bCPXZGvRfgmoq1+7oQPCXfpIR
VsT3cMVhcVfnYD+fCTZ9+tVvfK1uMwW84B8aUYzciuyDoXmTC3cy6F3qYKj6g2W7mhsBucstZ00j
tmuv8dvyb2dcOv7m95sRu9hPe5H2Pi6nKgFA2q4ZDNcL+Bcgo5hz1ITfYaLbUl9OjazlZS2XcQgv
9zGbCpPsRc87Wms3Lbz0WR7G1vrv+LP4VUXE9W2zTp8zj6NWgXO/OPT20o9GRFDFt1JUPtjT1AHK
IxmIwUbK8wCyOkzHIYcsyg+OdPa+fWukv6HeFRK4xX81qbwdq0PXaX8AKAoizc9+P0a/ZgKQmjSo
kpgK7KvgeE9i+OIe17xwvHzwnW+K1N/1jhmEcKjPdSQnH4E3BZ36BDiaTn84I17Mjb2ujHnRBm5y
bF7+y+uSYHVh5/jRt2xjzSny0r4eP+SkWy11e1nMxZs2zaeJaiwHh1Z/iNNwDD8vDS7P+cfp5EFQ
41kPXxwSWbAUjrvm/jcnrEPtJ4FxVfCZjeRMV2BoYX1bOKITyBH1Nt9Xo+vu+QHbas2g/H4Cfs2M
mIAAND9C6mab7+LnfjEBkypcssQ2/QoQ3gbDRaf7Bi2DkzZjvF1s0bAyK7+/5L8fni7ACuaG9zGQ
BEn319iRh+CTQInDN6kMu/y8CbWL6hwMZh7lqYhSqT4hzfE8DSBJR4BPnbstAzlW0bm9+cNCeEHS
2AGwyeHTRuXYhvz59W6yeC+RH0zOl7wYwsa5XKfcbohm7fKxS2YDRC2TogGYAe+PPRwDh6Bw8/ke
lRHcYeuIob2PkUwN7VED3Hh3zVK045ffj9mvOY1ECMi7ECW5K3pZmo2+VATOJo0GV+/rl3WYBhYB
am+XwXKhElDGUkkvzn3vIUhn00yms1+KPpv/18Hivdq8GhB1LdZI8OmXtxFpj5pgVN2Xtg4cYnhJ
9ELMvmzutAXXfhoQ98dsHqrPTRm0RNQBj5UILiOndBYEdDnR1kb+jeqJO9zr5VquVd81fwgr4uUa
wyfiq9CzPB4zrF7mgEge2j5ud/8LUgwA2hPccF/Pb/U+FX2bGL1pbs6htORn3aabbjtG1b4596bv
06sRULzMkmZHP3jd5BrmA9uUq9IJMabr1HeqiTOkCp4fr4REzyk30b5y97jmU1G7G63/sE1fJHZE
KiXovhQrFxc5ry57mVayMlu9tEv/KQy6oAyS3qXc0QcMnnEMqLSHDqE93Z6jZz1LfjY/hZNepBE/
Ws3kK3yexv/zhpYvozhth0lGAmgaz7eB5MVJV63V2KR513/qB3aRPvljFcnXnsj97dof543hiKFn
9scmXzcQ1TkfjM4TAr5Rd5neU+dyaGS5Pw7OPKpbQDqbIKxyaeoYXWpgp6cb/ZglhLg+WO76oaz2
xx1/oMH1UFMQeUnB6DNBXRvnfNNHTw2E3awrc+cH5caXcXezKTr2weiP+KpmO3fVmhUkGPrp8nGU
OZs5IEUp+YiO5IE7L5zW5gZTHzTV53VUrcYtsAxiuZd+t083w1ClACt1M3gwcVkKcEQibbKPbUQ1
+Li4i2CRhVFGnrHotiNF+X1seBnCGf2QgopeQRIu8182YUrVNhNxX3/aBRBPdlg9zFUjbpOyq6/8
WRsCxe+v+DIaoYGWric4t4XtYvjSmDzi+QNJ8c1Hf8fsGCRmljb8eRgIOLzVogP1KS0Rf+iDAa8c
s9chgYV1+vvb8F4+uR/C4FNVUtC7nrVL/xq7d3+ZtROr5rHBtDn5h6lDK/2907kmGuXV2AqkZmFX
vF3GKCPiAJd32QlPr7d02HKhp5bD5GX6uk4jdb/6Qw11NBqhljukWG6R6GCHjWMRIbUsXZlSUuGN
E3az5y7rsFtysourtKwmu/MXGfhvaFET9tsBJ4G/Ln8AMl7GtYhXfyAFtk/N0/rUBL8+caXSvDV6
DN/jtnRJYoMB78g1FKJdt5IkS17mwO4s27WKfb5kwNI21KneLml/Lo2X3oMl2W96utgbMInew5N3
KvU+uuKs6wWi+2IPtopdl5rG5tRiixp2Zyg02+gPk/hryYpIIkC8QWmirOEd3fuLUkL7bbN3Zeu9
j6bcZ29NPXhGcTFBD9qt+7SPISA37g35u93ixEobUgaogeqzk+Mtu8YuZr/V6WqsPtdxGWK8MrUd
B72ZTt2mGj8tqgrfPiIiLTWeKycEgO7hjPwx2TgveNw/PNqLLJNHA+OSnmCr0FyafO/X2ZrQ/ob1
3G3v/WyxkWoaNEtrr/ei+zq5UYWrb5s6vT+GHm7H6tA4nWBCVpwp2XbaGyUmgFPfmc17stSB4YAr
81l9/rITTSCmYpYYlvreRreZsHlZeD1mPDiqxkbBAjacf1FjCYaiySRDMU1h7kxJUGNjNYc89kr+
9Tw+NhRWn38/CC/2KC0UkCZwfgURZaf7r1RXmF2qTWnnYWnCjujwnN56ebQuFS5vL8/aP4WFF8eR
vaSkH7vncizR5u5l4eWWHSlkv4YP4yxYIdPGS3yKC85+xkeWveyCEyRrh8pf1bRSGBD7pS0pC0GP
UTKoUaa3oQKLxsc9yYhgwIZc7ga6t3ECNA4bf6Jbgbr9MW2ZNi1DudZRy15hF9npyKrVToRTFoIv
MW6n5c7tmo47CaqKs6lSk61Tfz/aMvZZU/9Bv9hOyh4CBAkhJFnQy8qGdHBEA7duD3m+qTo9THPl
90lq3LS8Vd4uh+2k80H10SH2vLjMDwMKS/3KrWcfy2VPtuNcD1njyNcpZn7UBaZbs68uloJLk84S
D2HYdvU3ibZkQE2jmuGz2UVt3shFuOt+jMo2DvpEkz+O8xmhToR5RecpWliFxVLcIDAV8bFth1gk
5TrNOB27FbcYRmUoV4mDdq2wtB2WfTAbdK4TlLI8A3jN8l7V0yazxF0FEtKLPjZwguRvKXLBKUc5
XiPDqc2+U9ayFPurFS3vDKHTl+q8xGEGAd846/5gVOcVj7Oss/Too9sRyUZ92m0Y8xARHuPCM1WS
BXV2iUBpOuJWMOitca+5F8KI3Dtnzhjl7qmvuka+34IlqxzYdHddH9Zp9afXzji1zh0nRjh/Q+2g
hvfY7DKo5b7rRD6+i9e9ri7SAnTjvHcyarpDjFbAy5Nw2EcdfRFYK9tvqE+7ZYX1nDb9PZ4nY1zM
bmYU5eWUtjqIjtQBQa0u0sap1G0sQqeqLhbVe2Odf89hGyZGeRV+NMjXu98tLGlMvWOfv/OVOyn3
1LYSpuVqjtMir2/aYK10diqXbDLLjQnSrCjOqWzMHNylrefrK1XKPIvOrBWFI6ZfdpdjvR6jwkAs
OlLpCX55gHm4gv12ckRBRcNpk1SxkQTYpS/m4EPnzCoYr1gcxknhkElbxO3ck3XFhwn17are1F6I
pffN9PxNpyhqfgbgKrkcClmpv+wzBM7yqlRDn1mhmEMjDZTqQTWj52pLAeMSyMWei27gFDxO5gcc
Kp/XdMPmgsUxj4PszWZ604dvy9QpTY0B0Xe8/gpOKY6WN6r0gyI+6Di2mEQ4YBatHsMsTZ39Wsp6
ZKQcelqI5jVRW+fBteOnQ4jiAcBX1G9L+N8oPZmSQJCdukLg4k8IWfaWtsWpXc9KALYC33lPS4jo
2E4uTSo+eJnXcr2mxGf7fs4irZOBOpiR9aK54ARJAHHth3D/pCwHrWOb08uczh8UBrlofXUuc2NH
zK+nii/dmE/OfduENuTLZcoiegaYqWMB7C35xgUtYhp+r39+VMRbO8OnsUkypugdUq5W54IiEz7X
To9A1+YFf4l6tePcyrgES3JmZ2AqHDQDufyuNQWNPg9FQaaVmEhsKDrA3gMkUyz5Wc+POKnnomW8
YDO6ixztv1jpJxLaWy6YafzlipVluTN+pL9gbrILTA2OnXlYcL5Xx40dmmUR/CpHbKQN97C0wPxh
8uN5hsH39RcAt5zvBWvfqXtscWnsJ9LEAECHPoT/cJG0PK2edB9jPjIsHftw6bQ9DcbMqhmSHzlu
HOyB/Zc/BhXy8mJw7n8MtfP86/8M8vPvgRR41evQ6xtugM4G+fKlwjtVDBdF6288tPZ2BAaHDPFC
4d5TgGddDN/4NFEdXWBYalTe85BdtSLe0uAgKstpvYmbuWOUFq+p+RWvB2MbEmCOdIlxgG026c3Q
zvDNOsxc/SV+HkG4P8kTwhrbZ8q9ghot6btWGXG5zZGtzt3nqX1eHiqtasZHwW/zJQhr+/Cr2nLW
aSYGe5lc5opvbp12w/z97hRynl7xpL4d3ueFtKOf5y55SPspAiKKv6Npms/qGqfc3vrzgGIB2PlH
V/udDE8O6v2qvNoR66/9RWYRLfdkCrwLy01cZhb5GPHofSmW0NNfhMpals8YkLHy8HTJYbmOYNn2
A73FfkEyhcSB7iyu3Q7NHtj7b2eV5eb9XGd1VpzbLOJzc+0LvEPYq0MxXfvPa6Uox3gKL34MeVwu
A7eD3KriQzgBOi5e9kXFOb8IzAfuezK3MlqOGAamFqffmKVcHA9+R8k01T3YZg1gAGTDNOXzVdhl
djvPnK98r6KZUBmdK5LFdXvlx2MNtYRnzUW3WceybhY0sBh/rkQsoJ0POUQgX0gag/oWTyX/vzUG
EC1wkYs5Bw2WX9N1YUoBBcxQcnWRZ93yqNoUS/4p3Xa79nHWKEDi1dceESYa8nrGEtpwxDb0NGnT
eLwKYo6q9aOr1pJ4k9VdV1WXP+DkcqrzoTzPOZx4/3WTI2a0y77MGY4L/2nP6A5VItOemirdH/08
6sz0HotcbtTl9PzoK5pChsjv173iiarMjMFJ7a4gyk1oIfiZWHu7asCr7BJ/xk+jsTKMgJhRpjqH
qSg8vgwscH5fF0ChDua1HVw5ll7VxnjLik01r/1eDPyG2oStYZdgHllXzyDLLoJ6SM9zq+lidJWl
eucz9mfoLaUsBzXUgTVBXKSiovRtGmonHFI1wERw3VSYtXBKSFMAwqN7mwiVvko3zrxxI9KUZ2o9
O3goyixU4M1RBRZf1m3Gn/NiTZ7yoyE9w/Vn0nEYitvYLy1ISRsLwk9Ypb6a3klgrC09rWmJa+Ws
TE+DmSPQBRw8BDAF7ieZIWXU9F8wMZO/O3LnqVTb2GOjCVK73AaEjCy+55Espw4k2i/cwl9emR0X
X/iu2mfj3A8k06AKe69j9Yl4y/pyTL8zAqV07TOkfYsd8Ux5aVGquiBfJbOOm870n1S85Zq+DWut
6luldL+lZ+l14+T8bWjOtaYnTjSfjmNjDf7tJFEtwuERRNJU04ObafpPJSi6/Hy9MyG5jf4WL8Wi
vY9jGgFNXAw4mWkw5Hj7WD3ucvZkB8+sKDgO8OwdOWUYBvEsZlZ5U8YerX26DffLITQwU+vxx5M8
zyXSTABilEIYjnmsp3BT14uNf/GW2WhC9m83bzE29jfaJ/Q+LT37vUC4SGGSLdvsL6Y+6ERzonK3
3EZRI8HrLjOyxfR2nzaBDoeNandl3Nif/Fiy5JREIqSi9kfPeLgNp06WDCsa6PAgvMGN3s45FqDu
gMAP9Fyil4u9K6OxfeekZbuFA0d4Ir7gJyNa6N1lfUsX/uEW3NLeeVXANH76caFgiDnSNEvFuX+u
2Nqi3EM8mm0/y3fVc8CqnoFGzbuVWA1OrS0IOaLIlPLYZI3u0kOu1ezcz0XQ88yTgcVbXhVeZtO4
HOmfcx8utb2t+WnDOV3FOXLAB203ee9ZmvFIQwq7JsMUOTZtknKEDg1Cu5rdeH4eEHBgG/SqSNkU
SyLcKK9zz8ft9Afg60VBD5ZDfGAFewQ3Jf4FK+cT7hHwau8ejaXirsMsW9kNpiPMakfaHVQvAC/5
YSm0vfc/VHe/1nb28soSJ3hEAsH1X+Csw7x2jhlDoKrn0FiCAXMX1AHspN9f6gWAzm5yQ9flWkBW
/L+yZf1PvQdNhDcrJZX8Z4241dp1ie5TKd+EMZwVERkpAV/momSGO4nGLECw8hQcf38vv0II1jkD
KiTs24agw1nn3q/3ki6+B3xbZve8Ho8wVuDgIESPY4Roeu9Inf80zv++IB1AAQ4UOgrAxfgFrkjv
RFfQ4CO90yuanE9ZxYl/FeKasLDm087+/QMKC9v9p2i3Twh2a/s90LhfQEe9uOBalzJrp1rd/YgY
Jt8taL8pf6M54SrHaKGLWLoP72ZD54BjM+PE/oRWi9DgjLvkPPrDHf260rkjSin71nT6WQQSiO4F
0LjFroPx2dd39fOmMuR17PF1rugNdi6ipWAKcjlv7MzY53AgtXByeyNl7+t5TxZNZX8OMBfTgWol
tGwJoV7z6+yPVNzisqSeTMwzn9U/h9nfP8TLaWTiMEvRXQe7De05XrKsnLt6QoK+3OZjZSPT/pQI
9fTzmd9tTjTLm//9eoHLRNr/2Tdj/bpOQ1oRMMHufPvj2FuzXJcHtyOy0hlvLLL/CVoLcDtG9kUO
bAzeioJy50U48A3acqSb5e3zsUSSbGcjrGr2BTYDe2D8/gHtB/60TFkQ0E+SHYgeRYJovsAzzbav
tLMKqsuwdVABJ2GDIO2Twrr1xy3470sxdRG0VySp9MOXz9akXrPNmcoun1ORJQAdYR15uuHL75/q
BbfGp6PQiCHjGUXqACLrr/PWulOelkjrv7qot//ZVp6qbKo4+I0tJw0u4yaxgjkvPIRDDdNxqHdX
4Ovw2zV8XxqXIPiH+3qWiPw04GCYDEGMcOdJMMA7DH+9M9eFL8IsPl4Mu+fmNDClYxNTPKMBm7u/
x72FaE+6MQPzxfiR7lSxhynIJtFck0UgDcoSujiBSN14EkzEfdukQZZ1l3R1gqu+TdeiEuuWpB5U
2MdR0/YwOw2lJ1t9aup59yY8Nq4am2M0BECAN/5KKym08888Y6Uokvw3Kf4bvb6usnyJkfLMiyqw
obglEpJLCqCwaI61U/YskR+JU+jwZzmKRmOXKJVDxCGmnsLrcwlUPY0m7Rg9jhRKVpueGKyLJNqd
F1G/tN7McJP6qTm89cfaJpnOc2TuIW2ZN7ePBH0aqhEB635oxyFui6Pqw7qcD/9AMZrjHEvhc4L1
lNnB+BnGd9eRTS5CjRHiipqnUh7OxY5LNhXVDk3mYFGKLKlpGUKdB89Ql/V7n3Q89m/VNtEn7KpU
rmNBinEZwH+35/owNsjc9TGv5gY4GGQohP04IK+PujShnWhm6GKmectO4L2NddyH5pRpehnph2CL
l717gAexTBu5qeup224aITceih4UPKPrg0TmcM4HLUSZNIJk+O+NkniMXgVqNd4nEazbFN0C56X9
uzaOy8pD+z06LhU6AW2lKeCUw/Gf2m5jbo9m9fZhwyIOYrIkpIwiwGFKlztzU9HxZtzpklOagio/
jgb42iJ3sfu5+C6+KLeptvyYSgoBuuWF6G4/tCBCDhLoZyrwR4zU8PSZuon+L3tnshy5sSbdJ8I1
zMMWQI5kciaLrA2MZJUwBIbAEJie/j+g1N0l6f661vs200IyFSszmQAiwj/34xXrSbGvs9Il5/jH
/g9Bftu/wjDbFsPfL43ya5dae6XgKNnhZlXYGTvdJQIGO7HxeBumAF42CW0MnlhcGv9R1oFW7qvc
SZ0wS9Pp0VlyyBBLPkF8sEfrmBNUP1XdPB5RWJoHrwNoRDorAzg0lDpa9tg9JVzURzuFthRy92Uf
RSdBmel5E8+BQZyTQPtw4BCO1GXWzpUv9e8NCZewnqS7oWsgA0LX4NvVtW4PlsPeFU2ubteiHPQd
e4ph5y+6VXLFutVnJtWjaZBz6GwtvarGftg5PdI4Bpn0ODYqiLNg8u89mbX4DWT+I+/bJC6BVYaw
8urYSYL27K9mtV+Smul0LR34nnCHanjAtbef+CtPPufEj25u1AE/RvKjDQQQqNko13AJCmefFXrz
KAFoEY5DOiIuaDXp8zSv/juQNQeJQVVPk2/mO90c9DNu2CyHUKBZ1zbyIdTpnvaWwkvuETVzfFSD
FfwwGEFxzjKk8TCaRZbv5VJrO6Ovhod+tBFCeBTEPSSfs9V3EGEcwi1R4gVJ5r/moxksJ5wR6rM3
7cLYNUoOHL/yKlvCEcP5T39wPBBTidadqwCbRGwbQ3E/j5bg/FY1V04/GC3O6qx514teAjWw9ave
JdnFs9PZZrvpOJ1nttkX3RPjCVVeO+fCyszY5+n3w5gmQpLr6hsZx3mpvU2ynX62mjZHEEHX974v
GhOng8TWuK49V25WwrTCydWpWK6TmM+uSuF06Zhzb/AJ8yDmqBeNk1VaZ3JhpTx3cwumVSrzyimr
OUSBfnEmoB7QEG5sg9tn7AkAIXmCeUjnavQIA0H3s72hvpGZ3b0tcmavqDN2T/sQpvQsROSBAZWh
piz7nYl5E1pmWRMzg81o6tVwPxu1IDa2QAAXw5A+t9nSvnazrKBMzWqOEoN8Q1jw/pgE+2iB3Hhz
Bst79qe7wOyzMqrXsXgvKrmGDJ+ql7qBHCKJHd0HDDdO0uzgTnR6ciaCigPbBwFdMIcgGIEQzIsm
AKyVRjAyVaAefK0hfmyI4L3T2GzFPvvGInSKvr1zJ5cEhtm6bhTkq3ccjCa7wz+E52TKumezqcH1
qtk4FHJ03zsreZ44vz+vbbX6h1baMJHbKv1JANM5ZIOn1I7t6fI4dIGThJ3dMkkW6UDeZhxPbiDk
oWV/bIQwWYLnoB6CD5JO1lPRJc0HUJD1p+ICJyLSmBcbw8NBZ6WI27kdHtn3aiEZvvFa63rxfYXG
dbBKg1hBjcx9kwH1Zi2beSLpRe6jUznCPRJeSCLZ18VBOKp7xnNm8f5H82zotbUHHNq/oRe2d0Gd
dUdjKYPHqurWq7Qv2t0MFXo7nlf5TW3rw7lT9nRXw4N66nzf/rTEyMPBbJcR6mbFzYPWdmtYg7qa
O2865dNsNehJfn1IyDjHHNtxfiLHBKdV65JrmJzdPfTm7NlH0nlrV394YsFPj9xs3gXC+oC3ys33
ZZA4kA1KsnlED8rYX5ea+BIeuT14ouZOMBq4I+EsCXfKUt93U9G+yUHZ5Dqddb3uAltdYaASqBZV
8wSXBER6llbzzvKEfzSYRUajXO1bf0wtJgad9kNLTLxx18Ts1jwAdjKzB489hdTuXwvHGr1hp5NZ
KwdCqDK5njSZ3qH+lDeavdQv5dC98zMA3YfceOkrdjCF8oqbOSiwhTrSyM9BI83vSkvUFJGwgj03
euo5N8exPWTmhjEJMsMjw9lAIw70qg7OVebLmPmyvYYjc/gYAGvlhcU6BIC/rKS+aTR8CFeLRkjM
jl19GrrrNhgZQBlkwGDj2W11a822du/VQS4jd+6yZpeBjnoo0nysdoyil+yqggaTx1pXQ0BZksTQ
Dt7Y9+sD4J1OZYdt66HHQTsT4hb81popFWeBVgBw1/DYuUROpZLxgopT9JGljPRp8lbQy41eutfY
CBMjngy2iFcDAsHwQkSHhC3PkU4OjsvGKa2xOx3HwfXOjjnrdfG0WktijqSVW1CsZ5OHnX7ybSYV
YLmWGgjt2Dvqke4BUeAMSktyYh1Y01JEmh3Mj7mFmyck6VjeNwSI18PEAbgA+9KaRFyDYq4js2O+
cCE+u04xxj0I3Shu58Ic8ojWLnEetGXui9sSLlKwWvz6a32uAPGYldjcY9J0qtuB6gEfhoxbuKWJ
8N833A8+Y9dIGQvgItuAkXMtMqbGgH6Rn6N1mNs6tKqFgZSnCnGsc9tpdunkTBeRI9/GxZzPRyu1
DT92fT3zkOpI355ECheJtKTjLSFJ3+XJHczhRnOC2YuqIrHJ5tiCaPKClvhiSOAc4watsjpJuhPY
tmHtUsj/yozYwmVaE+EZwCI3hV7mPiyaDbk0apW/5DCUGbjwBxqi+nR58xBqfXeXER+GWtUaW4C4
8gwv20lzbhznYmijq54ZMlfJsdhQFek4fl/XLH1OM/k9DaRD6rydqscJzwnIjaQ76CweOg8Jt2Ms
561X5WKWNzD+1H7MuiCSrVxl6GEfJZpXOdVjVwOVI0y1hMrPbZ6v41B9Dmmy7ukNYLyYzsmFyaev
RwbcozZeWWzsu6DPrEcPY1MX5yMaFNfDVlaBT2/6YTRS3Eu4z/6u97z0mjKA5lG1/ZDu1JyOyQk1
m0CvVs3BqWoKmGt1W+4FYMXHWujGLhiy5kokjnYxxWxfmZJhapP2DNUDjkWxaSaUaipPHdbZNKEq
eyzCsR6MLfFVw21gm/nTcJLdhgeEODdHrUgLoML9KMPAqBK8rRg11YneiXTeLYjvjyv08R8J8/j2
UDD3iztuyilcF9HdsMqz+OeuKOO8YH/BW0geWHXyvaJ7JFK1zF5AdhrfUQTnPWai4NDoQbX3pFfc
aYXeRWPlZq96XT2XBQ61lIPb3jOT4q2ZTIL4jtU0b5aeEI82rQTcXTcXfgS93QbaaPKhYSURWZ3H
iEO4dVtwLDmPk5F/CnKG3wX04ldhWNP1yEQ5dmTbnICALy8MBUCe8UybZWgVentxk8Ri38rDcbsI
7U8YgBzSl7raVm24Mh/N6Gv5rnRzBrSI3I17qp06b6IeCNnADGxtEDG9qTAico16DY8jL5xLKXvz
I8uyQYRkKA0SxaUHVFfw925ROa6JbJHOqXKV6cUc4ceyY68l0nMlm+Gb5NSWRUJalv6dhXciGqr5
03jUBuHGJPC0Y9465vPmZ9gb6yhUmC+avHWcufhQoy9ZHjh57huV4NJqEse6ZqTYXckFs0vYpWxp
rudeyQ9hDnMe9cifY5iTZ/0choV7hZuSc5qSqKs/RqZp0FKKcdzVxWidEc9TrFz5vLKZx87608ba
muwrLxuu7IXzW6ixHRniMmk1Z6e1FV5kfR2dF+A05ZsnxzkC19FT9EIhyY2aPOORqZ8f4FZiD0e8
DBbBYWJTdebpVxNdb7OsYCsXsPXEXaI1N1Y2GVqkks0hCCDdoSVCghsNccpwEUV2VmWFLcZ9OrqM
eCoRFYJNWrfbjrGg0GhmMdlTW3Wyvta9qgWUdmOiG2PsE7HxXNwG1nZnqLRcDppuFrV9C6ok8UNh
QMh5L7GzanU0aj4EnT2DPDEDqs0aF+IBp+2Zlgpwf1UP8YYF11nijLmaDyQJl7m9xPW4JJW4WvwE
SSfqFQcweVeOqFYWZTCpCtS+U7LNX9NUQO6KJ24VxjukhKyaYDLQSXfYp+zV6pPKlFb91rf9PDq7
DF9WBTaoZQb4mOhwycmcY+Aa6rhbbE0v7golBd+DrWHjUgUOa2YTI/Z7Pv7PSgtgLnSyL+olDmQ2
O69Q0szs8XcRWZPbIGQog02yNY1klldg1LfxOz6GbT7Dfbh6P1I7gQB7wO+9cr+1Rh+AMpVTpmVh
7SPAaZxsE2LoLBE8jocXEvFW6xNpXXTQpkWgU99CZ4dqxWFl6sa3xZJXNAVIT1WPcHPKgXDxlaX4
eGuYN7g/+ggzjlUlj9bgyNwFjddmuXXWlWqXBn9UPrDH4eyQtnsJv4nnsTaA1sQddTExmbF1lwFP
zAUsYD/49iEfvGpZJOrwiMKbR1i9FGCMXVrPdl7u5IQTKEA7AHdyvbL188EhlG7CdG6kUkCFht0G
dAYsq2UfmEdWL9JX5bOG62cARE4oLrQV984OF0z1Q68Fuyxc+VkHHtLtgyweO/wzc7iaLUPR1VXL
l/v/HABduXNw7R7Rp/PrRk+sSJiAggtjWaqdtCpMZGPAgFpq5WMRzJN3atnCeQS3JXASMCaiPnSD
jrty9iXgQ6zd4odc9UTwaLVhB7msoyoerHV56EHdz2wQNGga3sAJMSmk4xzIpg5VnFT+/KGtybzI
0Ein1niAvSSceMrr+rPTGayD7Rg5GtSrBqtR7woj27Gd6Pqjyhwx/ki1eVNc2FGbdbSKLN2THxsT
6JHK8DENmW1QR4luQwKxF70/Gn3jvZVjaSNYeomZNhGCYu5wQvWW/qai00rFpu6o4RVLBnaOsJO4
/yK8JlB0amWY+J0Qt25STt5VaLfswy8zg8A5nCzh7TzhlmeNah4s9soh9IHnT1ZYSsxF9TG9VRtb
QRsyILZQV1dvTrXQwvN3BAfUgtZEMPtYMVJwbSTBvdLI7kJFlHuAr/MdxTlzbAeJH+wKPB8/NUxV
iIeFTK81HsP9dw6XU3ZP70K37bosMz+yg3HPHYTv/INHpLUcrNEuHhqwWxfsm+mPtDP4zfvTOmOj
SxTKyLrmIONzfXqGJ6juYPVkfATidUytvarhaepVhCiEEzwYyIdeDDd5OhmIFnlMfj3/NllbW44j
evtI/UyBbbJzHtskbfaDWeuvbtfDKPLwR2ZduZIc6OEGkMtabsh6mnlsqn4kbFYCbQ2DfAzGU+p2
uOb6mmIRkFfTzNsNys2ywWk4kpAxzT2TK+a/ukXgkVYqixoAdj4JKgzMXGyPVrrBNsFy9BdLSXWd
QlT1Y91JpQcrsZRP0+wNuKEHYJshLgXvu91lICErNuC3rbbteHsfKFbInnrJQ8grATYZQcNAzIJe
4AhDLrlbKxSAcHWldHdixPgXW3qV79Z25mdSB5sfdpZKxqMlf5v6rN6ZST9H0+Asbx5Pi/EKQHgH
Ibcd/Yfe6QbFyzkO8Wi8RmeKT5qLVSbmlZ+Br8a+lCzgTYwkuNK0zPxYSoDjsyb7OzyERYQ3zXwn
raNq5h9esES50xdd5NGassRqWkBIlJ0/JACac7/k+dtZ5VVhmIBLBndy4Ndmcr5BuRIWYkBTLYDY
KuMtD3BiUBtjdDcNzhd9503OwqEgMElbtInuVLvKKLInAaprilg32dWxP6dyAwbc9ntzbydrQoa2
zCa58cvKem1xf6ThqMo3q6+a125ompBWSrRHnJ4YuNKRS77s3lJt0lP2VrMWaew8Lp0idtSju3yv
U6WduoKbGtKf8CCND815cNqNBueJa3QB76gluv+CYpzDhQGA+iFN4LuzrfcPY7eYJ9E3g0mDFYBh
dmt6haUHtkfo9b1/7K2MAos1gA4VVnkwH2rHHMsHUryQBRG34PX1th21lqN2bF8AwSxNhmdxMl6z
hLKjIBmMUPZKJ9LpiB347eQ37M56bDv28Oyz3T8YdmJ8NDjjX3V+xAm1mV8cUYRXskD+ZcZ8cJBg
i8LZV+8Yp4c7qfSFWpSh0Q3ug/UuSDUS7J1hVwfWg67mmNFb0OAwzfDT11Nrdt8KxA4wcRxUWnr4
aKTJjOZF80v7scgsu6KDjV+jlLXBiA4HqLCsz0Wh/nc7IdGDug8WKIBoMbN50lWvnGibSj50dt/Y
zu1QZC1P+R7wNJ6priWXjXlhXmhEY9bAILS5tYG6YYuZTDIkZmw1+jxkJ11lVbGeMJgvw3OSz5Pz
6dR2I45F41dwhRK70wct9kfHnjoeXgKXDbM2fBsFzXSQbTAEGivbRgjjedQJt9Pnk1pmVMzQNWdn
b9v15H+HuDLwUGmlKOeS55iT6U7MPg//RKwtbppitLHxfmGTZhuP22sho81Ng70ervIyZrL5qbca
UI6YQSsGwl0vKa/LmKTmqcDFJNNkM7dzDbaMQdIiXfX2frT8gSNMbs1u1700/pSMRcyA2OfcR5Qp
n4sbCHm9gis0ub5r7HRpqb79UHC5jCXkb5H5Ek2NzZYsXGXGk+EI+MUpNtT2sn0S2011SN8Z4B6v
/aa0dDWdENK54P/h0ffc+Uobeg7MVwXo+tKNZj2ghG//z+O5P0/ImRriANE3wihJXgawW+D/V4cE
Upk/6KQXflaN3LJN4+8eF8upOwblvZfZCkvaCPWIAEZeMKL7D2/gz+Pt7Q1gFCC8Cz+XKSFDoT+/
gRyoleekufdD/P4Gqt+dJ5UISq44rWEu9vuk9P9oDv+hcRSnoG7+cnX8rXH0kjPn4x8p8z9RIH7/
uf+qHfH/hbeDVIZpYUkwHJe/8r9qRwwaSXDaYCz6b5KDxb8yof0qFtX/ZWCqAd7AAA8zk/O/6hfZ
rotfhsrcKsyULdvYIoM63mvexp8uXH3wswGM84mDyXrRKTQ8WMW0ATC5bowYT3r3Oaux/WTBS86/
/Frufn+VX6G43MB/e3UHBgV3DLmgzUTwl1fPPY7dQvbiVBXNeqGqYN1rZs/Qb63oQXCGTD8OLQ6f
0CT8VIRGu4itWcGsrxsCBM8r5VJtiGZjpiAikDLRXZYGtl9iznddbgO/5xj/toLApQOpZz5IcCP3
FsWOQJo7yxjWC0EQ2icCCkmY0JA/hmldjz+9wgdI2eY5s6sMo21YcPs9bI+/CJvsfAA6O99hgVv3
0soWpFY7OTfOhgZ167m+5m06dZiQI3u3SB7vCb+LuFaadVrUUtD9mdlaLaFwEsvuHo1kVdrZnzmH
h4vGt/QDPTulUS/wNPNFHwle7CqVzh0FGZnmvGV6sDAUCSYUrKtmsIRvUWHSyumuNT2VYUTzp/SG
5RpYWSMWI32YUt3d66WoWpsqwkr39yZbTD3WMuBMJ8Pe/mRqZIH3OoPGqA9uq7uI7nhVGMVzmGLq
A1U8NiYfdHxkwOxKYUVVbqJ74GTr9KOCT3Y7buUIzVdPQv/VmWCkrf+6QjrUdgBC5t1Ut95BuWs8
8F/4o6lecIp2vPH8gj4GsVUzlAQd71ew7PG0FTd05T09O7R4dBVlL71fHlA25Ffbw7gVPxBU2Ld2
K+/ajFII56sfYlCoSdoS0JhJ0+Kz2IokYKaJ0KOYNGKPgnDKAeuntlVP+FsJBZmJNmYuzLycSMNp
2MoqCmebeQB8oMmuq09s+4azTbsFUavyIdsKL0Y2qwDv6asBr9ceNGNyz2iQpzlYnrwaaQ/lJug/
nIbmvkpkXjxv5RoipWYDkb+68vSyZxFl35FtdRzNVszRakZ2YCQSfLrp1tvRbRUegGNbFFmDXo9Z
LjqUVR8CBK132rnOXH6Khlb9niAPW4uWACETvaeCCtM3101hSJs0ieSma7y4W7mIzeFkn5QJaCq2
MpxSKSHpaCNJkt5/X9EVd4GEsRDyTBjeEYh2xZozX9oqTYScrsavkpOt7oTYIRhDN01wp251KLCL
3Qv9k8bbjGmZo0yNMGqikGItKJliLEGkbOpVWOwhHU5UrghEmKtpq2Ept0KWKqWaRW4lLWqUxSsI
t+KNb7Q8zLOyrhRQyyPgYnkjtqoXmW6tL8lWAJN31nrXOsN4XW31MICUDHzwW2nMUgwEDphC81gB
gnrx8cjew3h2GThwSxzLuUu0UPo5tgU3tW6Vr/rrERH729wDgA7JIuiI0mN+oVisfVJCTY/ABOXZ
Emm902aqb0DyFS/d6A5Xg9MEGp44uNj6V1+OAQcCjYESHYk//DAQOI8RZfx911K244zU7pDhXr5R
fUEVT6CdaiGr00BLD7wqbB0q07H/OjMs2PRk0umzMJ2k+9IK5Vb3g9wExGqrANK3MqDakdQCcQg9
dDlDfTPTZzR06oMkBoorvZ2Yx9lsEN3anu6Lxmlvsq16iGk0hcXLtLyqrZjISYzxnl9IcstYTn1b
twKjcasy4j4ZYtDfxXH6Kjr66jwibyKeCa6UB7527hZtaveBJ+QPS3OHw0rgvg/nROeY4c6As7dq
Jc/YWpbGrXCpMEfqH3rH/I1akK0gYKtmWraSJvJ9T5Lg3yVLqju2/cGNuVU6bW6fA1GblijCQuMT
+139QimIfgkGEdxoTWXeL/OIFmf0S3BNuK48QOW9LdutTcrYiqWUSmEp2gGBiWQa5hOWp/QsSRzH
qe+ye1ZWfVHtwOmcyip/K6/SXKc4m61tPLq09AD/HUip0Ru8fGZf3VfTVw+W2iqxMPC3HxyddzMY
9DNrSUCZcWN+LxRlWmVPrVZr5/mTAY/8IfUG78bcemc01VK+ohbRPvcUJdzM4HYvY09ll9zKu1g+
p4cyb5BruXu863qi5mv5avyiwNE51rUzIbdUI7U3xngzQgQ5m6VZ7/28bV8mztx3s7Mk8WKDlmbD
nd2zsgGrDlTz4Q+199uSi4FuFYL50IDSHxgTip2drwFZJ7mfGl8BaO3hngJPAtnE+8SE1Wsn36B5
I4SjOb4zXTXKaDRxLkTuqhXnMrPblwRr+67xaO3znYrSR8ctxG81ya19zwzlGwgE192hyFYfVpr6
h7plAKSIJlyNfq1RVrJ2J/L0x0AJhi9M4loZ0nJe3gy2HtxSNdlfhLFQr+T3zblttOGSDBqjN1s4
N1OJwquNtfpGKpsZogzGHlUenSzsrUndy7RHbYS2+FO3VEkpBZb0Ogz4HV+V06CRlnXctzZvePQI
rbFJzGlFvT20JZS4NUl25LWbW0/QxprrSc1jaVxiyocXIywSxz94QwPZUvUTQEwzwMpQGVkTzY3n
vwsdKYsMxbvNpPGipbXz6NNUHRrUzV5PaF88BhfzjmGmjn+6vmxf4LktLeOAOhqNC8a1oGjNi4Jl
ShcTROkuq5u7hhzVs+cPI6N/7E1t2zgHzcWfjzHb2vkui2MpUIY4CMjTgt//ntOC/TkgQIHmHeSK
IjIGj+DbJZSu3twjoRpPTgJ6NKo0ad+JpN2mb+Mc3JdpTZluxiI76dY1s8CJr72y9UurG5dhg+IG
g+kT6dLan5nKgdiSTwyOdEN6Rw/vX9SXVFTSmdrfybWUd2KR7bHIAPzPnJei1cm1aJrWYCVB03nf
2AuYT7MV0N2pHMv7zaeV661qfGefCPnqtCWhsAIorNn19Ho3+oCMOvn90eSRl4YFx/LzJDuNaaBJ
czNEGzLGntaun7nsqCmn4HRiOD3H8Hunq0X4KZem3aNeCOcuYW+6N3IWa+UKgseT33kMZHE8FNHM
Q/jGSlUb9233UusAxsZptIlXr7p9YL2jjcVWIi5RzEBGGt7RhMF9y9h1ZlXw8jc2aG5PJtxnA7Ik
RyWLJEozEZh4ojpD0PeXGhFXdnk3NXKE3W3PhRN6gM53gOqXndDE9MCxGh1wtaaTqy/17SDaifvE
cjsujoDTINUEO9sW5kHoPFY4OrKZZuQ7I+SZ+vQ40r75rIumfMbG5u/JgwA4cpK2vZViCK5W4bJb
SZ3kBEVEVWGqFwzzRMMKFvpMWHM1dms8p1ZxLoYAYTcfjZzhWRo0x6o10/6nVRXYZajXJtTiMyJk
PJHg342hX3dnp8zae/p6rIttd8tN0HZGzMQTqnbazmfgFuvWMp++rq5/VdjuU+rmU6xMTC3Y/vmU
9rkSnvE9x+sYEo0qozZxKTr2KveVKZ55IsiDMD9lFuFGjamttb4DQP/IPe3el0wKgmx045Ji27Bv
c52a3Ho66JZGF41T0r4jzau8NCrQ2ekzX4u1V4uPwaPHFmJRLxBqZX6L5mtdesd+M3qG2vOIZJkK
Zrh4Wzoatkp+MVuWtqw2jdmywM55dn3GC27ta+XvkQyWM0UBt9li0/nGkFxENEXhLnbrbr/JwdFK
Rj1KhLJi7BgDXcHVwfNnpsZ5AR9dM+n0yhmwVYF/wG/j3c4uJaj0OopLzeX3rvXeDmkgeaqG3j1K
NFP8Gb1+yejVisd0siN8HCxzAMVOufT8/dIPK76jxMHdqcCkNEN6A72JlR1L+a2j8+EKv9zR6Vtx
TpDdEOGk7cN/Phr+/VhK1MIidQCk1fU5H/75WJolNmouRoFTQRycLdzsUf+z+jylHbo/yKHUnEjZ
S9Us2bqI//nF/6ylUIHJadwlhIbnnAoYI/jLi695jU1hlfnJmJvucyVSci3zMrv1RSAe/vml/ups
56UsXHKWsZ1+ESP/8lJkwwusHBUvJc223nGPkEirl7T5+c+v8xf+39dnwqwP5s4ACPr3sBL4lsXu
hJeeFJ33+wwEwMlVs7kr63y4A50igusxyKDcLHb1Lr2UE/W0ptktKvh2uE4y3t3XW/o//eg/6EcG
EE++5v+G2P5NPzq+T+/5n6SjP37kD+mIIod/UUtECuBv0hG59K0GadOV2NnwR+Dr/MECNc1/0eCB
2MPaYmPU9Ql5/aEobThQUmS+zoR8Sx0Fxv8GB4r+9KukZH/l4v64hzATMrf6871L/rYkJZmaj1RV
MsGVK7w8+vB4n9FaVsG1tNPuHnxh9yk9YbLZEtqDGYDmrm1tkVFJLBeIxMy5Vk/KCdwnHaqBRm/g
PMo36If8Pfg9uCq1EZpTgTdVhBreilOTzWIP7Qx/vlEE1yZUxTsqcSYMNWI5AJoTD3Aw1yMEhz7M
8M/+ZKS6dqTVJ/uW01x2O9clukbWD9M7IOXlHQl/yWOqGTwjygiXU13Dirr3Sr3diAPyQ5lZ8T6k
03KnIbTAZCiWt6Wjvzuge86LrGUdfo5darAHLTlxm7pxn2buvTEAsQibsjefifKu/+kB9hWC+x9V
7+srII/o8a0SYkGR3jBLvwT2qtW2Cy3p3Udi48HJIWu6Ob2gDQdAhyE/MQ33wtysgjs26CZnCpOP
Jl2/cWjHAa6/ZsWyIxjbnIJVjZc1wf5ucnr/YeRC+wZrpH/IFspl4TYXF+UMrKDIiOVLCTvrgGQo
96pn3uH73fNQWs7RkdM1kVTzyczMg5cFMOo5mf5yk/wbNTH4swbPh7Z1b7uASUEhwDt/DSRJ3/XT
RJekFJsqeTO2bz/lDPhqEHe5wzvcnVRhdUiN07CjnB1DM0OUdd9bxXrBbKZ/SGHwawicab5Na1uc
QSc6j8nCv7WWaf4Ev2JcpZo53WbKNa4t9ih3DDJeALyZhwAoyYuop5Eqeeg4eT3Vh0zrtIMYMQQi
Sg67Va+4pi3KC6701fpRu+p66kzjOKjEOQLXxNFAxCHOZ0DtszMBBJFBtndybL5BcbbtZvrMMzb8
JfUun7JLLFKIYKS7YZM7Mij8clR7OLLzAzeluPFGjZupFzk6yw+msEUXuknn0t1RrEQS7LSiN8Wf
VZyTF2BbUgQHfe0AGLLuxl5dzw9zzbcUwikoLlVmtdeLX5rfmBDLn37JYZ40Q9dji+VAfpxXzyCw
0ffHYJb5VTkM+iVB2bnza2O8OAJXXmhy1qp2bbYWx6XLmODQ7Gc+aPkw3/Zksa8Z1mNdWP31ODnb
vamJ9b4ap/4bMJP2I0hFes02EVMQcsd/CLj+5Zm1ZS7NDYtrWXBX+C6/QEq/3DAmdsEkHT3tIaPf
834IVI2e15cvywyyu/NUEAFf4trpmvVzMv01IvEil8ieluxHIZv5Rrpmcm4Hvf3mtTYTbBDyh9aX
r3OACt0qt3qGvxBAhevod8P3VR9KvvvrBi91qA/puuupE90tVWM+zHqHyu0tfNRFacvFzhJq6A1O
ESDlqFCUxFzPnSMHY+cMmrmj4hKlsGBgetOJZr3/umxl0QYRWtVy6RDQrw3ZJL9x/NBffa3qvwWF
0X+rcRXd5H2OrEx3DOh7HFH5R62LQ9t09BhhpUJMtpRyD2TIcXZg1/Zvfb1tlt+3Av9fOrH5byKv
rDueTqLZBD/rbbf2L79+TC9wqgAQPJiddAHVGx5KeNdqjwVx9EtnFBgU3bbXnoolRzSC2hJQcdDV
GUq8nrO8WNyDCmdgm5x9zO3vYnQJKwUchtJom1y8dfbCh9GpRjm1udL2//zs+XcfAFckbwuoPgBh
ZwNx/fIB6lVALcpS76F012FHoc1808o03bdU6OHfqXnOJEyH7xwTO+PWTavtKJeUFJ7qzhXCcfIb
957Fg3lp3q3ZMwgJzZRtk/1IgPD5yRNkYDxFWZ2W/n/aam/r8f8sFtu1v+0MocqapsdM6a/vfaoo
B1ztyXkAmMgGe+r75Deu5sQ/duy9X0jOrZdi7tHRvLE+DBX2zf/H3nksx61kafhdZo8OuEQCi1lM
eVL0IilRGwSNBG8T/unnS1K3RyzdpqJn3RHXBFVUAUikOeY3K7ssvRO/TobTqvCT9Qj64SQXY3uC
qptx2yGJukfjCRx22/Tl5eKr5EzaPP8IDwDPTTWqH8CEUUYMEhdZ1rE/MaHSDJiALtMVZAXAVXKQ
ZFCpoE0Pzhvpsj78YseIXRm+4Z+qBGpaCM13lysn2tUogD9ghIh72qjzUpoWiBnJ0l93tj19tyLF
fmUXrjGsSeus7eLUWAlXGdJa7QGMcdlQSq3rEwS5w4dSstSJCaar16UXgjh+oVAcD1uKANxemYWn
Czi/m9xWc78pIAHiTtXELyZWR9Bt4vCBmQeSMy/0DqKHBmbIKepGy7lrooazcuGR3lA4BWphF9mt
CRaD8l7jJV9lkT47ABxOmiiesO4AkNe29gACJrfPYsSjNgjuTBeptXCWfDyJCRKPZwKdQGIGC12D
13DwKGxgry56lQ0N/Q2rQz/LZIEB42NvzpGRhFaATiuCzTwANrXRjlCsfvTsbrleLPYkRNTVSQyN
YUN7JD9tklyhbVWYCXwDgJNUD6Jy1yHKyHK1pPlEcR0kX9J1T/boDt970nhjAyW3kBuFBEyyp5OW
nw9lJ7aFNGfmgVvCicuBAOU72DMVxdGl6A8+ALgN+Zo8mdzibhor+CYS/SuELu1kHzSece2wsMYN
AJT+hYYjWyQuT5u2aqrDZC3QFFm1B5knOuTU77Uek+6LmrKDMDIqe5OdLNvAmb9YYEOAbdBu436g
74HLK/dB5DJZU1u5azJZ+YzadwGwe8hOKys1D+gAz8bKc5ZmvzQ4YJ7bEwCGNabo4LkHJ7mntgj+
falHx4eMWqRfwFmBiMyzBsJzTNwyrVFXnTDJjOv4BVypdWMMow5w2qk6NbEG2RuqAFsPbjlaOXHf
bTtSSpPHzdjy8koxUGqEBEJFt2cZzLG9hGvfA7Kjix/lbYTO3QkAQU6dxUqdp9gJAV1ElldnYCc6
Hf4E8zWKWZWxXWBxPBV5xb7aNYW/mZHxNNdGuVhnkRiz05mJ4K9QH6k+Qamh6iksx/lqIRsCWxSj
7WsUASnzWzKdblpiy0NnlBgkwVRZfthe5p/4/WJs8x4I2gp2GdUqs13GrTsMID6Ul8Rr6ncSxI/B
LEyQN6ogA7T4AooMilUdmhtMN/MfyLneIKaprUUIW8FXI1SI4XtWXEiwe1d2Icc1h0HAyOC5c/26
kP6T2f4pszVNzr1/ndj+T/749Fg8/gqKsF7/yl+YCPJaonhkhIEEWKCISJN/YiJ8/x+cUDYWjD6d
Sh3j/zOxdcQ/TLgXMvBNxEk8oBH/TGwdsmEbwBlVFg9aBMizfyex/ZtajT4pKaDYmoN/DLFJKdG4
ynGNQ2AYbrpK0nk59IGrbn8Zk7/JY46OY505k7khteEBJPLtYzeNxVLtDJ3QOFCKtW7RlARE2Zv+
ZTGiT/6HLV+Xl345+vW16B9RZ0OcHFmF46Ofd4F+2eCEh9mqgkvTa4dzJBGgny4kT7VXJH8SjXCs
3x8PLxoPLAwKuBZa1UdnzJQp0VgS4/tkbkOIfk3VndGExMGwguQngDuOwT2BokMPogfICkgdg4C9
B4ul3Dci6tdioCO56qcSSCAGRged0ybQlFvzqUSSAvKcCvagbYP9uLTJvvBmm27DVJ4CsyyucRUO
9rnRdndW55WniHfj6R5ClAznLrlwo1SwxUdlvJ8bQJBJRKG96VRxbaOQ9R2K+XIfZ257L+vo3Ozn
ZDuCKljTX2Snt52MQrbt+es4dfprW/XFj8VZqkvK8+mdbSbpqqSksRNNXAJPLYY1TnXjwaxCNMc5
HPb+YKINgkgxFu/waUj0FBaoXXXR1j6iYQASH6nXG4AkNEGqxYqrmUHirdwpCD0AcXb1rDA4OvOW
YoJsu8T9isYvKN7Wd3emstsH0vdgpPoet5KkT84Ym6mHQNhiVmdxWac7WUrQ4mPIPF+bMR4LK9Mp
yqe+lfVDiv7klzTI7JsAzF1M+0eRyfsIqq4QXqPUXhC+UotJk2kHRAOsKqFn/JTFGKSu4frml2YO
mWaNPkF1JhFt/TTTxL73Z+wqszBpN9CsmHvpQj/MhfRziQTaTTxRmQ+ndL6J0RfbKstsHxAPHnYV
lpQ7f/AMQUPDK17aooj3cRk/z21abyJqu5+iwEcRwFpEXGwVgxOXYX7e5MXyBRMIogJMB87MBaGw
lZpouHjlYBpYW2LkjHstilheIk5CJIWR/CjV1qFTemamUf+CvW2Hkx2mp5yHBGI4ribBKUOgNlj2
PTddvh4hGV2U2rIZZ5oX06FgT/D4KTSAm2RZdBcoEK1NCLrBqH0wlLDU1moaS2QJXXONAKu3knX3
KTVaHP+mLkIwx/TTR4p4Ib8svzkhDQFIMjMNP6+5CUfCQy9WV2IaQRERh7hMbVbPBFIX5xAXcQdr
+D4V0tiJlmYpctPLU4d5zpo3K57otmeXYFwQ5Fm67gY0hYHFs3/TNEGy7cXy1ehb58JeYnuL/6a6
MOSybMfAGz+XZdATKwTDbi7c63IsvkgnrOxDAjtuwCYRxuL8XNKlt1fh0AP09PBCTuno+rWdrhZC
qE0WFRlifrbuLc954y1nPrZm0wnHM44sFN4a01yFBhnifaYIFbWqPc3ViIGomk0/Dyq9dZFVjOhj
IxnnD+OtnLt4G7yClsQrgAkrT8BMQuOags4vy/04oEbydTJcBGxRc7LhjvmjInzIjdnfKcwYwUpF
RYeaYUYl/GbIhJa6JeWJLrxGR1NV0ZbjVUQtkoCwJj2NPwWhrklqIUPxYNcwklH8KckctuhIB/Z9
ilye2MG9EvJFvsK9YuznjFM6oBoHlhWopwCFDlT2YIg6+xwMRbJvzZJtuCqkOAwmNTYZzobWj7ND
zAZ7zzmlLkqENy7D2K+EEQd70TnwyuywwW53Ege7MEwJXWEG914sgUURrgJMpxr9xzL0ws/z3I/4
HpZwskqrrHewUKmm5lREV70LgSnrKV7WyixPgScH267ol3JdNCFcF2h01afGdeHLkrBZOwsz6E0O
BGUr6qBbl4oAlf5vDBI9DINvcJeLdUPM93lRiFCvRGn00AGGsbieHLf+Tm3bP+NGqARlSPXBsAsK
etNelMfbFvH2E3QHgstcJN5jjqk05QnIgLtQyeLaIMZDswClz1Ir3POZMLriB3zw/N4xu+kqz1Kg
Z/5SVJ+jIkbhQVEft9g8Mq9n3eZvXaT/RIF/jAK1EcGHUSCy+++DQP03/upu2AFOZzZ2Eii2mW92
Zm9BIM2Lf7jo7ZmBLeyAeh0djJ/NDW10hmEAclu0G17htP+MAQUfAbLiU+TiXEI399+JAXUD5ZeI
6c3rjAaMhQOL6XJ86Yjql0IPyPG5KJBc+h4D5Eh/cJaEjrkZKaAD+u+61J7vUzRju52anRx2hkKz
7XkK8xpl40pUjb2rDc0Oy5C/4awkGTKpAPp5Fk93rVlgHkOfv/YWDww7JGZjPTgDkjNwYXs4cHQy
emVfguatoYVFZm2MdzH145YedR9hZwLKLoE+uPR0G/eOisDXriaOUiDppPCGH+7KAbUT2nwqDrFV
+eVF/k3oeiRd52qXM8dGPZN/BUfo8ehU6KcgQ7SI74jwDgEI0UhC1YE+4xAaBRGUEiR5rKQsfjRe
m8y3WAVoxxqbnZLnASMaTXcf39JRZY5bkjKwhES1jlYrra2jF0ZiPqGz30YvVm6ij1q7sBVOFxSn
ISnEBoACnBZQ1bI0thZuIVwy+knoM5g17gfINmgnCdkLjWoyB2XG2yWMln6z5BOvYtt1S0xE2Hoh
3RBvIWe/WJbM4tcKMgPRoIug4G//IWx/n4mgKccg09Il48H/yWMtvJ+EYZxNiZHl5XdzhLrxGfq0
Ud0UeVgtVx+PHivq19nOhRwMBFFEE2C0yc103faX2T6zxwaLN4UveCzYyA/UeZi5aBObrPDJkal7
OapK+8jNnshxjqgRYxxuOGkxpPj4Tt6nDfqRHaFF2VCVAhGAlt/7O7GcaDaDKfVeBuW33oWowXZ2
q7Yw6JKeEo8t4Lw+vuJvg0zv3xcoTYJso9N67K5iWJGBMoF0nvO+aVGrb+Za23IM/qIF0D++1vs8
TD8dG5eLTRUT3icVO3qhdgLuA8Nf+2WiUpm4323C+jg+CeueeRdVjR7ifPZ6TF4+vvDvD8kc8vQ/
ti/YdHUv95cXjGK8QjcrU8+wYnp/WaUyx+IipB3I6H58qaPMTz8kBiigDzysd9m8zaPJlNKLy8bB
Ll5U7lLkOyRBWN7liHU0SDijpB/Vl1OwhGZxViVtqaXFhxhjp1TJGicN4CrhhC82Xt3BdZp6Eh5y
DJY0P8uGqAXJ2o8uxkOHj2/6txcj0BrFG5BGtmVa3vGGZgWZb2OhVD6Xc9dyF4jNZzg3WbOBcUFV
eJUDf3eosPj4+LrW7y8GDy1gKD76si6Y8qNtKzQABNatMJ4Q07TsZR3AX+3h6/p13CKR4VB6zg8s
k0w+IiwFYnzTIJIRgAMyJnu4TdA7hwOHscrS4bFJO3znlJ49fxLF7Cp/8/Hdsi6ONgrtBQewgGUS
oBlOVef9PBIRELuib6un2E+QTUQfau6WK4VWDZNqmYnjh32gauVdYIuQsJpUCS2NHMObZzbLIHOj
+ZkJWKQ/PFr8fEMSulpEfbDcKv3xtgGjH8fuIiakIL+qKIBVCJBYolK1GnLacc6rRSTHcOlYA28k
LkK9RYNsirmgPWPJcg2ns5selpl1D3FhWgC9b+w01dIH5pJ48N5stxGs7yZGkoESiJsW372xtxKL
zm2oliuWfyC+lknJ1GzxKuIeLZBI2HlbcKO/QqOswYr23oTD2dI5crgF6I3Rj0r5E5TxEX1gSOLY
q3hnNhV9Ll04cZLN6xSyueYMgmjlYSozTSmyz1AvEVhTI0JXCCNaScivJGgcF95eDFPcXXeQkjnM
5mbS5j0K6V38gtIo4NJ/qXs7+LZgnBrNtXfhgLBrHho/gfweukOTnOdu6UMdsNRUforhuPSnPf1w
5tIEuJOhS4YEvyR/wOcLg7WQFjPufegtsNpqn+KIjdJHWaNZ/vMBRNq9WvpJBDbTjWmG2p9CmCXT
T02R3sR+isc3KtR+fIms5yKlMYN671/f0dSN0W6dBCm2eM2UqyCMOPEiGIPeSbRPz1THbI6zU/FM
2KnpUXWzbGTkhA9WsT2MI6j9U5yWe6xgILeYXMoxJFHbXIda7LGeJb3MDRu9ni5V0HFqOYi1M2nS
0EuLG1oPlYQfTduY6YIIjs2aGhBLZNZEdpvzzpzJ5Avh5Fmh3HVRBxfn1HCnZH5uimlgDKtpSLm+
0LCs8LOfoxWbbhbZ+/l4ElJx0DLwS6ljN5qGDp/NtAz1Q6RB7eEFgXtDiWEIulvcsbQHdoFtuziv
XoU06biT1mlcHo0stHGG0wAaOt9SzZU2dQDx4POTEXWSswtpio5bmnl6/nDsU30vbhBTV117SOjM
z7PfoO28cRa4hoeBCiW3lxYJiOz1FA5mllwozUH8ihk9P6xpimiWa+oGeowbBJbSH/00aq+uxZd6
zuWEgO4h7Sbcb5DZ8PQU1aH1cFv7Jf9tLB+wwEqmoBMvCB0XogzE8VnnczuDBVgtcUYgljaOdryK
8eXhS1uYdbwJoYgbAbLWljPcSioMjEIMoEXNh2EyVVqca5EDvrChkcn9UVfq9ax2kkTzVbNgscRh
8nOY2pvUvMV9OAmGDcgqqXemOI/TZeeZFEwQBKqdXZfNkWsiLrPkMRR7s16uxAw23qYxQdXa3QYF
ZQt8BV5NxjwhhgxsESl7Q/MaQbjkErefJIR2nvb6DZcJVpnWTuuVD8ZJosw8mVdT23SVWk+5UsaI
OpGS3GNoKN5N4/pJJR5LZWkzzRK+cFR9DkjDXTTEVBVMPjWiBAOwLRsx2822wyseAnlU91UQ/KV6
jwVmFx9CJ+0Rf135Gdus97yAuEBqnc125pnR1soW8uc2nuI4OsuquLfkRTdRV2XyJOiaMhO7ccaf
DUslPS9N7BOZQ6GToIH0qVqqhc8ae+hb62IRuGHcq6ZklDZFxvsoV5NpWH1zAefXZstNy6bnLZWW
a3MWVFhU8F1BQ3fRAfKdaadHM8EaY9gB7h75TVKYhs+6NtT7EoAlXe7sUh0RQrSN2J5qd/IYvy5G
aeViYBRZC5bdKSbU0LTOXJ3w9rUxoI/Wlnvwc7Vw4zjK9VzaxcmG+2e75Dga5lpyysOmrll5vpvr
Q7brem1+N3mCnhiHcjuzP8x+bLiXkznjQYR+UCHcQ910JY/kV23Vojht6xDLpFAxPxc+jcjzn3kI
u74eHGS1nQqPS6q9DZbU8EscA8zSsqCzBkY22jQwCsOti/5j8/nNpC2pOPzn7TCPkjuWMDcZpQqv
LhZ22i+E0wc/6fUI/pzWRTLqz2YXRjDYYqjy3DkGgHq7V1Dhl3uAJiZj7EhU/8cVkWhksj6NKGHl
uj4IY/j2aNzVF8B1ynQDuLvtjJVcrBnfh3LM289mMeW37wzFvLIesp1XDX39/LurGDqNSfONsqu3
7P6VoRhg+Zwil5F3FIUcMdblyv+juVjOsQpIoBvA0fOO/mAu5gKnsrE9ao25e3hnMZY2bjYZK6AL
c4hr1792GgswEzHbXWgvVMWouNHp9LrsfDQR+dz96jkWpRThOPi8Tp4qym8+CJbOPnIeQ9BFasE7
aaNs+oH/GN4RVtmtOomX4DoOHWFcvXmRwaRv02pv1hKKxfZ3SzLXcNVy35XM6tU7Y7IcGb+23iN/
Ei3Tyhxk7W2C/49LWSrAD617WEAS/JcSnbn/N7zKKj/rYYJaopsXpIiczjGii9bmYdKrn9G3Oed4
cEJwLSrEeMcq0QdqXThFLe7GWdS1u6nDsUVQqDJNkPkHBBux7FOhObJgcM3QsSYC5tR79y0enfpY
CdhIWNyNr8PHlgOc5RCj68bWUAjTYytJjDm0wl0652OU6werR//T0kTakFLEzcDRQ89B22B1JUjY
ZT9LyXfueoFYyrJCTlNnDhIUB3cLM0tb2/ZNkXhfRalwq9qj/iezYI+XD7WGum8E26RQisjezyhu
2nvXFkTBICh0FB1gXMZelvqJPjRCY8RkfoMIijC34G69xTkEro0n7aGkr8meUvSFyYMSl4BX1XK4
rd4Qi9zmjB7pgRKajHPQMUBoy+iTEx+tiTttoxi46L6Xi6yWz6DRtHEyKiggsUjMqpBtRuF6zf2r
INX7ZOZK7YJsp1bAHZXQaaz2MWhRIweY8WoCbHd96z2NuJNUO89OZXkWVenAsdjVtY6lylrqkCUO
YHIG+w5Xqs760RtqzoINyqKIpqw4D6kb0C4JJ8Y2MFvB8LOHa6Hw6rXcg2i5PqV+nmCuVTGOGcKW
7GheMOq7t5xQW1jXkZsG1X5O0Av8kfcwxDAA5lzhDnoM7Jg+f43E0uDqt+qhlBCRyjLmGyuaBSh4
ZlYJUHJFQKSnYmISB9yIYgrF1xyZlwwRcP0aOTAtzcg1++7Wb8KJJ3ZS8DftAfEfibhMGWUwV64W
9MrC4GHIpEBpEimjqBhPXMLR4XZBMJ+nspZaF5/aFpZhfFKbpQ4qzI5O5Yis5qwTeR8FQu9rQb3O
mtbJiABat4EThP9nhHQ5x+VQ1W0rDibEuMG/WrrYrpIzL5ToARzmxdXrwHFak0cdMoLM21y5eokg
Ea8LXmXa8AvhgGjJY2rlpMZJQ5sOrGuIRZ29h5WOROkGdxR9uqKmG3Fo9hXtIW8NJYYo0HPQwjog
HqrnI4bw4LXXJiOQ/ggXWfIDf65/m6gEqZcx9yXHpRVzX8hpxFKHhhTxIx3MO7W+27flkXV0v27z
fqx4qa3CXadAtd4Zom/I3ES0jnFYx8eDVgZzIV8nMzFBunNbUKZAZ0s7KM+L0YqGbhPhamghQdQV
aPlu8hFN9GTdGwN4KVx+kPsDwzXQG04VWP50EwwVKV8kg6R9HFqsnMAKZX3dsbnMo4so9mh1GQIB
wmaeFThfM7JpLcjYTDRWeSHKDQgvSTx5z+jcLVhnjzb5E/AHGK77yXaa7HGIrYlBCd8iHxWZA7GG
qvyWp00mPLLmbdl2er/ylzIgMJiiyCT7KqPG4aeInAUVPwPJ6mdtnrxcmcZgmmsHnBHpCPg83IEO
vlc7/a235A5WfcZoMf70mHTSDXFHR2HtZOkkH9UTHchHdcX8CFUY8da6goIumui+sQBGbQdBbwkJ
5Yo+HkEIe8BiNeS8J42sy1Hp/IHp5AkuT2kvXPRWWbMnQ1uSAqmcLUpuTP0D4BF6ilD1iKPell45
5Dq0yo0iQEIfG0b8GDfdMCg9MRBd5zaN0Jn1lASEOpaXpjuBbmZAFp1xi8CAt0jPVuolTrc+qs89
2rUEr/OYRnt8lqf+2pvkglA6gtL5waeZrloONsPFgtSZUKuTOy/PKr4mcLuWvSpFF4E3aZc2u/h6
fMsapyzKWKVNOlhsUgT8vYdm4cjuvEXmSWeBb4lFHi76piuI43O0ZpXN9Ks6X5NrXeS2mOgkSXT0
12NcQhreJlavb70vJ07C7RT3YddBUAfFfi5riiP84jIzo3Ae1BtWx2s0YiiMKkleFTbVQmcAGGT2
6FSTztDnt50jmJQOdAsr07Py46rR39SMgOxgaEFDRwrruMAKzQ05oCAfn6YQDYtkPcRGHosNsLEm
x7Ovb3neP1zyuKpGmQr5JeHqch544+M664z/gI/TafcksERjh3+bGrlv6Mrux0/3+6U0VgkkuW/Z
FM+PnaztOKqXgerEE2K3en+qPNcZCArZrNm7Pr7WazXw/3A8YJIoHUvLEXixO+AAjsuU6EerXOtV
PU1O0ZPIICkFTWgtOjdmGcZtoW3YFrQcs8e+dAXQjx6ZJj9f151N3k0VQnc2AlJevfe87cw/ex8l
CoA6RJJCcSaANRj56ePb/22ogF8CBwrA35OO26b+/JciNCIMBRQaKR5R3Z64Dw4onRZyuJJCfXyp
3+acQ2E4oBVEJwiT+ON6N2FUYmNGVz8GMTT4+RDOaNcBcZZ6iXhhhMDJHx7uuIUCxsmSng2snaop
du9HFfYWiKIfUb9/xCRV71HdlFBF7PHO5ICwA31mhYEXseP1Mz9/x+vWbC/Z7Qpx8vGzHw8zXVMh
dC+DNqmwfvNWH8tuGsYgcr5RkyBvnuOYKpUP3ocd8OMrHY8y+HeTp4WMw9Uojh0VrxG/aYCFpta3
Hsea7BwND52aJ2jocMjHto4aP77gEfUHwD1tMB9EmYPJOkHT0QzqUn9hM5nbby3ifMyg1gn1Nsem
OPNew7bBvxRJvWiOg7XMRMzJ+PENvAp8/boCCbUcOzAxKJW+5NHt93MYI2ow07UsvzUxTqvlll7W
km2pesRBiviqDluGNtahMdpPev/+WRQ3RKdLXoUHzSY+Gd8GpwCExhhR+p9ZxRXUE7KF5c1RHEPL
ykdH0+mAXqwSK+vYrdEg1IflMPfVUIFlMFn4kAnooaebTvYUj4AjTWNC+EaJbottHbT8k4TWso9o
Ou4oXEYBo2GzMFpbksUAf9HHOTgKYhsM9fQRX9dtzW3JtwK9IrRn18RfRQdNaKi/Rny2pYPlMIVl
RdVGAS+jPBalLZVJxANAKH+Ky4yy7MfD/9uEk7jZmJ6QeLQ5v0/tnswiNsxlfqggVhOzRpiuk3AE
S6cjgJ8l648vqdftuxfOVoskLz0aZOl+Z+7SKJs7dJbHBxxrdI2xTwIvO4fbYmfGhalMbfuOhlZP
EjVZeHJShM0LfTcf38bxk6NjjN6FBamSx6bxftR4Kb2mHHmX8UNWUf48TYq2K+5seAPtma26P9Ck
jncQQKlCOlSKPAetT/dYrgsCVZTEtVLfBu2EeS9SqadFmtY6svr4ueyjJc23Q97A5sSTdN7Q5T56
sGiczDwvB/uuVKhtoIZjeV20iyijkukm6cjpsKLhXfA/ScGGeTkJJ7gnWROtv6op61KCIeXR/Xuw
9TjlbixokUTYSUSGEks2gee4StEvXruTocsAfudVLMLB93SZGDQWvz0YFqz8lYH/l3uIIkN3iqyh
0Ps1CUE2NSdojyZzvisrM3LPPx6Eo/FmDBB4c2Ci04HEZe14DATmXQGK5tNdX2DhjbBwRasCzNVY
Uaf7+FLO0XzW75TNywNwgUwb++jRno3EBDVVyw1vfbd6vVYvKJ1CBtGhfs9Wzxb01nvPAekwCrAz
dJX050/t0OsKgTGaDK5wpa5nkgvW7HR2ge7ieGJkaW8sZ4qlil9EUhfZuJ8Re2TtZGVIegz1T6cl
Pxt/dIt0E8nIU5u1s/jmwmdDVegXvoiUqxiv3XH5VpoYLCqguI5rWUvaj2821HJg4682XZvowvLP
Fhorkrmb0vPg3AtRJeELZ6sYKYF8PKT++9enJRnp5Jt4OOLQifPg8etreAJQsHX4jBy5/IqMgECm
l/boAZ5D7VLjj1Eed6cA8XIMYDe1i5RMYWf5/YDvN1LLPizEQEUOYvUzGFUPO+e7kPxVXeWTQhAk
9gdwlkF6XZTSfB5qV9Ur7NDjeU0vx7scRFh9gtKvzjmR4oVsPR6yjaFSB10nvx5OQwxXxKoGZulu
qBpm98ZidCQHOdDEtQraK5dTKdu5ueGcQ0ccUMqfmy098fw+pod/muc2XYK07oTPITLSwuus/Buo
CYFkUAQmu18a09o4dStvbc7nxzquLIE8thdTwoiU2iMGX95i/NbfJ46DlKhvGm6JHKmoH7I+UC+5
UbefPVcpwqKwP6RTjy0YTYoacCrN5TVoxMRY9W4xnGIuve1GfFNgIqfplx6qIVXzEAGWbmyr2wW5
6A3hp5ZOB76PvoZ57Xaz+YSbqPpmycW9i3vRr+PJKz5lUiVoIM3Jp49nxPvNmglBW5nNDGELevoE
Ckd7WkX5RwJhL194X9NVYIdltvXyqkt5baZ39/HF3i/ot4tJgHL6mCeGO45IwsUltGuD8sUzZQFG
aDJvwXbaCjuO7HxwnZ78L6qKa1qE4CY/vvZvM//1McHq0LJhEz/OR3qhggqUfPHSlCWJq5PX2bQr
HEwx/nBMvH7T/x3Dr0/pwlsk7gssDuTjJHKCPmejrxy/WCN6gsQ8HBerioQnAeSey5vSLsKbRIUG
QHaM6uuNM6DlsUef1dtMeQfsC7Ced9l6bXBawl2747xVxEl93t0XBcGL3ZVFvbI7y702h7T8UfSO
f1ZSnr0e7NmGSUueurIqy6yx80bYrgiYx4YsPKo3Gb04Cwm3g9kG80taRd06xQl1Z0XCfET811kv
vL8/xEJHIDyGRIcBhEGMi8MZfRwSWIZUkwuo/sXt9eDHiRPvnSrND9MyPaLijsy0EUyb3o7QGmla
wzuA8YX18PEUEHoyv3szyEzorA4wIMAx79hw1crCgvZBjItBv6Bqk5dthnozPJ6NokvSbQa3mA6y
6Cb0goy6uKGAXxwq6lbnQ+0hdA+xwbhcrMg9IKFP4awFPlwk1NPRODbOk7mUZzNq7iUigrfUQPPL
yuClwXFHbHy9dBNtF5SFw7WsA3lD2DhUO6S/f8xemlw4sk5QRKLkmURVfVmILkfdLlT905zH/Z0p
7OzaKLXRoDdZ486xO7DVTptEt2MexOk6bkweIJ6wthy6iBaATJsUbiRn4mdXGP5Zgp7PF0t7bms5
IDH9Ydrrw/h4bPEoJd33yGalrdffLxlzT0mY9y7x6UtccWE0TnpfJ84MUrspzQtr1Ijxj1/n776o
UIQ16hY8kgME71hdwYIth1xWnX5P69Q9pWwGGSnsZ+MThUqEsTB6ZKcXUftSO2Z+n0RTd5YkgXlt
DIGz+/heXr1z3z8+oSbbJwbJMK6tYzBgOxZC+VFZfo8mGgzk7VX4rULpatg0xSxwVbQzKhxFhRNj
J6gVbtLYE4cYOOyGOkkQrGl4wndvKxgAmDoOuvRLCb00VHyeeYk6NI4zXXg9sriRkBECcBCnx5Wa
LRsN/doseoTG/WoN1lzUe4Nh2aVZZ5zDe4KdTinDOPNUPF+hHsBxluImuItGTu91hX7GWUGbl4jS
KSAy5E2OhugwIreBK0F+LwZSU2IR9bmzp/IEkSYHVywJ/5WZSLto7VH1u3KCBIk8CaIOFdWJvlLn
5Xm0xtehPh/rQCmIpLUHrta3K+sEcArC4aYX2V9wwEy+wrnpfriJjf+OGlIw/B+/nd/3H2ZKAGgO
6JrH+znekh17BAI7jdl3LLxNqWVq0ydQHvNuqXhl5FTyZVG9tmcynuYhxTtj9ob6T9S2v5uweNgT
NjsgVyEVHhVeQEqpQi0y/x7CAOs3ry/EW/o4P0tyLF/MBUvQpi373ezF4bYOwukh9tuhZp4s1u0f
xuRvFqyWsjJBW2ppqWPELjTlcahQVv8eSdP73HiWurFzw9ig/5l84lzsL/q86U5rtyxO8slBR6+U
HGQy76arBKMjAMloi5wl2Db+ADnfiJXfJNnnP9zlbyEDKubA51niYKZJKo+GbCgwVAgat/9O1buJ
7ogshFpTSUR5T5nDhe0NGT0lhRzbxm9F9SNesMZcLaFdj3tHVupeBHl0Zsoxu7NbfFnWPafArk3b
nOGOUrnGyg75mde7/g/P4nauv//3fz2+FEm5SRRJynP3jjURuMSXH/As2oQF9Z5o8fpX/iJamME/
oDAIKP/k9Fpw/L/+YttaFkxcaLgmYA7koEwtTv6TaeFI2LZaq4wz4PUT7uEvYXKYFkiw4khDzZs6
3L+lS06Q+u6ME+gW6VpD4BPMcD/Utd+fcUUjFRR8bzyzkho8Dun5SA8Y2IfwKvMTioi+XRBOSTrk
+8wu8sL80hGJWmSTdaFuEXvo0HbSpXlUzpiD9ZhCUSqb2v8M0R8oarfu05LGyboeURbYuc6Iqzd0
tvmQGuNIe4R8zS6GEwyLCopjqwUrka4+L/MZudhhSEjJAr8uz1DJnE45UAbzJNWCK7MbhrdASmsC
Su+roaphP1aDxLZrCjZYF9RniNrBSyWbsVZCaAksL4G0lMTQw1aAyKDxsxEF25FiwwiZaoEc6+Xe
dLNkg3g0a5s9m/xnOE+Qmmi3dqyjExLwhO63E5k5wgkD0qVDm6OhHlTJiVdEjbwIaAGCspxNiIeG
gceIV8/dvmuzoSfNpoASF252qMkKd+nSSlp6wHn6FQ42IRIEQzhc2iIsHwB+gbfwUEnfk7l0m1gp
DrKonvGvA6a20OkswNOJZvjaobpyHy4VLdY2aurphJYPQgZhK3hQvK16+yvN3uZsFCj1KttrcVvM
UNmI6saird+eISNgaa9krK9N0vV6lWSjOPHAc92jBzqdEZcFak9huel2sWrxrh6Y6huD0r553XjZ
1oZqVuydLg8588VEiTTVyleo9RrwiHHMpTfuttXG7DG5IOwsDg1adyhaDogz2uM4bscurdbIdQxA
ce3OZKCjuhZr3XD5IcPEfFzQp9/9L3vntRw3smXRL4ICCZ8RE/MAU47eiZReEJQhvPf4+lmgpHsp
9tzu6XnuiAnFqK/IqkIlkCf32WftzORu3G1DrIEK+vO52PD9O9kW5n6o5vpOlG18lll9/oSt13JD
Fb3Cq7FlHnJA26qvtfZVUSwtVTmbEQGfduORdiFYNGIWY0CN2eyWEUQQ3W55NZsNabRhi7WG0I5T
zOZlu5VeZHcWuC1CHuOBodNUqY59mGrHviAKGfU0/Mzd0KIs4Mf4gm9dMDbd9WO2j/pGuw8hLh6n
tgAenXOkcmUZdneOMX5VcQf6I9BxP8RFVbjcAQmgl1ovyOjF5OpFliPOCwtJIItN59M2vL3HLWyF
rsleKnxzhNbWMYeo+13Y3JuY6C4bFJ0veV+E/tBEy8cBQegQrgxAeoqiytStFeJpxlrprpZqLi8b
M00Zga7SFPjMuOGEu2yzAITVgxUBbJ4UWR7JR40eewZ8Z7S8ML/NjFrzcPYRAwyssq8c1qEdGoxJ
Gpl6g1Fn8JZ+1uWuKg3qOwf6dXhWb7FmMM3qq7YI5a6z1Px7KbLlyFw5EN+YHMNxXqRbhv3XFL+l
DyV88kxCLQ9pTm1ZGdozXdtHM29Nr8wijlpy1OwWDBT1cZSD1GzierCup460U142M61haf/ZFb+X
fdIvf7ErQq5hI/nPu6L3nCcvhAgmv22MP37q18bI7icQuLFybW07x+QX/sRQ0DP8wOanqojuTCiK
jaDzc2M0tA+qsJFOVeZ4cAdueIhfG6P2AckH2zAJG6/b5t/CULwrbE2VXhctZVRaW6dhCrDp942x
X7G8N8MwX5aTLgNQMDwXKz3dhl/tabxhIH45QQNDW1LVrP/UV8b4kBndDOtYls3jm6t3/ePQ9TbD
Q/yu07++GxoQqFkMV3IktbaByTdHUaQDjNTxQHXYlOKSBA+OvINdEbc5j33F+Xgyhk82NzLsxMLh
DNSkLRtcuHa24TnSLr/Jvlev+B0xsXN5Lh5oezliz0RZ+J05GzH/xenx9XD879Pjj3eMHEGriG4G
hI13Kpyx1dOWXPpLHX0i8i18jQ8jOgYOb3upTLpos0hJfWAaet3qc3fJVH1fjC2Ax5ZZn2/x3HXC
Q7QwfYKiK7IKixjtyW7NLAqwr8XXiJengvjBzrcBNH7s4uYsyydQ/hj0rIukjcdi/+ffwx+/BvpR
KsdQes3MKb1XBMg5IV6wzrvLsg/lxyrClcA4hMbSqMsB7tbcyrs6FPnTn7/sttbeXkt629gcaKkz
mrf9sb2tN9++qc6RUXdReVk6q7gUWTxclvhiElL5Pv75K/1+NmG2iFeSKqIGXXsh7fdIy5pddW3Y
GC+dWjWem6kidSDsnUUjliIO1GbIV09XF07lKfbg4q8Wze9q1vbym6jG5Bp9AYunw7tlbtt6Ekdb
nrrdZOZzgXv+Ocu392CCNw2I56vcReWr3095Qy5Dk1X29z6X3XGSi3E+Y3DDWIUgRXqqTUSv3tYa
/AZnWb7Xylj7qkIouEexZmBK0zmm/tWh/I9fFO00HhuchzVj60z8/kWp1mCWphkqF2IIi2fmH8D9
CyXrS8NFNyqjE0D37EvkyPp8XpsYr7ZBkq0mRvulh/VQeQt0OwLS0vE7eRsk1ODSsv9CuaTF9345
bXOk23znpuZuvcbf36XVOonaxr1+QUVXh9KB6xSv+/l1j+6hR3jt3Kg3pEeYAyNUMWE8oqRwxKqc
b1t9Bpbyts5xW3JynqLHKQWkRoXTM7vT1A/YbmkkoslhPtzqCLJMqSnCtCsvp63QaLaSI4Jlkbrk
cVKJEFBRHEyqtlstja4j0utnNx/s5rKniulf6xlrK21Esmg8G4xhxd4/Oek5PibnE/WtcYq30mh9
rZImNSbrhbsrOZIZQR01bSWV2IqrNZ2/0n/r7wZVofKait4GatAMRyPUtPsmFlO2D22Feo1xmPAL
liqquKRslM/DVtrVdUeAHzb6o2hk/i1BQOW+38pBZiypDJkgj05EyVDubIUjyrG8aqZiZtKmbXbi
tcLMOQtG3jhFTuONWxFa0PQns1heAXyjQhVMdh/YarTJK7cS1sFu/jQXanym4Za8M8mL3Q8yVTQq
pmJ9dqyqDTp1ZpxkhKm/U4i8e2ZmcXrpXuvn9bWWLl/r6nkrsfWt2F5e6+52K8GB3xSHklLbla8V
OrU51Xr6Wrnb4QS54rWeJxEi9PBCUOW31PuRsVX+03YISF7PA+nr2UB/PSfMuj2fW8R75uHNMDV4
OV2y0pey/RZDudbWT90EaJxoT4kZNqu+asx/9OhvA+zBWr3ss77ICDdImnU/SmacwIEmCOyplld3
qk24U7ropEYNfAeESTXMK/N1FY6D8TlkP4TfMzUgBEme8fBKivAKGdmyycFZ7Cn2mU+UPbphr7Oi
prAS3eQN7IU7S4nT8Grk1rGwAjo1PB+hZ12xA1bcgpZv2LzCYCY7HMYGug5pfSGHEA/xm5iTWA5T
uCMRA/ZqxyxZtjPLqFg9ZzV5YpYaKQZeEWPydsduibrrLlEKfNNR4rwow2gnqq9WWr9PDIdQH5OK
NTyVut1jR/ZKzIHrcug4mrVEyaP1F0HYjSuo+LYrk92SW8VyULuuqJl/A+ju2USR5ATUNEQ88LVq
jwj/K7qxbmUcULJCVa4IL1c6LnlZPqZFIYuj3so+D7K4t27XAbLJjmONJs7iKe5ADtkxx9992I5w
f9mM9RO5gxoU6Jp3EFR9DlnVETP2UxzE9XRROAtLW+FWaf1Q4OhtddPM/SgkyAHo7cjXmdgd9Um5
kaK/Y6mTlu/wBgrK/CJujoKK/0DOXmZ5WoYX2k+qJPTXIczIrJzaWl6n4ZQaHpNQ6QpXNV2VM5hP
xk7UYUR6AxlbdSBobVfHOIF3EGTSiDkS8O9cISHwsHwivaGzmRDJjFlMwdO0VCAEmWxwtEuxAi1K
CF8wFP2e8QNtuLRq4sCIr2r6C3Mo2ZKizs74AUnEtb4LYRuUn8gpL+NTsxT5vOsmc03OyFXo741U
M5/NOaQv5wgW7w4Dqa0HjNOjJRQDHlU/x2nceTg18ZgyN5pPE5VFGqXjXYeJ8kvdxvphtKcoDJyM
4Dy61iG/x8yrdN4RgoWFdq5146ZDiL8XPfnf7kTiA1xOsdhzwDh4mhzaWdOmY2lHsC0SxZakaTTb
4kzTptvbeQfXaF6M3vHUZhNH4qnkjVUdD90zdjD5kehLVnfBU7L1HSFnjr2dDDXY4EOW3WpOKQ3Y
kHhGLvq534rPjUwMMNCag2oqeOmqWldITVrRr3s1s7cPv731iecT74vY10vy3PgUDGJsFFYmEpnI
zoj38OocQ+9N2drc8u1AVRDxv/FMpW0YXzW0qjfPcR2rfN04sIaLQsFA4ybq0My7eYO8B8vYEHjH
30Ho8Il4gBBhvtXJNB4/EmouT86YJA5tbTDK3sy82vNE04sBlRYolt7PancWUeamaGJllt457Bb7
rlTFZSOj5hNIFCDOsREn2qlyIjmcheB/Rn9pcU5Q4C76nuiBKfNUu1m+ZjmpJ/PQEbrcqMuYPU5o
R92hCAlGX0BZ8gzBGBb7nAMcPUhwOHQ7OHHyUVHDYleA22UawuAxt7RTfJsAAzkjMT41fVNrtYjH
HtYQosU0+bFNlTEKCCriNlkxZ8ujUVai+V7wQCYSQ7Ckgml7YgepCah4RyD6GLDJTM2ZaAcN27vM
+5GdVh9VSu8m/dxKFH2FsVFxWmXfim99R9wx3mVhj8dk0vhVM0E8q2dMkRUda76WyVOIU6UxMY79
xbzY+V06Yo517O5Ad3I0D+sElopkOtGt+xp7d3VRWrNxrvTEaQdkIhTjWcTwDSPKZlfE91Qi3TdV
bm1XHp3dCFOkm5AJp9EhYC5cmrs8akSy8TB1Z3RXKrDloWasSfLLOrS82CbF9qSE9fQFWQhabW53
Vkb6nCpuZvQC+LYbuYT0jU3tw/iV6tdzlq/mZWHVYESbelQthl9iY/YWqpsumOKab21ySsJw2tUu
eHZ0HW3pWWfqdczBIxHU1bD6QdtGtr+EC1F8DOpYzeNkLuI+xT2MAbxN5EfWetFdlxI1ZDdoQMl3
ThFbkzsPnzRnmByBGXC0H0ytRLacMC8ZFyTmwZNoQtwkbO6s6IA+Jd8mBwfku0TvM0hwbR3r19qs
5tYxJPqOzzXPSnSRtUo9+ZiHeGZQjQ39BXh53n/LZMOui50s9jGJqceF6byWsWnLBqwbxvYPE9Y/
/YW/UFLANGjU3/9ZSrn+XpbdQr7XOzHl5w/+VFNs4wNHDu7XjWqJmL+dnH5BPdUP8GvwrmuALqSp
i3+3GVBT+E+IKZuRgQ7epsH8UlPkB1vQReNEBqwdd8nfAjrRffv9zGGAwgM/BOSFc9E2H/Cul04A
d4eLUF0O5jZp5A9bpDvQyQnc3bYaA8n0mu4VRdIWu4lpGulqXQsf2sHzseNISlshzlVFek3X56Yf
S9NS0MCpJ1r5tYYscDVZ1nJWLIK862TAiLwWcGfcQungDIiFPDor12oawp1QApsxDVD5cSi0oE05
/ED/qD623dKelrSJLzFnEjmurOtDqCn6FtNqY3eWQAgYfS+auyhr5/KgNpIkRMz09jN1jFV6maji
1K2Y+yezrSaMtBhmlNe4PCT2mnxXhIi+TpCpLyjT7SdzqdLBJw/TOKcDDaZN4PkdXGQAUoSZG9fg
EUzmtXSi/GzUZXrFGHJ/MSJo7kWYklakhkyUVv04BxQO2S61qRc2xTbyZugArtJaTMFT3c2uBNkL
vsPUH5yWy4x5JeMltFjdEhkJusIjetC0JgpICJFQIQ1xIhqsuO4V3aLtvRY35I1W1+ngtBxUHIKg
oBSUJ9PWag9XeOhlU4ygLTXS61qnuCg55ajBYlsT8+0Z1gW6POoj2kN/PlTGExT+/k50XensHQwn
ua8pRFBTCjnZvmwH/eOcZ9ouxQO0L+ooJdudOLgLBt8Sf9HVzCsqGN9M/HW3tlU5aWBZoXnScUW+
IPyUgVGIW3u8BoJe+pAMCYCM1Gtj2AJLu0rTL4XSDZ8ENMCHttDnKxzZpocDNKBgYrC0AHFsxyjZ
ejnnJ5m34bkENnJjYve+APH4mDA47zPYmPE0HBaC3CLYfoPJoUMxi8OkEitVid7LsjS9JTpXvRpI
h/LD2ZiOkVXts1R3gsJAzY4HtfJp3PC0ZZQtPKQkS+0IMche5DR9FRDRd5VhMAtN6Ie4ZZEj7894
YVH7C3fNpR7AGJ/8DJ3Kh15yU7HaPGHLs2qjnTH7bhE92z2tBUzGdYZJGVNQMBvn8C672PSiIQpx
74vkRHtEeULQYL8mLOzWzOuaBpspTzhMGz/F7Bi0YmafNNr4Ej8764Zly54E9XVfU+y7Q0lKfaoa
4ZaKRRAKvcv5dpl6hL4oIX9wbxnFEokHJwR4uOukmEjpMvEKQwVMpziKHbpdc26BPlDgid5pWmZO
dyZ9AdNwzSaLxUdhsBYC1UyTM4x89g2ZymH8OBtrgXVWpDlZX7JCAM2tZOH1x+RSIlw9Sp2kVWgQ
oh29De+xtb8qjK2z1Mv0OFWbepdXKxrFnKrY+fYtGJDxjmrQmO6IVcehC1NdSfXLTMeb9inL+nYt
fTjgJd272MS9ttSWXPHtajNPtiGJok8446LcS2NBlBrhhgXLk2lGNZgXvFZMkyYzH59ZCuJ+87R0
nKAp2KWjw9I7xqeNV9t/ZTKZCOBPXCM5jAgifXXCl6XjcirDrEcjKa0wO6ZqZSogiJhwDe/LbLAY
6Wx0Cjetb7WQG0vMwev2889O/Rc7tc1j+882ajSlqn3+Vr11D/z4mV8dD5XmhYFNhk0YcfPtHo15
+QOOaQMCHGAXjQmLf3c8BB0Pja0ZPRaXD8kd/96jrQ8oeJqkR4H1mb1V/h3o4qtj6K3KzEQNxYNE
9eXlyDDbZMM3KrNaxDUQIU7SdPUaUFY0YJxleKJHbpTtKVUB+DVuRvURp3tsM2B7z3XOKhOJBDgi
7N41q4Vb9IRO4mT6RamgZluLq/TU2CmrHV5ptx+ytJ/DfQYYKUnOIVqNDVxe/ivG45ACWRoPqjlO
DUkN0cD2GZ8zB2ASjOJOjq2A2lI4TYDMKYsT9jmOcZk+bUQXMKmj+kkrW6ZqKguK2HKXNnRFieU0
sIrdOPE8xPIqSXp6zZKCmecjoxyA60tsYvnApObiou/z/IoASDr1P53C/1OnkHYC6+g/l7fe5kb7
2idfh99sNz9+7FdxKz5sLhjgZxjNtvuGCvZncWvrHxhLo72DT8Zga3tDK91ahcygMjiEJey1Jv7X
jWOoH8gzt4Acmj+8N3+rVWgYW/H65s6huNVpy1DaUoCbFNPvel2oblTZQDEOVRkRT0bqWhAzC85k
aP+0WNkXh32DiEcya+gSEU+UUpjNBFBxAM9qT+2de2d0shPYlYyMrPx8dIwOX4hFt68liUrlAW+n
OACWwaDnPhB1b+hETzTwkrgjGrLapQImyiL6iN7VTc2t4GNagT1BRFUgGnt2yZnoXBTm0Uvxp3uq
2qg+RMKnMZf3A3wdzrQVs5lm+sVSahWgFP88E+vo4alpj/XYPgknrhmWG3WXZCslKEL7IxXXbaqL
L2PLyzNR/pRXtIWjHpZ2ZaNDWtqNgLnDdDafx6rnPlDb5smCk+f2G8l8Uvh4JXqUNxel6o+KfWxb
5xiVjFWHHZdmRHKN+oJZFFKNGfmaXcviUjJ83/lqwy/NRy6BAembj8BlUJ1jkXSdj1KJf4D4V495
DSWIQwz5A7iFQ2oAoq/yKPctcmC8MTNuJocsj+0nU4NeZCIJtl41MkqihUtQ53ofmL1Yb6Iqv5Gc
04K84yVRPM0z02h4+5OuBUPDG9JrK/Nx4D1kHSV3CHzMl1X5spQEoADW0kh8XTIfLBHKMw6+r2Gu
CK6DvGckqQ/0MocNBI0OgxByPjocQSXqqHltKrv70AkzkPuEsTMbuO7qVSW/y+Hq6QgXqAD20RHK
/esiSZqFwBCj6fzaZh0gOJLvRXpQq8p71IMRRZU/CtW8GRPeVJRmxlFXWp736dD5JEXPJ1v2Gq6Q
bRX1/Fu8aCRYCawVVacF9og12wotZHfEHhfbFjhE07xkPb+AQ9BdpnMdN5+SL3A4+e5X/kZe8wz3
Sin9qXfgK0LC4KzHVepEDRrQrtcLtemk13bt0+v3XUQOht2cZdVPfF4oTXJjH/DVN+wXg+XkJ1VE
L9zkrGp2A3Q7Vqdjs1TIhwf21vTLQx7zV2AXX3ROVkQZSMcda+BqA5cLt9P9gtIdTA33CUEm4WnC
aHwR29wd0u6ebEC14Nr4hp2BxeRwN75ejLLmppgU/mmdFV8KAhOCEFHvBCrSDCh/QVpkXXhaSilu
i44cZmybqTuRNkEDpa538Kk4c3J88It2Cy1TR95DFHdnTqfM+4i+87neEEXW9KsWZDY35TLp58mU
lm45VKwysN3o1gTPOho3qq7yIHDGGO1+ifKASPQX8P/JzRgT0L3dXuTurQdVDFowGzjVBrxhbjWk
lYu/uvMNIBPk5Krlflb1LIBjw22Y0d59/W7xXG9Ih/LcGsPtEcISKGsSz3TkLu91la92tu7Amsh9
FxkZyWq53GEhy30YUrX3ugC2Fc4tfpMYa7nXFx5jcuT+Nla5ksLNV9cP00YZYxnNmdYHYyrCZzCt
ysHcItkgKDCHNAjlEEoSoLB5f0kW/p9JZC8RrQHMeNw9KoxhAnx66WmlCE9qO5TndFXmS3M2986U
foGsRSliT+V5mGlZkNvcEZC7lENkcp9W2MvOF9oGO9tikZWFXp4rneTV4anx7C3gwfFwoC2Aambs
GeHvIIzN/DJBFqHR6ZZn96ru09Hq3Abl4jhZjObR6nD8OSlU0idMPVBAVnt2JHi4TXx1r+yhcNBu
YqYPgHSUyx6RklhNY+QYj3vJC0fewjQI7iLYTgcqFv6wc/3Hs0mTJMu+3rQ0pciuipR7fnd8bbYs
idY0brRli/QIFcc18Yiw7Uwspmau6R0mfH9Vrvr0xkr65sZ8OdgcOw2TS7NwB7xea9SkzM8KfuUg
+F6NktafMffkmzsmj0Dmz2kAK+G1Jlb6SuQA7Z2weWls/nMxpNAdt5NTwvPEUPJkJ9r2K5NnJgMA
tECrxv5YVMi7mRJfK9NwaW8DWjoxGqclmQHnK3mXC2IMODQxaMsJrpwVzoprvn4mN7oYXYuKwAqk
IzqFuPg2/aKl1ewLKKHEYKjavRmRoczocJ1e0HEbThB5+Ap1ld6aG0bCGIJUxWUWV0TzxpEBlsC1
RB7ZOxA2ODiXrN+Oa/TYgtWIa+FZTaOc6nB4Vvqq+kagy1cjISXcjfQ5e3EaXYEmDoJl7Rjqm6dD
X7bVDlV+ljU820YnZK3lnk+NUSHqFN4W5qbwAmDTquxyHTDLJT4Sx8ZdZ3TFARRXrzxBQhxRCaIx
Pw9jqYNraXNhec2SNcmlOUKaDSIw/sotIdfk2NnW/ZtS7H+xHb0zCmx1zTaErCPqMvXMjNvvJ4Jc
KtpqVO1wsJNl2TP68QJA1eER5NwDP4SeySHAM5K/JG1wrnpfTxFBAKByI/Paf5hKxsuhAcaqh4OY
Xh923IN6kn0rJ2ztcMNf/vxTvjNt/PiU2DYsDU8Zhuh31ds6RYqBM3g45AsLZKsEZBYqQaSQU/H6
Sv8cnf/i6IwfDz36Px8C/O85aczt97dH5x8/8+sEQPoUJ1L4LqjH1o8y/9cJwORwYFPLb0bBH8fj
XyZ6+YGly+kA4DdHhFfh+5e6TdAVEBS8h5YJClwjUeu//+u3IM3u3d9/c+e9Bpe+PQBshAKxicIC
fDtO/ndLKEupidBpmsNiLfETfu2y9q1aR4SdCcLwZrst+l3dLNd5BbTQy4mRJW1LghdVGWoak5Ka
U1/FU5gMGCPKkr43zajp+9yT08nunnr0ezOqzv66BKNDDzT/bCgttyKO3l0ZYc9GGI0C8k84cXMR
k0NITXaX9mx489yvl3lq9nhvB+pGmx6YscEj2hMDYBklAZu7Yueg22IiIOkGtGczSEPXKggCVGYz
3U+8OY3RPKs+ImSHRxSy/pZEOeMEa+NzajfKU5IX7D9NablGQ1jeILUIswKlcu109dU685Ao5u5m
dKJv5P3xIUM+qYi1G+71bCclfabF1BWa3mW/hyH4Urd6gowue7rujKUHZo33W2t6kKcrrx6P2o0F
FxgnQX9BCB0QU40iQzj3BOBcIJ4iijEniJIgzmc2AaL+ytHViMvhD+DnS3FuOPUTUBwAnaKfiYeJ
PlNgH60Gr2Gu6zfZkn1uTGo/u6ruoD6vnwgDUP2aEWqf0fJhN9C7Jf219FiC97MeBqGNZScLre0t
QJE2+dWymfU9JD/1Ss8UZYcNnFyUTuYfKw5zH+kPUhNtlT8isr6j3Yus1zMdHqvFS7fW11hkV/jR
yqmH1/RcGaK9J/BlZNw01HRPr3N6jlp9jevxEDor7Wuzb64WoGJPRubcW11S7auZeC6B6wTUHPGy
K0NJB+IanYDBhYd8rZXGNfTpITJCpBtCHGxKlC2JiwDBr4rK7JZnN6p+05MadVkkuKT8CaA2h5O4
WYM8Lu/0TWME39DSsK702y7v8XM7IQFfekwDmTvHTYFbk1dJpxWIbCP3LUCy7BjVQlAgLBUkAdNx
e2e0qktNzMMZems/7IgfNB/ocydnRmGpnw0+uN+RH+YRs6wl+N3pFO8EHYTW1UFMnsHKNftjlapE
EEHHXl6U0lwVWgwVsbyLtKeLXGuZNt1ip6kAE0xHbPhwLFPxY8brnwf9XzzoNbzZf2oMv6jK/vn3
camfP/MvkdT4QDdy8w2j6mCjejsvZW27AFqPRTwNLJo3jUzkUyy+SC8AkcwfcTY/H/WG8YFhcpNx
KQ0IJEDtv6f1vIumMXnQq4i3/J9OUsbGZ/m9JtpioQGCL/GVXddSeMDwFI53sWZSslvZcrCrTC93
4MHizfuo1xcRI4henkTxN44Qa+XaUUHXzFHjZj7Ga1OULvcccOhWk0FRJo5Bbm29nEMRa/PHZDWa
86pb1W+pHs2Sbk3GJLcKUZGUKWUc9X2iWNWD3fe2duwawshOgLfb6aKtaYTFfTYz96nli5uhQ13U
Qhoe1lSk2kU5V4elps+P080TablqfgPaaRw0Zp20OD8a0L0Xb0kd8d0y1QG/mx4ZO4nnmBPvVJqx
Z1hxcpGP1XQc8GselHZoj7BD0HpJpppvxkYBPTFofqXJx6nkOQh6ri8Y82HUxF2WNX2czY5T4qDX
/oBRIZYCWmS6ipZplikTIWT1Kk9nTmB6azL/D+TP1aq87TgVhtkqXL55rrK6DuKaSVtzS7XrrjsO
3NbZhFT3lSuynHFQTcP2frXq9cisVKcYZ3YbzVmQtgKENW2net+S+JAH2qxNF1Vq5ImRk1S7AAMq
d9bqMMPjTUaMZfZA6l5cNcxgZfU42GcrAYmtXBlUArk2YwPJhjQeXRlhthqPAhC3HM8YhmZkrXdn
wVApjz1Hse3arzXT+DTqmrjtOoxSeSOV+ZssbYh5W3D4C/ZCbWuPl51ZiDu7CMXO6hPmP93aDu2n
esoHA9qIHM8nht9PVjnUXKg2C2NvyYf0mBiy1HnIZzeYShmYAlqEJSubrja3AajvhOGsfM4qn9GC
iBBfIU5OmlVYc9V1tyZJtgdJfsVY4HzbW4OR+KGSa34iW2IVmaKNTg7mVMNj70jpNqVOeFDLTczI
9YWUtxlAMyf87rnS6vyr1jdC38mss0y3bVYqDSeE3hr16SYA0g08dZhH2Yei/AQIPxXAEobPMYel
3lsrw7xWuIKmW9Fe+By1hnoWpQZGqNlU9jg2S9/m5S5yS8d1u4r5pqx6sY+nzEmvDBID3KJxKMUy
Tc3ONBFhyJq0bvSdzCqP46Sal8k2v0X+X26cIxetpzJcVSRHdctki595j3hw1ELshpxUupjEX38w
LCZwkYniOQs/xy3KQVWs476GeBNkDb1xYO71Q9qtlyZQv5ttZV+FghMFhWoZWI24WFN7YR+ve8/R
a3PnJLXWcgVq9aUSi3pVMebwFFHznLWNMZ1XY5YfOvqjmGmtaJ+mzJOFEDeI9sQMpU1Zt2cWXd5F
BkmNnOm0cyezP66aelXqKalxSmidZ+tongMBVw5p2k2PZlPRnk8ZIj+fE137RJtlRs8jWxhnbK7q
txyYhkCUnf6i2A6Jcj1XY5etaX8c+vwrHg8EO0j7jq8MC7aBbLSMO4reOfY0FL6vBtT3ezOl+e5W
WWt+6YstbZq5eX4HONLcyTUPMK3iNmASj5NqVSdITwUe0jSFc4uzUS8j5zCbTLhBIh8ddL853fVm
hCBiDz3uSkZi7ila4V5wfe67ublhWVe3jracgw9n+DAL5QGvd01lpDf2yUGolq5ECPs2W2V8LXMn
OYxhVX5DLJJ+rkLudOuCyaSAZAdyw1VBfER62xfI0qhOM832xbwTSsUkvZgW7SAHPfSmfn1w1FTg
LjYjPNM2x/M0H3myD6r+Gbl5cot4UPx5EkbqzyDWPpnOJH1d1OttNSPyGHY7PWJjg8Chp9WFBsql
w9w2f0VkGvFv6j1i16R4mUnRVeVxt59Jm30iXrKA3pHIqxEq8/VSmhRE2ylBa9t6Q1SrdzYQ0szr
mjZrdsC7I9C1jfpM+dr6xjxUt6mhVD0aY6yTpzowMIpl9WVeI/VQjqX9CSjHinOepRUQns30ar+M
6BxRPPllxZPfoUhzbSq3C42eHXQwRd8ZkdAeokbWZ85kxqdKtvV1I+BG9KidXFkZL9/Jpe3v4DA0
qddoGNE7EOOUvaIriCFlDFmIUTuuLdB2z9DwKxYJbgeMQi54zupiBo/hKXrTnq9lNd3kthIQaykv
mlEzE9p4SRwedUvJLmJVNEQS4FvMu1G7T7u8BtXqLHfqJDpOPVYsbw0594fR6edjNYcJGIrQmMCk
JuoVfufssZBV84hO2V6XQx5+rBk/PRvmZsYg66wPguHbAONpugfdtATE2zauapVd7Bt8Wo5+PZ6Y
Y5mvI1qYPTxAc1EXNzE6AEwEeNE1QQNr1Fi9bjo70gPbCasTQofRe6C7SBJKlyKD6otRyakMnevY
T0/GbFPijrG1X+YCRFXahOuJ8Bzrq8bvV4CFl8l11GO8tFJVPi6r2R1UY2Wjd0p1Y3lHXbIjLNRC
I63r+9Ae28hVTKz9bhQyYuk703w+NFW762rwNt4/Ksj/ZWiSamFT0P6zDLLDQJB8e36rgvz8mZ/F
saN+4FdQ3TEWCVv7dTzrl8vP/kBr1NoATRsKTbdRuX7pIDgIqKThV/IGVA1N71+NUAYtTYptuqOM
QLzaA/+ODvJeLpQWvgEdNrSJRqDjWvi9NN5ggqtTVwNWsgEIU55JJiMMLZbnxoCpzbXNtjyHIA6J
QcYo42+u1f8iVr6T8XC9b81efBXqxomkyfT7qzdNtMpxnfv9NGhjYC8YukSi5f5iJ8Xh//FSkBPQ
aIwNnvjupagHRiHAGe05jyf7XBMTfbi4Dhhoa/4fn4pLKfXNiUkne5NK35gyqGayejGMfp/Pc7Kf
cfX6bd9nXj/bw/HPP9U2nPZGxHq9gGBJVAN2Gg6Q98nrDJIOGSk9/V4mIROli4bhfrBe5tHyI3Jw
PLtCntniaD1mA6sfD4XfNLW3Gtp2bPrji9MQ2lYxx753n7OfYyJu6r7fK8C9t3xhOOSCs8+ff8Q/
rhETzoW2Bc1hu0U2/P1qdqQ3dWMTDvtWGpB7DIprzkJzY49BWhfMov35y70bF+WKmtuI8uau1Vgm
r76BN18ecAZNj0U/7OklE5qTtd85pb448OAQHooz4op+2kz+xmWEloHPEuMDY9N/ECKp71OiJaph
jwjCXDzeSr4sWQV//rm2y/T7l8WrML4GFIvMV1g2v19GYwhFSZE77HXClVxdUc4Ry68W8T/Mncly
40gWZX+lrfcow+QYzLo3JDhLokTN2sCkkIR5dMxf3weqrKqQIjpU2ateVFqlZQRJTI7n7917rs4g
X83E4s/f9ruz+PO3fblomMSDimCWdkPktAadM1oEHZK/Mk5wZIPbQGGavPz5K/XZaPr1CNFDWYLg
LoTTX5eyMUwsp+957LTQMo9mYaZ3QP1pDhaTs22LgB1AhcZ0dJZVaspXC3jqvhTGtg3qYtMRBbRq
2Usu6t4ufwwDYSCjZSJphoN5TVEDdS1k051U0zcL05dAQzHfcYZq2mhlZgbuL3ecIxkgFw2PUdS3
ZrIwSUEilHoQ3UpRDHqlUoN4QcybZ3D2Vno6mE/qZA8M+JzyAsiLsQzKwD1iOwm+eRbEr084P431
eX7CBf+b//tPD0PsppgCRdpgNA1XlHzCw6E9YLWzmpWsAnnLJoQcnt5CDwx5Nd8PeVwDMs3AaWYD
Pc9OzbFPyHhRjbm6oHb2PR/Q/IKuwHgIWr0GnTQpu4lpoVcxYvaAndNYZf581+Lzums6xydLLaqW
tanYa1iOEAiN2lnBDtk3SU2wjZK2y8YX7mJIxSE0k1v8FgzmzBF4KaTpdU2/ndF2cyxce9pWqLoX
o8k8luhh/0wNR/VeqatuE+eJQuNzfE9G49Q4TbJw7SDZNrBFj3xyvv7z3frrA0LTi8KAp57Iz194
+4Nkhi36+aLL8EJhk4YzXN2hMb1pJ79ctW2m/e1Hkm/ERETjB403683na+nWQ+e4U9Jsat/fadJc
wVD54ebmWW1gicTs8/DnI/x13QZTxGqDBNLFjKB/ma8QQ9mB6m6bDVlAYCK7WUpd9Gj79Hr85oX7
623q0NizdBV7NERk68ttGrR0/KGI8RZ0OnEolErbFX1rf3MCf/st9CkpU7AHcg4/n8AMoWXW9JxA
BSlzvahsV9liSXQu/3zetF/XMY7GYTRFtUiyt/jyPQn2Rs2CVbcZBq3wcLvGa2vIwDHIvMDGI21K
Cm58hrBYl5173GObwkyi75Yl45flFL4HTVNQpRhQmNN9PtyqKswp6my5MYfURnLjpmv8m83a7JvI
QSYymTstH9xVrRZvadHbp6SJ+00g1O48myZjj0/4O6bp7LL5ssTzmyAKMLEjMpfW8OffRKNEUfzQ
kJs8aPOdWouVq7Z49fKmuvBlCaTWbsvHFAMj7S5lPLZlNM5gQN1znbxA25G+pWjiLxJn8Kapf2px
ZS+rqCmvx7yNFmUTiS1kzn6fj+mFotL4/PO1/f0BYOzBVsOAk/nm5wPwNRKeRqfnpIbjKajtck3E
SXAbsooty8qOPV9q6jKzrYY3Vp3tscM+O5F9I2vL3bWl75M8Wnfz5tW9KsiaunHM6W0CPrU3HPpZ
uAxHurCxwruiSdfYictvjkCbL/vntyyX4Kcj+HJ39k3KDy5Ghpf4P/b+5Ob7RgywHBUCIKOaRR49
O+RzdWcUjNrYjH7HLzR+excw86evD0IVn8vnk+gQeESAWSs3mByaEjWbI14oqy5tdugLmM2vRdoN
97auhT8gbjRtFyxjLAP0gUIEaoFc66okKtMy7UWP0zgjPLQlSIsv3DA4jZfExGpvY65pLJX2tY3G
SpDh5VmKew8Bqd5qnVDPFMhc26konhHsXVsjXxSYH8Q0V4pvzvmvpZtjsRtk+m0xyWC39Pl4mYbb
iY+icFPF6X3ub+wuTj1lUkNScJAo/fkW/c2ybVGRsPOEakqt+GWfJFM6rDWLzqYM8ncXXAlvbeap
Jk7xb75p/qQvdxLfNMNmTBOxytfCvvKDlq644E6qg5uEHPP7OJ1mkTfRDgw7EkybqqU4e1LsvmO2
/ubta6kAmG3D4MVE4f35jDYB4Vt+rCJtt8dHWCmXg12dMMK8p3bzwpbX8v58Uj9qz1+OVSD718DW
CwQMn7/Q7RQ5RATUbtiG56fWoO4ZfcMbc1QFRje94RG+KaJ08IKxpLghz3TZyaD2VKqVP/+U395M
2BZ4syC2/0X3HLVNJ8KO57d3isZTS5vhP56chRIVAQl936XT/+alyfANATjUQ1gxX1dsiwj1AEsA
F3mskUqWmr+cWif8Zo/42/Or0cngTuL0/jLhi6UWFHiN5IY9cr10SH/2ujwGZ+s7yq6H17EM8KTD
T6+YvvsBeMROSyFDKIeJGdM3z+uXPPe5ondYmaCH4/Cgpf71ajdBx6Q/V+vNqJnhS0lQoEBNGjRH
GWkCuolVWISXtHzAQhmRvi46q8IgieMi0Rl8kLWFWnXsz7vQQPimN02rLUUg5Oufb4XfPOpzLgsK
nLn788sDWCKLbUoHr53Qo/rKFZq1LkbbP8R1Q8Pr3z2xy3/e6D93Cn5tUziWxj6ZNgWsL/F1Beux
2k2hZN5hdCj04OVgU66n87EjwisggmlZyizfhHajM3Zo1W8Wmt8cJ6JiC5st4x0NMdLnhy9UHJIx
yAPZWINfr1sTu7zJlHHFriH6+1+F6QHKL1gkkGZfu0xMwWRZwQ/YNJOfvZuEQF9NecgUT7HU7y7f
bxYxLh9tEUpEuEVfOxX65Adx0XL5ImREno9+6Rqapb7i7QZsZ8gYShfh+M3y8Ztz6c6ANxPtncaI
/su5ZNCYQx4S1QYgA4p0MZC0E2e6V6u6/OarPnQDX98QVBoq9iYMTgi+v6yaTmIWbUASHkZEIhbX
1jg2ELRCs588aBM5fOta6h40+YaIbaPrlTU7x3ZYYZw0siu8xNxKkUGPceczQL3Tyw5AQ50nDsmh
KZbDBaap8LmAM3SeGI6QaNZTZKwy16CE5xySsZzNqngCOtFr6x7SF919Qv42jEJshjpYK8HkY3S8
sVodXEtqDiRZxFo2WCvDLUP9we21KHuzYpolwaJkBxMehpAQJq+Okjq8lSmDw10Ke15soJ5k5kpR
S22fTfj8NwwtO3khMpSi52bTjv6VJaGVrPl3pQcpUcuE2Z/pJrmXg9wIzh07F7bXCpj2a8yt6XWn
oI7a17lSbLWaLJHFGNRMLN0wusukZZgACgBX7eyAXL+l0xZFsia+cQxWqBny+izu2E7iEnGZIm2k
7HFHg34YB6/omHQf8Gn7Kn2HrNS9MhNzcRXhc3+24TVgzPKbYTmRmVJflwJ2CUxUGY+XPZOL6zwy
64aAxQoAvVpkTsAoqAtagNzhsK4cpmsolwMGpwyPp2kpZexiMuYVtUr9uf2nKrqbLCopnNs4rAi4
SbPCWEoz7NAtlaVAdt1e0eddt50o7/1STx9SxVFPTW6BtYIvu1XGOF0ZlXtswW/nlVwPuAhOvk0T
1QxhzwCT2ehmghPUTbJ10HZ7gyhpjAHyOU4s7K0tTs02How1LJlXEyPzqoOpwW+o7Y0le3XlmpG1
MV3UI1TMZAEhvTtIsxxe7AYIhNmOaNbt7nmqALB3xgxgHcaFiNK7eZJpKVZ1KdysXiFniC4xzE3L
Vo20g5Ol4TlEqHTDbiFayMi/GyZDbISiMUfFFgvAxd/5rpkshzhpKSoQh6W8ozwp7ekqSYdd1ZhE
jk2j4B/JMaG7BIy9Zo476N6kJtVqIKVxEYd+BzYxyQ69EXpowZxLTOQnKC3DSuudcI1+e8L427Se
T9zDhig89eQHafmE/F49y0MbR0uDnXlQm/rdUqp8qTTw3Bwa1hvUeWJHFCQk3dwfdoYaoYQZbfRt
A2lYgA0jUWqgY8eHDB7MQx75W1uY11E7PojBz8nBc2nUtf5DZilBzROYOTukHfm6UyqYQ0K5wfPo
7yWx654VFM5KZWTKdaimBTG2k4cspDxFtdJdVkHtnGQ78FY25FkzojxIBzBCo5K/yaovtyTvRFuA
6SC3Mqd7N2XTMs7vsRJ7SRc10wgyrcohTy6oNGtgP0XkNmToOuTK6Nw89xlK1sGzK/YRvMpZJOKg
7R8RCSQXFXEEtEcwsziJtlNJIwPA1BD3q03Ogf9TrAYeiBVhqGKUZ87YB718HMPalhUKIUaeiTfB
eHtUEGqocQD+SgFYU25sRS9+kMmZlFsjSfXWy5za7hZjgRTsTFEsVPsJ0exA9sdOKHvas6qkSVvB
G6o5UwsSWFOChbLuJqSrf6mTNHTjZ3kS7dCN1CsB6IsoBd1Z45/rp8VQ0YwLI6m+WKpPPUl/twTX
oKaHklffj4ZEAguLQgCAsBeRgbhVWtdml/jvLs39dsm7GTv9hwNuGp3hljlT9l6XNYauMZPaE+Sl
2mOLJo5urpePoKB6D/LRuGmol26c0YwfO8nnjEoKtqjRq/1UsJ+OCPnc6aYh7+nCzSpVGU6IOVvu
BNwb1UMI0O1HVZrJmgjz6sGu9Ggb40VNd6SWJusI3Ms9tlJwdHbR9x68ggxx0yR5OFJdEbBv8AIF
liWWMeXeDgJS4tm0kFfsSt16nbBvyrZZCQpx0URBd0dG/czcEuhdERvNKvlCNXHmZIwGd2UepvM9
qPT7wI1DkuJDOBF23UKN43Qqd3gMOER7RooeyM3mp1pJd9fpQ9ufB74fHCMHsEWhYssq8KGdmaHJ
pxqkeZhqZF13jS6mBeVdtbfKMDwCwCmfaN3pKxpn4hjUPKqrHD3MeiKuat0Xg5ltQJsGxzQtO3tZ
ilAceYgqHiquLk34ap/gIT6SMFO+1F1QX5lTrd3IiPMdEZe3IZpk3DghJ1Vh3n5QuDWvSlGXL2Le
YS4J3y47UjniCLuLiLZiyPhYBSIn4/lqX2I4PJs6Wb40Y1k/kCiiI4O1qx9EBSF4Jq2A0wplyN8H
dCOQLjfy1e2lOJrkT/fENrvBccCvXFJtg49+BfZhItQt9Z4Q74XRa/54pvFaLj2EXkipsGRWiExD
AOZO2/o4ggpVuym1URwjUfi3pRWiIxJt8WQFuPeaNkQRpQND1BadQ2knWlxAQeNU+7FWfS+AEHeo
Mw4exvxw6ygx62LgR9sPw2GpKsGxRdALi8AR1P85IvqjaVTpDi0YUKHGpYnjgfT292HW8AdwFTkQ
DXrCWOKpxMEy8ZzTxsrl/TjStHbsTr6SxyGW6BzTnVY3813eQlNm5qKL64iEqzuzaFp72Rf8yFSo
yclp6vLZIAHkWiHeOYWH2ofH0cpyEOPYxx/SahouHUu2d2o5JKdovtx67TtnArvXqTJRAGmJMq7p
2AEiosgIj6bkrDkxCR9qoIzv6oR8SBlAhCFEd/wTTDNzh3ICd5rR84nFlJwopIdbgrbk69TDbttP
WM7DFSkk47td0uZb+i0s6wX9FlnDT1B6BBhKgRMV4WCmAJu1/BMBotzdZSurcZd1HSlqYcudNClV
zdJrmdxprFnhMU3iQltm2lRcKkZME7cbU661Kp2w21lG4eRLVzbvBXp9IBgquV1V1lfvShFrd2YA
cwmSC9LKLga4yaNXXbFaTO+FHpf10tLzMcH5Kdo3mE8TaV6ArrZKWXJaLN7kcqOij6wXc17hzYTA
9OQ2KquZbXVvQ+lUV42f0/iv9PKi6cbycYj96kprnODoW1W0aVw8b9h2YCnKcGZGOTzfOZz0+wo5
u3pVK45kjS8S0lELsHjvVNT2OXtif122fs0iRiQJfdPGaBkIG87TBDnlwofVsunStNuaJLTvKl6b
ZwYeR0DgdhBdkvhUrgHMytu67MC44SZqiAVal7IsS8/vSuNFuIFYmyVQutIEtqcbA9r6zrA2Gudr
wUST3HcSHMhoNrLxRIz7cEkR0i9meP6dngYmctziGnv/eWfPxiFVRbXY1LXXw8y8qOj/qG3YoTAs
a742sY5qD3QuBNe1sYyJ8boaKecDBugjUU3+teXrxc4dojZg0c0m9KcMGytcJTsRNftuHFOPqJDu
XA36+iwP7BwnZT4uKPUpAecoG1qoz66AZ5iQWXRKis547cC3V5GqsaSBX54MWa1yS8P62JiHYYjN
e+rtWXc2FC9uP8+ZCpj7dJZ3lV/YTMtCCtKOZNN7hwzqk5qH/doeyq1VpJXn9gr4sQi7sdNPz/T/
ssckw3vAO4eTpCtmwELPDmdpj6OJaihJ5C5RVGPR+Qps6MzEGQhc7xBqbelRofaX2MfVjYFa8Lqt
FIulzg1OreRLWuHbly0MtgWN6XHBTt98dsnmvIOsmW6jyL4DppJtaJeG1IGUcots1vkXUR+eRw6N
m0LTdz6ukpdQ9ft15yjqpsFH6DlRa3h9x8MoCShf9AmtwmAcrQPFhXkfm2KTi6FY8zixABfoKxcB
sKiNCxP+vUta/X4oTe3CzdwJ1UJm3pThEC8Hati1YO06ZL5M7zRh21djx1USHZrBtU1duKibGqz0
MJRvE6MmfVkGTXRRxdwGUY5vEx9MXrKsAbtBnx3L5YCfDxIoGNMJm0cL6mipm0H8TGACjto+3zZJ
lcYLYSp4TeLhalIJBoL6ueZRXENnw8/LjI2CzG4vMlP4t3DvKDPMbp2wBIILcJro5Kj1hAPTcA5y
xGfik68YipQ4WPTQx6wURbEMexfWFQKz3TgW3bklFF47maMkPHBWvi+DIYb2aYQ4/GOQrIua8F7M
MErMY8QMrTt3/SZ+IH7G2oARy3nlDEiMq6mk0dBGCgF6vlGdIWzEysybgTijto6TvdtH6knYGIBi
e9j66HQ7RyZz1npxkDngWGkWKcPRvsEhLxsoHvG4sGS81QbFfXCZmbLPea6LfOaiimlZEQsxQ5tD
PNpdoz1Aoqx3hW6/aJP15tdF9UTFmqLigzUcS6nc2inQVqNrg1Vjt9nVaFGxpGOtMfR2m2kZDFB0
KYeGLfDLLtorRtGbXmer0t7aCWJtFg2rOCpop8GQjnZxpKmCy1R3YnJA2jRlESJGMX7KMthPeuVk
V2CFoGZFIwsoOaHNayp19SWXcfha+eqE0Rsl/rFCBbAXdVxcY2J0+oeaiofrFrHJgeKX8pZQLGOX
lg5vFHcoH3lb0rmbUg0AIiZUY1f4kX5DfczONMlCcx8kg3zNEoDospU0EeTYZu+JOWePyanxn1QZ
ay/JBz6wMNGRy2rwn/SE/Iyl6UcA08rJl6+KKEkS06fOxQGUiPw6rQYWBhkOfbG2g4bYNtPt6WhA
XOH2CPWWAqfIQe6GVgt0lQRt/4ncRf6OWw5p7dmxmwjPzFVuo9wYm8TrJL8SjCRyKS9HpWWziRn4
0jgyc3mIJtGwb1TzTguXfdlHwZrilU+eFCLqd2ZP89MLTXdUNso4lwANE1KwUkPmnsWhisbbAtbV
LlOfXBrA0bzqUK+3/lNXd0QBBgQDw1wIRPauty3f2lYGIPneNNynf55M0SkB6XKMJ3F1SxVlmq1N
Q4GUFSaX4YpgaVSgq5f0gjj1hmbm1wL9WL5JIxLDZmUBwtI8Gchu0egCHfVKDBpi5IkYzroprkWP
ooJLyLx12fsVx5fYgn5IXapJfJCoGLpNNiL8OMf+3r13Fp1ZLGsAvs8tRQtvkrHTN3kLkJdUE/sq
sd0K2EPpqDeY7eW4HWjD+0ez5aC3eqfyG6nK+dVR7nPxrHHIFeZ/hUiXXBOeXXr/RLLRl+EsdkrD
n59yXb5G7F6iBT/WPRtlJ98iWM/pxm1rGLCti/QeMmtExkwKQox6l8s5bXP6f/seqL664D6kohOh
WcY71appotTMVqAJVJEgoZGAD42/q/D+Wmbk55GgA64ExPcE/v8YdoZKMAElZGrnOtmDaANvtZjk
oCot1D0z6Xrbk/x4BRZgwPGcRHfTFPa3vY4N+qOJ/LcMWpu34uI5e5P/a/5bPwrikzHhNB++z//8
23n0oy5k8d788U/dFIxUsq9/5NPnYij969d5z83zp39ZfahHr9q3ejy9SeIT/+U9nf/kf/sf/8d/
hePRdPR9P/Xb52/462/O5+J//09OSh18ju346+/8R4M6+1zJSlZ1YFXwrP4N43HEPyz0YDzaaHxm
vSL/6V8aVHq/fxmyDPUfCB5M4AFIlFAE6H9Lcgrj6tPkjy0P0B8+DFeWSffampvMP8mKXL2AhVw4
6dZwgsc+CYdFI1mHGBI+5Ip1XXfKFs1z9eBk2gMlDSYOe1zj8N83c4+Iql7fGX027uTcQcrhxO/c
uatUjyqRSHOnqencGjMOKshi7kMRC8/Adu5NzVaxk/LRr5o7V0ZKX610omjtK/mwagP7hLPXueyn
CLtokx3yPur5NPTXRl9VK6noujfO3TKaWsuqy46j1IlHmjtqMa21eu6xCekLr7B7e6mNfXujRy58
qrkrF879OZNGXT937GQT3APYI7Rn7ubZc1+vmTt88dzrU+eun2ZJmi1zJ5BSfmXSGmxpEbZzr3Cc
u4YZ7cOiJai1o/cNZJ/eYjR3GZO532jMnccyrSgR5m5kPfcl+7lD2Zt0SfDKvjZz99Kc+5ioys0Z
fvOsU0HObbo9bwq8OhGNynjuhE5NHqy4qpjm6JJmtEubj9RC5ejPfdRWqYZtadCTG+xCO7lzv7WZ
O6/octaZ219h1s1OCaoXEgadul3ETLQTNnYpnjcj6Fe607HK5FXy0LJjvGJQD99Gkj9uAHSEAR50
9XVlKP41OABxMJORd5qSCeLsG6ti1Smji7pI+wfCP2kDCMu9GzIjwctRtDRuCrpeYedCaO7h5pCH
4VzZPaHheWpQSKR6J7aN4ZSPdhTzhortLr3LkxxWUEqnX9VTGNf5xxtfS2mQB2pZn9EscjyAvRon
z9Vbjf0m/QOplznuah8u6FSo+Z7YBKrUysntahHBuAdkDjgSJk1RkGxtaGu9t+MnW6e+8AY/yFcM
4vy7D2q+Y/jZasii4lpLCu3CsIbiYM5vAMrd+Kksfd4Irmbzyoow1a2zmJTOhkbj5SiAKLZwCfNF
G5jDSkYkqk19Vm9xazFdF8g/vbpySApRjfRupM31Ure2sVMg9MfLQDac1ZpwcqJYhktOoLKkMQ1S
GSendkOvCJFfw0eimSA7Us2D8VIPuDVFCylpK2THwVdjMJ5sGFjRIitUdlFWS4VZCCtZGiPXoXRS
PhADd1gRQBflkL6z0RuarHwMef42EYnvswSSHa8/RNKa2Z7pXanl0QVIY16IQOc2GhbENzGwn/Rb
kmo/flmMOtdZd63Gx6e6bl8FE44iXnPCWhp+6FyZw9waU5rsPZ0LtVzk7Y2M8Y4UFphkPBsc+MdG
lYllc2sPGX8QzKu+Ex2LiIdMd1yprkQu2Jvx08edhkmfb5uQu7ULbWS/Eg29C8HOLY59OUceU5zR
46TBcke5puOqnOcYTWbaV7UIzF2R+MNJo6bz6ppdiR60trktOy5q25r5HmoRV02HPrNOSb94beww
usjVwjo6GvDcChzuyVdjUJyVkq1C7khyJ13hP7k6fbJeZCHtJX/ggzqHb7RHcg7SIFSuiwnV42RR
9Vb4fjYFFvDVx9XK+qy4joIRFL1M/LxZaqgwl0XMmRttU5xplTR9GE0QEWiu8/FtzxjXTgfu+ol/
MAN6dGj5LfWqiJYyni5kHl50kBSAqt50FbV6J4onbLOLgADSpeuc603Lvj64DEHULtIm3GZx/S56
9+Aa7EgaKuJct0+DNNg9hBvgtndBLS1PqINzZtHgp3ksVglQGb0cCZ/V8+LU8B5rF/qsq55dNieq
n1upxdoFuSS6l2hO4Fl2CVfXRv0YZeMF+cpeP8TksBV7I7f9S61RhqM26BgJi4BpTe9Y4cYqEsBS
bmeusGDSVGHau+06YACNk1ShpwBXzwPgt5X+VuVdcahwCx7iqZUr8rZJnNXFj1prtrkjrnhNpsuk
aw3q0sB/VAL9QSrOj7FFaj7lpFgQv9ughsFMpmQGUb2StOgFtPhuWVpWcd0aponnKZ5es05QrjF/
m6fs67IZrvO4LfeundAIaMKlEBMXOLK09VC1/iLuxwRPh3ZrjRTtFK27ZBizHaR8Y9uzCHuq05ar
IU98UA4t29GpXJOK+FipuFeHvFDPyH2y99h75+mFpXqi8x9VLauWwKcWrTa+G2N5KiPHfot0emBm
X6lPNk07T0uSmwZB4/M4KsaKZx3gv1GRXtDmDCBodO8BUZrVopsm1gOjS7dBPBkUr45qYir1ABxc
V5l8DcfGJ07QGS8YpvaYOAJGMcu80fFp5VPdrqZOz88KzbpIWfOvuK0w01q+dklgtrnq9TYnubBV
4m2SJ6WHvbiDaqaXb5J46xW0r92YFcnCKMvnFvqHVznS9WKte1B9QGJqwdveZS+BELT9gTXjsQqN
jTpW/m2vlWjrjaTDEkjPBhescl6b4tZH/by0eAzZWeXBA4kbcolH02sQEZwBswtWFAnOq2mL7mSz
x7pNwCJQQ4BJYaJojfu+8Xs6krrvDChZ4tvYbtk0S5NSGYDFG/0ysMcEFM5kPp/xrEJLwjL7dSL5
u0FGlsLUqBe2HxdXpKUgMworKitj1qWUtXNRdmX/lGPne+p1zbiwGrwiggprUZO/6aU8RazkTUT3
OMxFtfSZt7kLjJ3BWceoBCew7muY6+QE/tCt2rUTVJnKIxHcNdagHC2tdoB+0jDlIhbq0q8DZdUl
cXuG1srkjskBORWVKEnmmnpeg0NbXBSAG/cmc/6VT7YEbMHKv3PRap7oL0XxapIV+dCNmysXTeCI
HZVCstHUolpFA8E30DUKcxXWw3sOvO2oZUFz29dRvyWcqbq3qoaxLGuhx7aQva3dA8gyy4ioh2mX
ZFRhdJGVvVqwgJVYEbcFOrVlWTcxs57RZ+6lOfysFBmEmb7YMnUWsvb7Y2Ip6nnt5zV4qKLeVDry
rrZP/CU1w/nAVB4B6ybQA/bBzvQY13VRenFOyvbQVzVIk0RbRKFM15kJlLuoE3MzFdP5QGb6BsIx
r4EW4ojAFnk5JdR4SVdI3lydcxx7pv0VDmHmlYnyaDTuBchI+dbb8F8ra2zWbmkFmKH9GadeEXhA
QI8HQZVHHFH9PMM48QYtjrkNq6B023Eh1V7cGeWwGfoh8KQxXY+WYV8MkQ4B0XEwT+baxmKLuUy1
elV0RfBGvvzGaHjldVWRrroobleDOgz7qNMkkbLS30HuO4uC6mT6QnjkyMW7cbKGgx+jXmW0oYSJ
tqKte3ITVlftYLcw4mafD4Gf5SbJ+ji4Mqy4AmfSyj5gpNebRKy6ihLwSggqld2uqwYjjYI+HUlV
pf6dzgSlCuliQZaI1SjjzhucUqfNB5chTsF4t23hZVgrdUyWXTj+CBOIM+bCMvxC3/I2vGcvfUX0
ZrfOcndu+bT9tU/010obJ3kRxBh4406Y5zQWHqrJiHDdWqcIrvUynhqoN0wtvZR422Nll+JFDsW4
jHEBvwAgaM77DMh3pHVvdTAyjBN6d+50neEBUDL35sDuh627vKTRo5/RcKlOAaXKSvdpuY6K/YTV
zYco0MbPfROMTENqE3e+7+8zJbIWQayqy6SS+ZJU3oHwCifkVVkSgduY0UZ13BtXaYaFSMzDZFBo
0xZ4tXVwO8RR1xeWNpu0zR8hnER68pG7H4MJRAVofor+gBbKi0qz8NVORHzW97mkjpfm1oAyvIOA
ea1iqlEXFbWMwqy8SXbT5IMFmyZzPDOZvl+RvzHdp4TTnssw+8EGNCBfSa9amhjN3KPJ/cKL8vBH
lWW89ZUqe7U7gO1kQDUNgTxRt641tX6kfLFWOpOHEwl/05Ia6GREsTiCUQzkQtNTY6+abuXZ48ST
Rsj7ndX27aEqIQZOaedgOBmb9JjklS1QrBjhC4IQlTAcwBFrclF4FajuzD5la1hQB6Su8+oEKgtH
FwjtxKzBIT/eLh8nI8tfppAhLO15w1RY8u05t0jt85t8HucDBncO/jzih8VMBIA27aJ5/F/OQoBi
lgREszhAm2UC1odiQMBoZ6gU9wVtzoJbKKAoiT/UBfksNKBpN4sOgCl9aBConmdJwvBPgYIxixXo
EnXv4SxgsGcpQz2LGgbUDcksc5Cz4IGu+llStxn7LMQQVqZ2lzRdypMxSyWSWTQxzfIJMQspoLHD
jJ/FFfywWzZ+vme7YbFWYiQY6Yca4+93fX7fqvnUAfrvej7/t/bR/4ddHwB+M6fm3yrLX7o+95H8
UeQyyn/2Hv/1t/7V97H+gYVRp8er07eZIWf/7vu4+j/wmFj4AekGmZiC+E9/9X1MgswdtJr4vtAW
2j97j+EzIwzHQChmQw8ujL+VMDJrBf8jigaaTo4h/jIkGHyaRvvpcxsITzToFRFaBzrV9bbONKKn
iIPeTuNIilRTS/GNDPV3X4jDjn6XJhAxfjjxfuo7JRx1qaNUO2CmJQSk69kZu8yJrdSptmx4tIuf
LshvZK+fxZL/PEC6Zpwv10Wo+dUC5cbWJGEmwa4pQusZBT8b+TjWbiR79M2fv+qzmP7jq7jUXGtM
MYRjfRWD1oS+BW2imQdekuI5srEpiGai0W/pgXbRTJN7Zyfsfmqovqc/f/VvjpI7SXA3OPQYf5HX
9lXSjSrvnYPUme7nDgUT0/ocdlxHLuh32urP7qiPA+UOJBkHBhn62q8sp6FgnGQPkXnoCyygbMBq
Amb7WCVDr2vsmMGQQbmwzxAZOcuRJoZ8IDuCKcmQEq2n6rn7jfb818PHnOFYFj5J24Jw9cVLEJO0
DWPGNwFnmByumzFrUpWEf/y/fRehXAw8uIW5cb54soLYUNOQQfDBkL120ZoKoo8mG04tQpbHP1/V
z8L9+TxjNaFXLIStsr36qmHHE1UrFvLiQ+eH71KX7qol1vObq/m7c8ciNBsEVdCOX/2lINZNNN8p
1Ucii0MMNZHMAatUltqU0Dz68xF9sS7985CM/8PemSzJbaRb+lXuAzRkjhnY9AIxR+Q8kckNLMkk
MTrggGN++vshpeoWKd2S1bp7USqrMjEzCCAc7uc/5zuWv0YwCEB/SN1/lp3BMZpsRUz7AomOVkV7
4HeasYG+BJ5KvQZrfy2HLb6kDKYeZtBRJ5z89ukfPsZfn2CyJyx7K9qMEMqvD0xsmcDIPLZcU9BZ
Z2RKc43oY7xQhuYJbSAw7IrCar0I2DUDsY8vr6vQ3FhB2uO//zR/dwdoeYI0sd5p8G0/r8FFGXqT
LBRfXnDRD0IIHBAwqy+Ogh7zn/8qD4yRi8uQENOvTxQel7bGGm9fMpfLG4YJX1kceyz1eIzqy7//
ZT8v9SzfQFMQCYkWkRD76+OLDwF3RaMwN86CHj3DaNVrZZfs0UbGuKtVN/iHZ9n8eQlef+VqqYF0
x2yDG/xr1EUVC4kj+g7OIoYw4QRYEjgV6unBG43pAe4T99V2sVSlAX7KLOErRUa6vvhGhbMoyLzm
uDS8/j5WkM4plOYBsNAW45RE6DYzUY3//UWiw+SnV/CaBkZC8HkQP3KzvBp/vv1VgH0Fqdw561LI
vVhwSKITGXtwTXiAaiHnKdlwKqB4FgVQzfA5+GH3La2ocscpgM+IX40bGbtJ987+t3ufGGTjAU0X
vldWY7DyihbtJHIpoaSfNQlRntNgeig9pDNcq917K5ih+2Cc2q3OcVKOVt68doNfX4LEsXErcAGp
Gsc8jtBstBwQaUnsUHbh7odxYx5NDXgr0j5a0FaGKTIzqnIMcrvPMCKVVcPvCLjSnsaY1jQE/SJn
YJCJWUKZNzqteUKwoKjXuSZPf6BMMPTOo7IRrbtE0qBHmXJ6Lsq0ey/ysnn1FT7UM31BGJroUL0z
rA4FaYHJln0x55Bb5i8Ut679J2P8wqCUZ68rvDemtDztH9Wisxnqd22q9Q09DPRmz4X1jbG/dRyA
cT+0HmVW7uhDAcsSB/wp7GrOPaHLG8acMZBxiOdL+qFmx6Rd7cnhisZMD7AwZIfYtvV7qzswXzTC
PoGl5/qEWO/h1nFSZuKh31XocJ+kN4YgTVv9XsjEsjj0IgMvOqZxLJjXFD4jWA+e/Gyfwrjip8ic
6kNyQwxFekEx58dbruJNjTvLwyJCF2ybH5k8dFhJYOZhdU89Z45kxdAG3jUbEwP7yR0KUXglcmv1
WM2chZgWMAVxK6YtzUeRJs1N7pvvFVzNOc9BrqHAzxxkV4sxTG/WS2MAi3vQzgDFHAwgH4YhZiF3
bcd70ashF/IEJ2uaYQmwjBkSD8SMiTfYMHxktOXjqMKXVsQI7GZl8ywPuRG+aBHzY4OO6cNkMFFR
ZsC7qOv8YqK4l/dy1FXAWDZMrpbrxS9BaJHxcN8GFKw3L+1DdAQAg+WWksj2MbEX60jWmAZJdB/n
SzUM1VOwZPM19cTltkEOILNglGawN6n4Pmdg0U4JHEN+CvyYzVgtNXMWDaEWf8tK16U6oYhoGZ5v
AhGQwnDSmh62IgwZdGh7xXk5m7laZjzwwt31darUuRAzYwCeSYp7hK7uO6UDqkbiXn6vMQH8IEZc
n1wLXxMVLHguZ9yH06YvWJk2C310OO5Vy0UwZvXZK4tW77U7e9/wo5hbTSMxvEvOoXviSv4YhcSu
t2ZeV4ehRsgL88GkGnvR6ZdkVRz9uqOpzIOE1VRzfDHnjrxUoEcPUzzIZVD2CybbERXekckcEU5Y
vlRlQwrXtciCmAO3MYhd0gnFWH2BKuZ322pI9bYQzDjXzSjYoqkhGdS20tg17AEjEJnMMwMMDCxM
cYSGHT/0DAxOMFHUKW+RzUkUz99j7FW71MiM+zms5eeMWM0GuD7kkgoXVU7BaOQX7ZvfOXw/MnSN
2JLpph9aRnAKl1MbGDfOlAqWf9SjOipg13KUh/8PsK0g7mIDU4SCn4C70JMar9jpBkfLxme8Rc8A
pxjH/CKnDGMiIkl6CmqFwNbBJluoOt5Zsu6fVeGR6x4qve/dYt5UqfhGGWr9OSwzK8pC4hP0odrb
vuRz4BTDBWWSBeDGL+mV54BSVIngjvqJlV/VCBR3ouvhEeuOh9rw2JG9zXFn3hjYWnWkmWbjqlcd
Nbrk59hgI7RQwstq270nrWBBqpfQfJrFipsWTN5fWlzwyS7oJ1fsigyic4Q8IYZI+jEOLcs16tfY
dMBnTo2Br7Fsj50OeR8HOBSpgrOc+oJpfv1p5qT0ocg6liBWYzZmqma1nThHEQlai7EZkz1RF8NX
vyeUdnToMp6OLg09rwpxiY8G1JBSnLIqX626SdjPpfACTLsGSQrJWiv5xc3TQP2YFYqfHnzmCmSA
mdYwFPwug7EhFFsY7idyVOEJZKQ+lvVMG1w1JVkflWaeftVD95ZjIdu5DjVyG/ThRn8uF6M3HjO8
2vYxoCTgZmhzklRlVuzScWyOueEt+zmo1PMSJuj2Iczk54EaiAcvUT+scvk8Meu+LTqrO7KuMimy
QuYaTq+sdyhxyTu0z/GRWSF3jm98vmuGIqEGMvEJZADCK6jXKrV/9tyMrPs0lkputMc6vil6nYzH
LpzExWnq+brRnf3gLfRpR60sGGV73AVC8OgJL0Y1TNVuMrvyempb55by6/K2MZ3+QRI32Kw58W+U
I5SkLhb7ax16w6UD2WpFbmwhP+JWzjb43NJo7JcxJNpKPQT90+4Wtcg5z+PwNVbG+Ih0CfG079HO
s8T9UowedNOW6TvvSrJ4UQPG9iZ05uy6nbDqGeEYelFKkv/NykZ1kdRv7qrM7S+mJ4w4cjotW2YB
c7bHLd6j90I5igH4xf60T8vKfvIKpY5DhaatwA5eiblf7jugCojByfiK26fpd0JrJztPNO66m6Cm
rCQK4jEobrxJELGBYqmPnHKNq9xf6mdBLU9IZXIPGtgyfFEcex6em5E3/A9zaPR1r9RwwA82X6pc
y3LLZBjjeW1yvEhZ3A6FE2NyU+wsDAY8/nCfWAMVK9VHIYdmyXstps6O2rl0IX9aLKO2mMMOD+ZA
GsaShKE2ZVVb1x0qJ9zfsGFCEZS+w4Jojt9ry+vjfWg09PIohs6OQ1DULr3lqHs/e9DSbJ4Z3OmX
oGRANkzgJ5d8yogJ4QxxRJqaUPFzf2srJgobM17SdyE73kPdylOPjSErqXCd2FkvnFNwtvrththE
dovxaHoW7Whc47+2cTrbjb0PDLtlVKUqdw9B0WX6jkkGLxvP7o+4TCcwC3b3bcSv/D569FXsBf2U
ZOtKE6tcXpc+VFxG8T+WbmkyjArLTN1Fp3646ZTc6VzCC18y3dHfCPgXE0jVbNOJjqUIZGdLCU7V
3hrlmJOU9eAVhwl79mRZQaoirf2UwYDTBRdyyLTPOP7wOfXmmuhNsuS3AoyviGJVlbdVWDKerfBL
3qeGzV0rEZAcAj8jdr8XrA1T7Px+gv3DY/aHoPR7i8H/cbP98j//9/+LWii4Q5NT9P+shd7UbZf+
1wbvcZn9Qir//Y/+IYj67m+k8VFpoITBQPpQPf8FY4Q5jggJytN0VoDA6pH7lxHO+20F8nByDVZi
k+VxivqXMc7+jX+VBgkLuynqF+jzfxkBf7qdyff6b/RClJVfzmOh6Vi2Ha4wxMAUQGJ+Po+xxWTw
UmK5nmhKVZFJxYJPxg/+8dYa2hCPz6BYpmhgSakEt2a+yhUyU7BBaWTbZo3eiuBdONLvmOYlzdEg
YDy2EauEFDzeHAtk5mLkiHFYqZq3PO5T59Q5Pa/beT13lYrD2JCZ7InHvGQL/ZHWkAv7bZas+rXS
OKWUWKhkH3LN8WWszOCKUgjnrWoH80aG0qhoEEw8L+prK1AHCwNtu9OFsf4RbE2SVqMM11DTcbyA
PGQxg16tQuQEp4dkcsMXBrDTQ7seBZk044VlCum3t9TmFPWZ7WodnL3Q5/iEHvlUVnI9Vqasm2a1
SgrEUHBBlRPG46IP+Wv8ftCxrITjpmmbTwJ1+M23WKzq2uiPOErs5w9VoGJme9S2YMfgkTu8Sdbj
a6T8BE+WV/KjmyZjR+SHuQaPAij7PWeKipfaqTnPa8QFO173OeCZ+Ncc6E0XWbvu25zw53Bj8QF+
PwSPJRqEsBPgtjHd1Jve9kiLeuHE39op+J1BYYMxIo0RR2HpUkHfj4KxvJPhSEx96nwLI78KBsJn
7ZhN13mcDeB2wuJUZUDHqSFcr+fvuzU5Sc5VPNf8P7/f0JKmjnabAIx8sfr1Dg8zGji3VOvPrHRA
3UcVozvR7JVLTh5lkd0bRNkg9805P0VRPJxFgV7t9iD+uC4jRRv0W0wGWYVxdshG+gbxoUPTSXc4
MslNxafW0469Z+BnYP9hnUc15b6JoQpf5nJ86BbtsvXnqIhdnGPsYun83h+Qrcjjsk1UprSeKoqV
X6cU6bN2CZOQ2wRruKcUmp/E0Zl/+ulqjEvXh+jDDZciHbBl7waeBqvV3NnQ7nx7F86ufaKdsneu
S59ANtERhJrEsJAr4mGtF/ZHxWQTx1ayE+tpNx2b9cjItomQFRZvCxdQgsRR5Kqaz7BGCrY6vBLk
jjk6+1VzVX9rBRnt6Oe85Y18YHuN54LPnS09p1q5Gr9ANxDLr0bJExObvX6fJodfWS3QlSjT4zmZ
18gBXjuieDaKpHQhXAXmGisAVpwdQqgzO59swWEehnD3IWO0imzVxyNM7p7ru4qr9fplX1nKr7E3
TA+j3XNJRgv73oSl8E4uFnoC8cdib3lO+ILEwoXramVz0C0DHpjeF/WlJIDHE7B+JfqSbCn5Ci7e
nPbc7FXFycyseeXl3x5xc8h06/We+eSMdfxi5GIwIkX0guqQBgJL2XIciLx6Rm+wApCsqcvgecwk
fx2ROadMT9zQRsz8Wyg2PGCGzZdcFwPXJ24dNv4WBqTfzx1Mq5CQ0jq8GuuS4GjjrSd7wh/4SoiS
4gY0Ajwova9T+y5vBk7jRgvCf9dhANmKUvlHz23FXpRYLN1mAqAFi7ylE3PVoe2pTcb9Qowj3VF6
zzfMaiHH0//DiiUtkOwPM6e5a4x+4e4jbGKzm3goQpZnDusGQp9JL2L0kbErCjC6eceSIUSMNuOq
niso0W8UDzp24LRoXgs0iGNo6uQQd6n15BNYvfGKcoz3NPm2y6NmtuYcp54l0qZV/GoqVp3ECFcN
jXCy+US6ZVHnpPY5vNkV5uKzZJx9oC07O/TOKkMNI3epzAiB6cxiaSYRyzNFxp8HfPYWbmurS/dN
jBwrNxM0rKcGNfopd+cRxj7BjiqSouZ5MTWSUV3xlI7hwDdCQsq/odrTfJLS5PMQ3WNCPYTrk+Nj
oZ2pfCBujNORkEtSkBDNUpene81FMink/Ji5Zo4C3bfH3vQBf3w8844FnXvDUZVPaXG6t7mbHkOQ
jBOni+bM31Osyx7A0aajyMJFrhEEIMroQwgrU3t9HsNV+FXNeraxF27k70tarlFwtsofeRm5MQ7l
U06JOrL84IztTpmGeed4fLtK+Mg5jh4ur12iBq3fOIo6nZex6iZzMzVum+4/Vta6Tk3vMBIrfjEz
u6pexiSZi0/uaLNOlM66Sn3MH520c99C2iZ2ed9Iqld7axMk1XuVTpw3Fc2hUdCI9eUcJ6zAYbmY
N+PispCV7B96TibM26IpTSszvbXmdD6y/Nhy3JpJzxaCuFhF4hUEaniRhGTILPvxhP1HZ2F5v+Tl
91xkFCsiMRjJC6/S9lh1ruQWVatsXvQTay3fyZacT0XjrDFabk7qpvXe60q+1InZnsN4wuEQgbWb
2IfY7ROj5ROwTa6u9qryCZ6IuvCOCe7MyhfYudrB3reNzbnONLsbwojorIzQSKMl6XPmNy7KYRV/
aSg0BWTQXGnm0Zu283Fn5XwHItiY0uAI25EASHt1IdfUyvhOpLjWYA98qnCgKaWbvYH6faeQT3Pp
P8QWQL5Ps1cqg/dELamNomRDsqrC0aBTz9sutqD5RAklt5ZnLZQoaYoLIq9x8g1Nu/Jomg1H/8xR
wcZwCntfVNYQRj4dV6KfxjNKAq52CitnBNtKpfN+9kgPHUMeSwBUuqdQ1aKw8tJBT7wNps4/Azbh
NZdNzTGbDIXbczSfHXOorw2A9LcYQoKzj+lvW5prG28aUPURMN6MhJosaiD8/gIxQ1yDgiQSqg13
eisBujzPvnx2cr8pr0rMuvdNkVY78kRjsCGkH+4DAgM/9NyGX9MAmRawi4U6BAugcf1sG7Rzu4fu
Fx7F0Az0I3RyJwNFRYTj5OSfbJ1fB4Bv5muul/eed0EFNAChey4zsUuy8TkMc7UvMr89+PH4hcHS
xsVa/zXBH/aQurjuzLKx9nbh55HVue09ZpuU7U/l4fyT0zf6Z57QiOPIHLW+DrJ0uZfgShBzegmh
ynAOcTj4VyrMnF3S6KcmxMqJrMbOaKdlU18DX2KJKiT7kxHEd8K+4dzL1jxbuqWiNKzJ0Ia9c1Xb
i9hw0SrMiI37OHkodlPTBDsSfqh9rFirYb+4c5p867PrNJbCvOUlgMnUGao9pTDeqWztmaJhir0o
JT9ahm4PwfqGwAKL8JCE/dEtuGE6m41XTU3Clqx4SJGIe99ncJPQTsVD0eYBidOye0bGNq5mSW4j
MgKfP0fWxPva0fjMvsSylnM3Vc0hz7r6c872HTm+JynJ820VT2s0/+hj6rwRXiM2vHl9QiwO4Rl3
3ud1Ienr8P03o5Cf4V0QizT9Um6GFjGXJjmnRq4fiTEvsK9JgeEaxtG8YfFPAKqUvIjwBJ2Gyn1X
aeLsrA5N11SiXFcr8zTnrf0Wt0I127jW02d2xDt21y07wUxUW/zCxa5rHFrWGlYUVv5W7rIaacfA
IXwUmqIhgBfzVlvzzE0rzfGK8g2frh9CCWHPQhK0XLvOxaY4FqW5Ay7dzuzFQRTkDxnuU8z3uVwr
gBY9UFdXTAkZbKsBY2KSVDcGClKTNF7aqE7sGAt5arAwtZl3DIp+fDEKbQW89mLLi7LehBKlOk4g
5BN8r62vgehk24wAxYvC935aaAyMwpYOvAUJYtenoBjD3KefwSrF85hMAY+4TVWqcaYTl40fC6nM
wm+4RJIrBh836dDpT3Ck+gslJddeUekNL6/4UfaWABmlPXK8nF26c9E0c/ZJe6oXJ1l4GKSB2y5W
j80zD/d2aPfNiB/PYOeUcHCLb+MuHNnNDvThTfRrB6+4VFnUYxxkWJONcRZhzCiuXWi4y3P4kRvG
74QEE5KCIzA2WqPsV4pjeOtaPeZuVG640nu6ll15acSK4aIHmXGk+BikDMheZJR69qDIfOy2CA6z
EfEGh3cT9NFyPgsimw+zNTKz8kGby2ZkAhrSEPwP4/1fxq8OR2ccgoHFAZoZ/198GEAiSop5svwY
1yETAlnX9vRpcbDef3bmZWn2jgzZjdQVYWyPkDrmnz9JDn9zev8VQrh+AkI7638xCOZTrJaKP9mL
xtQz68XqkqM7hbB4CKUmeGxDM7ZuTENDleqSWEFry9Lk0ql4qXbK0/EN5YnmUyB6Jmo1dT//+WXB
e2TDJCQ77vi+9fOHquw+rlMKfY4VAdwDohTS/JTV7Ekpai83XWax8+nlwubIGJJ/cpF8sPX+r8fL
XS8Gv95b/8MW/C8UYVLaRV8NC9dkLjkK5WYzE8nXZLMxQ8P4cCkCtsfAfir82DiZ6/a7ckonvwxO
o6xb7BhDAc2u6JL02K0naNUkVf5jHUo8jJXNQvsf30RsEKaLZEzs0v8Lc24Ikww1j2wiGV0iueE8
oTwyUlZsmtwQ83tF6cDOm3TzJgmiPTQdWkWTcpbP6ql9kFXzT76CVfP5+RJ67IEcG9eKTx3Ix2P3
p8fKcNcYGfuGY5sbbBs9w8PoiiT1QqKKfWBgrMff0SL55pjkuNTA+aIamaAcTORiEjharWcwruy/
v1S/cni5twhoDgxAL0BYBw/586PlD8wEZdukR6zl7FAZndVlz5h5bOmY9wEBVY8YtwPnNMOGR0+w
a12cmbsPD70z0C2SDsyeqdbhtOx87IvNjmOskXGISpyF7fuHR6KMV+d7u2o9VSj4ZpMxRy0p/Hbq
r2eEwfffD6WZHDFCfUy6q1lNDxSRk4ofcgwX6z7uLasKni2oJ8zlXThKyz/cJ+sXHuN6OXw8WdjS
HCTE8FeobGoaTTYPvnGwU5c10KohP56Dfj3qVBOf/mPiPRN1NB4ri07szQRF4S2bs355pAOWq5XY
JqcTdwFelVNREGy4WPxz8oFn7T7kIQyM681uIVZc4WFOsmOdoIBtMl8NoDAGLBXLLPntBFkQbyg3
JGIDkFO+f9z7/69EP82KRPUbKmgFTadrs2/dn/21LO0m38//WYk+vb+l9d/8iT8EaNM06cPky8wj
YuPXpNnyv/4QoPH1/Yb2a7qUdHjBn7qAnH9TlGn+xkEfuxHdLyw+mI/+E/kZw9LPSw3FALQN8bHA
q1NFYv9aq12YcdO7fuzdQAswTklcTc2lgjzDQSxgRO0n0WRJujLPkwi98hF/qRt+xaj4PWUn8ej4
he1uzJr5mmdOnwrfyC6u7U9QA6wAaVBVXiBhr+iw3nL6nrsHoC0JDWIJE9FnUTWxEVVMkmx5KcJM
H8jV5fmNTxkRQcamDPaAoaqTxIuy8Tktb+RsJlu0DWcLTN/dpxljvh27xfuCvt02ysUYX5WEuK50
b3WH2RuaM7uV8X0xaWLGBvLuhFq8lmPtHwRGnC+MP8XGcaUHCkq/2biW+PtCZKBN2GrTyzKn01Go
2kEhY8xf5UYMXMof9inW0DbetNQnDy2Itt6Uw96lU5f8YTbmt0aaWp8GvrFUKqktHQ9qo7NUoBmt
OcW+qbZDJz6VbhY+T+40305r76aigHOaAm830OgZ24O8d3KDCXffWjetlO2px2GwEXmWXcm1ztNd
iz1Do3wLu4bgI3Dfnau84tLgDDmUtTF81bxiT3PsrudWs/wuy6zdLTlVoWsTTrMJdFsfQyv73vfU
icKKmT67ZjBWtP0iRTZr5Wgjy+CLZfVYMfw85drUn2QmPzUGv7pqFO/pdBxe485wd8Sx6h2tBP7G
VT5DUX+sWIlKkoo0gGahfPSXCcw3dBx1Wp/I52bQ3h7KEIwU/LTF0bf6BiUXcZZPP/jbyiAVcxCQ
pWbgrdPYR15hJg9OYRZ386yX23hMxSZdnOYqRewmWCgml99i1wTXGYM6OQeGSBp29jh6urxy18LW
lEjTNVUZNCyk8Xg3tk27r7SevnWBU1YRCkuHCcZQP2hAzPsoGR3zIP18vCI4lR0nt9JX3UdB7OSN
yXsK1GtTKmhPFAhVSTT3yr+YTHrrKOt8cUP8XkQe1aO8zipLVJsGTSlKAgBrdCHjS4B/YsENLBoS
HIITh5Wkw35Ye2qLj8raWlrhZZCSkG2n1pI3clbtPqT4LWv4UH7jqbNeZv2ckFaR0VBY6Y+aRP0u
CMrw6K/lca1rvHuLC6Y/TfMcY1cCIqpF1mG+iyhrQwzc+2sBHTHxIhpa/6LWYjoZAMMpOR18HTyz
3Fskar8Va4MdoybK7Ly1126tfo4It46fw7X1zihiH355EO/7Dhrfpiqoxqs/WvIC6A/nwCtGtZWx
ke5m4Ll3/tqqtzTkZTyPPoFusmGComc+lBhpD0E59i8wCGsopxUH8BzXG5OYJLsYCpiVK8OAFsqQ
v5JXk4mKrDLU9CiMoALbYd6Zy5ATeornXbY2AA4TXYDD2Jj7lKDANg1nbknnxNfp2hnoefQPogI+
ZYXhPXDGOrZYBW5HVK5NPflnjjv4sPLSmk5ZLIncjV59xxHc2JkfDYXBWlZYILVfSz1YT5ZFlSH4
sGZreERq+7EdT8FH3WElQp+W8obKcYJ89qTENWmwnVj7EROHpsR57Uxk8RQ3uud2E75PN9Vaqzhg
E94m9ihOS2O+m6Pr3SinqU5Ama2T1D2n2LWWEf4V5Zjc5EO7FjbGmeIQpmY4wLRTPhJ9nL9LodRm
Mfz5OHN+vvfnRlIwvDY/kgtMcba5xQE/j9pmMQu5sJbukqX99FyVwtk3qko2XkCTpJgqg0k7C1G4
9kzGgORe7Vqkx3ltoDSmkqIQp5sNUsyu98pLcDk6YWh8N3Nk1mltspw9p/+Rx0Z943BwfdCNZzLL
kx/eobdkkcmuMcuSuvJhOASDNtqNgt78ai1Jd9XK8kHDKjinoVdt7LVIE7Rcd7es5ZrIksudWAs3
NbWjTdT18bJzEq89SId8J3amYKuLYGDCkTrfk5m89UiLJ/ap1WK2DiniYkw3LZiuq9QgnVwrd/yk
PipA1zJQWqdCoAG19wrYnu+G7SkUE2QCMyum62otEVVrnejoZs6XYq0YDXzKRs24qg6LqM23USYO
9IPlmVBfzAyXilJ38GgrxcwCupFhKKLkEpxkWD4g053YPYgobG3T2xVibT+tLDfc+tlwP7I7/GRM
Lnz7XmIfXvtS81LPVWQ0yfgiEq85hzalqgnT5YAVlKpV1k2mKp240r5hPyxLf8e2EmZeCb+154Jt
XJ69p3y25AqKjfhKYPAITRCOC/60MDAeCpgOJFiZy5J9jpMN6OYAPdPrUci6cgeaVW5EEF8BWyoO
taf70wosIKgN6m9UYAf5QqX7fq2aTboeTZDYJuTbWF4lDHt5FcXjG9We6mAMwrssg/a/IV2VXzHt
GzeuRj+0pfsIavpZzA7VT3iCiSPa/gkj6HII8EitwubwrCl0PbuefMvXPtw0h0LfFNna/QW5ol9K
0LWTkegz4xCcVlniPOikqu8WRglbYLguOnJ+D9bQesVWNF4BWRtSqFPx8MnMMuNIX6h7JVWWn6m1
3tc2Fb6EAMgEOy+TMTqRgN28yyqb+WwylE9IBOqARt/cgo1jdqAVEN8m/h6A7tjAVUjxRIaM18kD
HzUHqKvUccaLWiuGOTwxStFDvVULDEHHc5cf4L6fUlnhAShy/5HCU3ffmQUEFeY6kZfb1wOr6k6l
5pdYE+ZDnAICq+qrkqYB+IkTlgDTecZmCbYEVurOMdrhkOF422drXXJL2ffBmbL2C9lBgqUhh7R6
sIaTP+b9vvT0l9FkXQnXyuUENapYs5wlTcxG78ISmSky89ea5jCccVAm5WXqSEWRCwNSL4cbp6R9
Ig0oX02FXz7jjqse2VQVl6oJeNW7ayN09lEOvc4xD1RzqRvYkXvp2eoQTDRJw3UFg44V7oDagZU9
tZIrH+j2rqXP/Jgw/CI/D774jsEkJe5OCQyBw9kWb7ELE2f8ok3WWoi7rjoQul1ucTrldPeiGtdL
W+0p/53e+o8KbL22YcfFWoxdlElTRd7cOFu3XqZvVZGqL2gWG8E2900m2Dj5ID9QaZt9Tnq4xplr
tKdZi2Aj88I4JktbeBu/KWQemU5RXSPsQ0kpHG83DrJJGTQk7/AwLbhty8grzQPZ5YaC6WKR37Lv
RcER5X60sBOKWPEGHWPzvFrRoQ+w20yDQBxj2xA/AooZom7tEe87YCO11yU7pl7MOOceewad4y4u
UaYIYiaQHesVyGNBDONWf8HnlxytKY53/kdlOVm5AtANyggkEb1txo9e87XivEkFAwYTzRm6uLj3
FS8kPAFJfmOOnfltUn55C9yeBWGwSpgshbWPqwUA/mMwxX1OPdwQpPW3DFkb55msylA++RNzFecc
u0FWXLopCOsnRixcNQB7k2HMUVixU47yFm42FrPS9IdNBQZtC6i68LdzmlDcS114R/nPPH1XAJDf
Rzw4EXsE9zN/pv5iwGPez9agTtg3p5bZHA1RQgfZuR+C5rpR/Nu19upXm2+eXTAg4TfSGhASK+4T
8OeZ76oaDXaq3ttYmNd1NgUnkk8L32C8RDd+7z0tKaJnA4vm3SE4EUeLv1D47IbjDj5H+9DKxo5y
T7YwX5S8F2PKvBLgDCPsdOyPTtkF62owb9n1WdvaYQtjjVqCBc6Ko9eWzs4vXesiKg3hUSCqZMhK
eADTaet6s7SxhfD7RKFqavsG55MG5TcxmFDYT7VpWMzay2IjuHK4AwJ3k5Xd/IoJ7zbJkYAjUYbT
I2ibZDvkjDg3Xb+Ia7wX1ibvtN62DEQhILmB18P0U8FtwFsY/QXiCPBHiLuRVpU8TzLPn5Kg7F47
tp6cmfRwg1k9eZTuohlMcbFjmeYHI+w4fbm4q2+MmFE1YMNp2Hm9EswadPMYx1J02wxp89CDuzkV
uq0euiQEBt+YzUubtuZnE6ru56pOXmLpiyvHgmAIWEUYR1QUwMioSbhyBnHxQ6keIUzT7xxj7fOv
ASo691XavPlLC3JFLRPzKSMVJJVGQfN3tiQORny4hrdFOZefcgFcJsjH+BBYoZlsZtxUdNkP3TOx
6vF9IHO2UZBGQQomig7upNrnLZHu7dRWC4OrzoW00cDo7Yg+WFt6FseveCIgitaGq6O2noit+EGR
bjEdZg9tAtNWNAt8H0jE1k4HhrmzfGou4Ftlp3RZ8is6frKTxGl2A3OTA+zk8TAJ42sZ1MszA5yY
xnkTJ/86p6p3Ah/5p4Klwlqn0gLvp7/cGnMN+4PSsUNnDeVDte6T7IXnql2cLjIbQf2XxTRbsfPd
ZPAOjrhVTRC1dPFw/lw3sqbbXrk2m+usEit5coEiNjcjHkud5bL5XHdjIG/NItc2gHjCY9d0jrN7
x7Sd4tZIPSAU4Fi95d2AoDLemSHMFg/LFD9wMOZPHa6D6WkZDXBMkYGVwuvueqFt36JBEbGOgbnd
TuOFS9IG4OqTJgUEpc0aesr/ks6gUwfIz82STIfY8BsSFnJ6+ZP883dTgV/mEkQw6Od16UJkV4a6
85dYWDNhu7LN8Ya+VXeLRSPFGzRwR+TJoFokTr5Y0j4M/83emS23jUTZ9ovgwJzAKwnOEiVRtmTp
BSFbNuZ5THz9XUnbt1zVt25XvVdHdHRHuGTLMglmnrP3WqmqAjpbzW63TmxsPBHe1sOC+b3f8Ffd
+UsKLP1/W1n8JW7443tjMM+8UuBO/OvGoiCaXOqhOZ3ruj2LmrNiuE/Gf9WC5v7EDwDOH0sRKAu6
+OsPwEn7mUvvOJ0TE5sp/+tq+bYU1fa/keQ/UZSjAlej6L8fST5LoHJl9PtQ8ufX/BpK6vYH3WFr
hqmL18J15/F/h5LMK5XGk1AqQVfBC+gXJcD5oBvMHT2WSjaVepWX/RmKtXWmkhTBqUUzTaTs+a9w
kX8uIv96+RCvNUxeRL6lXsO/rT/CYeIOGjbTeSjeoy4P4vzLbz+N/8c79K9Dzx+vzz/+gL+sMdrZ
yguiV9PZS2kVMKEc/DfeBIm/jn+Ozf9W9eyobdtvuxwGgR7TdoM5r01AiwfDn/8yEuRLTuDWuE2d
nGIqvS3NZE7MEcYziSC8dukceV/jKvR6naGk2WkgjXMHkPSRyS2xufeqqTysDNFgx0wPdqCU9B09
kuEb/lgvKW6GFpyVfdKpYRzyzk/DFh6/Lk+urVXhR9n0W9rPzrHrU4MgXEX2RUK3hvJm4uRdeUCq
+5U5gtlHrTtaQHmcnGNo9tj8mG66dkkxM+CbQOecuNLsVuVgHluajJ/knA+nnBGyWC8joc4t0QQ1
zBW9kwbO7C5njyPH9KpVOrlJLWLQQAO6JdaDov4Ov2+9nFLsUtrjRGLGLjfWGIW+Blst4xmC95BW
Z7f776nxT54aTCHU0/7vnxo/IvXBG3Tgt98fHT+/8OejwycazxJQLf/oVtK1BvX669Ghnirocn1s
ktwtrvCRX8+O60aDzjEPDmrwPCL+eHY4H3yWnBYGNTS7amX8bzYatvgzapbOv+CpRSEY26fDXs76
y/rb9r26c2dh3ixoIKNll3QR7Lig4mOokN2t1ttkZgtBk2P0nLRZ8RBcXogBM3xiyLnvxlq7CXnu
bSR4xW0km4prx9Ldcobbx6iljxRJRUBfzz1VQ6k9NmVXq/S7dsKSS3zFLtxHCEPzp9Tze5CcVart
jLqpVkXHfMDtOq7DFaxHk2x5Sf0otHZp4+O85mtWsRPtKdDduhaXAjSa2J2aEHpsczdT6lLL4pVd
1Ma+YXYAN8HDEpC7R8PmFjVkfhBHzfvgGBOeqpqbIw20dWuV8pZnRrSZej0gOvY1Zp6jqmLahoyI
sSVOu+yw3pDkiMydBiDz2ZdjuunqLAkW7hj53N61GSUh1s79W2v2hLpFQabSqUGMFi5/fmF0K35S
NuEmz9/LbkguIophbBnGQhqcotRUMSuY6noE4JretdLnstllywZ2hrEiTMJCWK8BBPKpRVBdEZ+K
gYEt7I8jK4Xb2CDEQsDmwrhhQuMndn4x7Gt8SKswN7EG+VW7tsnEBWaos1BO0SfG8snpRwkkRP0l
6qwPeqZtQS4HqmZAdje5N3wp4PxZ3E6PNbWzE41XubZM2o+L2GpJXm8dCvrBAOWNu5UQq8Zx937o
gyUGaudlZs2dN9SepEVSkmycw+mNKZs1zPOW07+/0sCcHkzuLB9FyuO5Mxg6CmbU2242nC0PewJQ
s25zyncwoHrRbh64BDeEYje+AfUVT8IJI8aBdCR8bhQ8wdC108oinRVb+K79hvxVnmubLG0+cl19
8ublJjUh+0fcprdaST7PoAW6E3XxtgDKT3GB7dIqbInww93T/VQ7Nqb/zSZ+HvSjT1EPXE3ezSuX
JuQKZdSDX6XVdojonZLigl8ZKYuAQasdggBIV+fQmKnxKu3FWFMTPs1a9gXm4ryZaVlu0iSVe6dk
0bAspbdi/UdpuYTnxjzH3rO8Ye6GwGxNDLsJMqP9rHV9EWRiDgO37LAJV7LZGR7/ghVIi62bFu02
tNJPrelGt6UeF1vL+xKx1TvOEd157gPaRz5tC+hzbmwHIk+SC1R3D/iiq5OfhKtXJ377US+524Bu
yC6L8Oyg65ZbdsP51ksz4MRh7G4XElyBQ5ttU85cTHtT0+8Tt102+kLjnLU9LWAnM4O4t7i1idQ9
GOTx1knkjXuqJ4feGc0TGSscpLQLPg04+rZMk6zAJKfJuM+fAoCLzUp3FDPVSfVPMrR1Cteg6YuR
2l4f12LtDwuVjyUrHzPNkvchsbCjQa4T2L/L/g9raBZv3NqbFEzXXQ95mW0sZjVbvlVgi1pp8R9q
NyWq2V2VuWdSrF8SdDnrtGRePTYseAfyCYFY+HnWVDL2IkaIkVj6d9wM9OGB1R/huZE9dftHzhsH
wj3u0VsE4fbWubhh2lAVZ+cW+0wDlil3AxsUwMps/K9Dn18SujnUHO7zgU41y0tjJxPtW2Evcpu3
y4mQ700y8d93otxN+B4JWpYlsgOm/QXj3gCmN7kRYXkMy5K3pmKsHnnE4Stz3gsasKucrTPYhQFq
re7ByUsYlbRlw0uKgf+tNAVzZvPNbyxAM0lqrceicx5DM45YFoG4kRqoN4NVkd18GzuyxmKR4Rk3
BKvH3DCOoZdnWzY/4yaTNDZwKCiBVOHtY0u/q3Lz1XW7mzSy00PnzE+IvhG5JG5Ph9xyDwj8yo++
Pz7nIaCKuhbfXLrA6zGEXYoo46NpDCdh9+259sxjUjEPQBaSU1BxEUS193kcMqCwuBiHTfO9bQcd
9jQkXmcZqp1tD3hzHEkRGEX3DaevlnFt660cixl/jrmks+JXX3r+R2nLfcXE7QT8d9iOpmy2vZcr
KiJ/YrksH0m9J/eodm5Sgw+hmTX3Kpt83s9GhFN8cJyVzrxd1XoCl4nFSTbdIWoboHcjmjVG+OYK
VIYexEXjvuTZ/HkKBwqaUrxXAzffOMqZ9pv9tGPRDWqkDEmJFqN/1+fjvR4xHGhsW33j023ddAya
HBMrSHiB0lFtJtqgc8P6jQcaG5ZYex58xkyNNr9bCfxQKx+GgzcuLc8a9tsS0s6e529yjIny7yIG
95vJo6A0tBz0Pcimu2SxnC21aWtr5vCAZ7s2dpFIn6cRjCGmi4+y705d1lCi06LvllaLI3XyUGVm
sQnWQHWdCiq9YRf60auZoFQ2n+QLT9VtS3Y0mDy5WOUXRuRl/8lO+rDLeM2iviz388QxV3mEGq+a
nnoCZ4K3YoNyBbcZr77Cuwud1p9oI8VUNniTVWkB42HfmFUyGkQNXDP8ZA0E4dxsJWWLaW/jdBVP
b+yYC/MutRsKnQskBXKsLxVt7gVCucUKxadI6xFDoWIMGAvZXFm3S9ve/ne8/ifHa5Kgypz+98fr
A31BHrPd70frn1/082jtCVh7SLo9wwHkTiSI3+/n0do3PjiYCjwL5hogNG7Yf1zLTX6JkzVnXVVz
1VXE5+e13HI/+K4QWIl92qWcx//VtZxm7J/vsvABTVKS3GHxSjgc2NW9+reLeeImZCqMLj7ODSB6
jnOVs4JK4p7qRpC/kLNhw7BIfZ4UDXY5ZVsmsMIxG/xwBxFi3xpFGNJg4cy6LMKGvDBWy0SlXJ8f
gFsX9s5IhdQe6Ny0zw3uH2c9Al1J11TCcMOOZjeyviq8ZpWHrBDphegLHgPE2jeg9wQT56ldDoux
9Dav8oqeWS4sOqhGSpfBopR2BG5RAzvl3fjFT6X4emWa9xT7NtGiU3CKa9Aba+k5pkOhZrLNG9/s
YxAGhXs72TDqi3G4dBSutqIzmJGzXdEtpu1G8linqXyABNKf28gsLgrQX27EXGm8w7054n3n6BEr
2LS+5A5sAH77hphCJffR5PpHk8PniVnojrJ/i8qvSqqtU4KxN7uY6H4/mRmJSuYiW7sX5nPuQ69N
rDZ/NEzcw35sv0ZI5O4c6nUBZFDrfjDT9jBW0g5iw7yP6QsD23HFRpOAGmZ6RveW0PKzVU4XR2fR
5OQ5hkWKt/FXUvH1zhZ0HIiVZCejgF+QuHNzGVsmrashTqJbdkH2eYpBbLFfX4YbfdrwkKrOIRHR
7+no+tsxs5F4OIm3Jp3SXUzX/+qEAF6NELWYq8XNCjwTYTBnefaRZKxaYkNUD53jOFGRFVg/H9O2
sy7W7M8ni67WfdLpzUOdxV9oCsdvTuVOAZPcE3kRGThDSxQERyrj9Vp7GKu5eMzbrCCGkndn06Lf
ANGkXYd+9tDmaX/W5ozEOu/YT4BRYUh05nyWeF+DenbMjeHwnWro2wJ9DKOPiyfwFUGNxACVlhXr
7zJNQYzXtXGy4kY/Sn14z/nv1ZwmfxBjSa8UBYh/EZhtHwixUx5sw5RMHH7js62RM0prxrwZErkd
6JDyopu8ooU79DdmZtsnmZururXsLfs0bp8zt1TCOfjLtb6PKdRBmcFkSm3EskY7aEDj7NimRVut
GU6u5XdHPXZvx7FrEFdRykJv6aVrL51ZhpT5mLG4UXUVHdnpEOLdoP/3pDGmBel9wZ6ub0Nxskd0
TVC3AYcP6X1sAVHo8yeDGlHg5/bFYH20gf74tauFOBRpxT0IJD3s4NdCcJYGftXLdZGYJ8cmEgIl
/5TLd41IPBiMvkbpqT/bgw87X/rhvp5G7XaCUrgJhzoKUt1+4WHY3YHvnLeUbKp1nkXOgaOH/WQz
rcJ2LDrSRC2iKXjWLhcZwR5lhZnrBbFgsxkETJBcoI5Ju+PSJzd9QRuu6aFLoZUoQ/Z6hHpXcCyL
gIAVfJypTrbZlM5rm/3EhbN6/lB7TnQYQYBRk8msA1jD+aGY82UH3ovmGFP0Hbll99ZuR6Rs1nRo
pR1mAamg6WGy+ycQG9pea6RzJkkWl7zBqs6edHD9GiOEoDFYVt/LcLIKeqzOmXLIF+Z9zsZ1F/9j
yqpma1OCZ0iZhPfS8pI70NBvpV0ToWi4PCyJ8ebWIxO8uNX714509g6RbE2bJTdPKii8ZVjDS1qP
ck6+ds7SJc7vJY9dOtM87/KqRU8nSvm6DD5VypDnM3js/oZzu+T0OKMRLBK9eWxaHAPUjDjJlMVd
hUsDcbbPsug+ckI0BzWLSiKMNhuY3Bl1tGdpdaizEZFnUvZ5UNWlf+lT8b2uCFVFJlouupKkxx2P
BvEKRbG3qt2yADtH6R2c0LoaHBJ4tYLTGQpT55l9sZU/KBtQqhRzgwJRB4FDjmV/LLgNqnak1nyl
K1/JVWyn2OApj5ss7VqvQkJTzd4+G0gl3My0rB5mPrAfrTbkLZJNvPSIj4zOZ5qh7TFeGBatYNw4
X3pe/RBQBpqAa0MLhY1gthaXhoIxmztw1EdmS96xkaG27f20jPZh0x9kYkV3MWX5R1Swlli1I0L0
OAt54frLFL/Unt1tRtOmY4jw6s1jFQcuxwP8jDqot28iq6UsJeyau8AyDeFhrFk/T9Y4jit8QKC0
ebR/LzObfZllm9NtP3bdvZzNRg8EorF2tcCDB5juoA8CTbAMz3poNW9NqycvfCZji2HEcgvlvbgL
R8f/rs/xgCc7D62LhgbtWcvy5Vzo4gD/lexoYbnvDmOKBF691QyrwRkhgvtsHx3wZQVP23XH+UEG
0J1U5he4DYFcSEtPwyidGw7D+TuN8BRO+UBzYeXWyfQQNrb7xOcIEznCiNuB3LFGIkPU4drIjDg6
tBBmvmasGm0eRlTQ/awc72fBJpJhXqzdJ6nb1fCpivYFq3Z2tvI6okUf9rYAn1QsaKKa7J0acXaB
uP2Yc8Q2WeaW4YEUaYGdIubNSq2uuVsaC5VbN3WeXJlI1oEdmr5+W+fx9OJMcvoWenHzCoRy3JY0
JduVFvkMeOZGaszC0/G+dHjerCz6hl9tXXZ3EoUjpUAkrftBYDTeC22qX/1oLqHULuFwqI3ewraU
pGBq6M6mz42X2PbKq6z+ktpEYrFZWg1qhjqnU66kb3TFarlmttKs+M79jSVa/SX0+9AGhqRnc2CM
mrMbcju5hH6t70iXinVJjpDrkmfD77diUliOMRL7zExxI6e+ORpx7wZubeuBHIeOLjkvOJHXlBVQ
umwanQIM1uR+48QIqVdGV8Nt6vqgcxz/JtdGIOICvnkwM+A6dMJuKYnnJfCiNu1J8ERDZ6wHhpef
M2nW5Ybpq2wwFDfLN5cD1G2oEwm1TPeLHcX+JxGXxVsVddXWinGhBDziw2JFIQiy/uRnPBFJS+uH
ROji1l9s8To6bY7goUZHY0bOwiDQktYXMRHe7iEaPvm4Cdg5FNASyWEwSQCYVO0jb+b/zZYh8/ZI
N+XFy8JmXM9mbLyN/ohWtHTqV1bm/YPjI5xYp7OpvwC0qsJNpE8DryW9G1ZYnox3vyHsuQkLN9KO
4NrDzzDay090Kt1ua9HpPg3dIFn2ahpAtxZsWYEW/pBG2b2+DMnnphTnSI5Yy4qRsZrGXXUg8Sl7
/8Huff08gMgPIr8gG+z41KPcnLOhZ0Ri1wDdr1dOO9pffLGYDFCrmkK3LQVZ2WIi8WVoliHXRpcA
hcuj6Nz15rKZzCU8mGmOCch2+mCprXw76PpwYxDLdYe2+EaJcmjXyeAyrUjJg61GbD5B5vbtp4iq
wBfX5qI7Vjp2e/41l25dt/ZwG5tzdog4ZkG1CB2dwWgbpfYqyuz0vcakUK7YCMO95+LJo4WbfkWW
k7nITF3c0eOdTm+S+0E43LQELYlGZS5Eprbw15HOGbGYIoZOhdZty7ahDJn4DUg2M8o+d54w2hVh
bqJ5ceKAc6tr090QVV5OmWbUx4lOxg1/w/zGtJPka7gkPaKzvgfc1IzbyLfKQ5NHzOWy5bmW5MzX
hmm0b5HViHuraUiswvr6gQT+r03zv7RpVMmEW+Xf35Ifq+FvuE4/v/TnXVl4Hxx+K+GC4TZgJ7Ej
/nlV9izMhfTnVHmORZX6lV9UJ+cDuyclM7QYoKtb9B83ZZPNFWthBcaFSo1H6d8soRz/L1tfrvFc
17mK83u6lsFO/M835QHsawn+r9rPozAmbme84tcl/oZdTG1i65amPXAgTr0HH8sw8ICEI+mE8i0Y
cwJ8ZKsGwBthYj1fCbaVa5aP1CVwfNkG5B4KlDXF78XZc0OgEenzMzolGvFQkZUVCNE5c4uAoEvK
7JSLvHXj5Vp8zoxKw7YFKvs4YCdrNo2fRMSRpJyY9TEwnwNS8+X3rgCTS9Ze2ttM6+y7mPvzPR+V
9lqr5pGUT6MB6UVxxLPfdcqUbk9sxoeRRCsrG+nemlobssQ1oeAMhWUdJxwbBxzdOmhBIKgvesE3
FTRF2H/jTwEV3NoEjNEDokhaeXVDJUS4ufwB7ZnD0oXh5vZVtkm0ydkneArEhiZ/8Z1wibN3QmAi
bulAiTGWJHxfXAc1XwZL4Lkm587vy3f2bNdO91xOeoZqRmcmjWOHgH9Yfqw7r7rrO0oDJ0oCEakl
PmeJe8YCdUle5FxWdaPBZ7uQoH6YyX9tGm6Y4AIMMmkr3SInj5p+Fg/AEutXI/K8+zCnGknBotWN
IGRjWXJhUg5fj4w2et7DXBf1XWY0/r3TxUl8kxIe2Hf8/HiwNnyuukmzIzyoOvG+uZ1jKiDrxOG0
ahiN96BB5jizy4A9z6RiXxisV7gIwYCp0B3CHYCYmAPUmQeMyVnb0D9c7EKi20yNo90xgaYiPthB
wpSj2y9a0fN3NlCtlUnzZVqK5qUF5PVcE662OK2y9Fo7EQBhQyvwgfQcGFbeJP2HuSYlB5zefzTB
OD5wRaVq7M+t5ish/KsZzh1dxFxzoB7E2vTmQbcAxmf4N3VtkcUeJIkye07LZB8KLmaHYZCm3CXh
oN2YNPin9WQKENpI30oCZJavQtwOgQJ6OfVwgaTqZHR/ZpAfBOKsldFSKyoNad/GP8rt1rXp7v2o
vbvXDnzEAYJdovazHn/tystrb75RFXrt2qaPr8367NqyJ6CiKvcsvL1t1F6r+GHVav2xv3b0YY7T
1zdrpTJz+J9WpSP0zyKMtEc5tR3p7PBWFMV4ShQCIIYFECooQD4oPkD6AxbAAVahAyKO22UgFFIA
i0YCNQrqgK6AA6FCD5AaiVc9QoBDs5DtT3ozCTS6RrcgljCVwi9IFciAtSWnAZGahrfKeA09uS7B
yz1vb+1jqVAIVcvclwO8VdRr8isUPRQ2wVUABa03O1gKJd/DXuoJjIVxMIdA9vN80ognHqqBWJ/0
y0u1eDe9EjzB+u1YXlcz8mH0T5ga8o2tlFBNNe8o/2jv7FBxB7Ny5DN5N3ssW6RSSsm6F2eITI89
uDv2gRME5tR5MlpaW+kwDCsgjxgVPf1iUEyhmcSQRuvAYlCUUaQsxgieUlzRusc56JTkYPFfMdQ7
64sZvjRtNjFvx5JVKl9WSsJwLZVDy1Y2LUN5tRrVM56Ua4vA4TlpPLnLbTxcsTJySW4grEL4KiND
JpVc1V0ZEq8qRBoE5eVuqdvbXrm+alMVR2DJ7RplAktd5QRTdjAuPd4KHOsXX5nDSuUQS642MeUV
YwuCy8vANYYiDUSQ8o+lykQmc3Ayg4heqwQNU2Sw5suUucz0BxxmfdU+T2kz7XVlOEtpG/PCmJCM
YT4bWjffSUAtm74FvzDiHXglY8jkimWefXBTm9A511b9MLjVlLG9tx0C90m99f2Wpnkd0cioB6LX
Xkglmai1eBjq2GdlwkdTWkD67B274FXhLuIsr0I22vrI2TzlafN/GNtwt1nK4saUOj6DEWy+lFWG
UmmZk+wzcfCCtPgI0DMxvW0BSmpXLSOEwSnUn33lietH1XwCg30uPRhlxEfbfWEV3oPFL9wS7tDu
WHs8CerV+trwYf9EykNH4Qkl3XDV0znKVOdfpXWR8tflV5VdZiqtHQfnJbCV685R1rvRxH9nhSEE
0SLm2qwBft4J8ljszEV21NooZ5oSDWycBu2pr/XumVccgNFkgESrW63agVYPs9LtWWlWBl7PT3rI
eRmg49Nns1vPRmyzE25xfNPEOLRK4Gd1qPxA1FDZji24NePV99faqP9KwSf2OlVCQGC+xqcqHsZL
rHSB9BeiTe033k0Tmq+aP3ynGxd9dk13Xqm87LqznU+lchDynsooOmWAsA0wIItyFUatvZut9DVE
YuiZ2AwX5TVclOHQSuRnyRgu6JX9UIj2jeYnbUBLPyBrzjatgSsxCgU1jxSrI0GedD9epYqm8isu
yrSYAzHZZMq+WKJhLKO+vCkWCMZFb8JVpSmrlp5xi7yxM4qFW486qhfd+5DGH2UVqNXGWmM3Z6yY
coB1AeIWOKFuNitfPVwzp1GHGdyRvd12dBiUT7IMkzczyz5qplsFCJv119jEP1kpE2VrtJdhNL6H
zMm8NoFso4kXaPN60CiP5Zzp4ujLcLmpleVSWM1LFeG9XBBgTsqESbGj3ozKjulFo7VPlTHToi/g
KIdm6hqfEmXVzHnNr0pl2jTazt+Zyr5Z6+muHfP6WCHmtJWhkwEWszaknYOyd0KDste9NVSP2B3H
dXLVfIbK+Al5fNw4btUzo8QHihWxWLWa9zVEFQqKCulm41h3hLzBqnjOQ4NY1EQwWpiYRmEMdtR9
sI/WykM6ICQVxYR60XgHgYCqdOBbApnZ0V+scfZ2TBE3SRMT2VeeU04s4mJoMmIGNKVbndPjnams
qC3VzZZ/9Cpv4bbp51h29hqeAi9R5VSlI83CXXlWLTLxc1a7l5BR0o5dpDPQo6bxPMRDtU6RtYoR
4JOyt9rK46o1GF071K49nDp12GyM8g4fA30yRLBmXX13kojNZ5GvYk2n7tvdLTm48JgNTcuePYXl
3eY+q9du/jh1wz0TlbteK285rRGpcNGi5T0oKikH1NMjsR+Cj8B+rzsfxyJjir0avW2pRLdugUU8
BsNjSkECH2bScm+2LD/+W4/+w/UoDvn/z8XvUL4nb38m+bIdVV/zaztqfxC+g2/FJoP8I5j868bn
oS8jf+xa1jV1+NuVzzY+CMdHciOEQ+Qdyu8fVz7xQfAL6st+7lT/zZWPcPv/WI5ahnIoQQQ2Xe9/
SH4G1nTJAhH1EHIMDqwmz9+cNERzOiQ6ObF4GUlCyE4iNBjU0TaLTOPGjdvilqenPa8Ng+hOqCfj
uwAncLdgcH719VTSMfLRjKz4qiKYq5DhBSv918LhcqW7hnnXJpOLjJ7V3C2cA28BtltQxev83N0l
rvco2iy/gE4Z7/TxreDwh7Y1zp56FLkvVZaMGtndvFzYRNXzGwyDYubIokngkvBqw2D26YGsrF5E
2aZ2m+xLzPgmokJeAFuRfKhtKlMmCIWbmdFP7g+3VK44XA2oc+nItVh0NjkJZnaJHOAxX3hEaxqk
DOAE4jC+sVIxemSWRILhvcxdi+p7Vn2tu7p+qXp9OQ+dhG1m5d2JnNf0lV5m+WL3CWBwptjyREmw
eZB1Gr2ZMToTzrJELTkTMJms1y5ncdyIgNkXZ67uaaZUKO29mWyHLCaxyzmSnD2rmB/s3Fq2tewD
2VUHISCtrBr2g2M5tCvXlrvJTMQ9ImzAealVfJ1BkzOHL7x71zHokPVp/2hJpLJJ13Ube5LWPlxq
g5CFRr/S6cGPpsidTt48JeFh6YzmOC55jGcycnwg6U4jbjy9MMt1q8n8iaP58DjYGSP0wYDvP8B0
/5yILPzca5QZ68lpNmXpazfTgtcUiI67qvgg5uLP59kSGcNzTlyJPJxftDdT2DYnpgrjdx8UQUpS
s9eyoMvpg452mW9qkikpACGfYqNhiPGWPWZrkBsbsrfmKv7s4FzuoqTg08hMp+41TfM8X0+kkupV
1ljRPbHP0iBjJJNLXGfWs0nU+8FfHP40Sxfto4F+dTs0sX0yzJTtEB8I8Z4dKLZOiRHX7MdmPzEI
uERxka9dUL8vWhm1R0sv/G/U50W7dTnvMn8GHZVspqbxL0q2N9FjjirtcxpZ7n1MDIczC0dXcrXd
kn21a0KDbKtRPEf6UgS+Q+22KYzyI/+OGe7mLr4XzEhuO0PGR9GawD2NaoInEZY23X0ZFQEv1+qj
ZzX6XdT2FdLghl83qsi+JTQ1EHurivqcUm5JiM8XvMs/z6WR2ukqjzAx8uOZqXVh5h4Tnf9TlUbU
96vZH2XqUmAHLpzflMQfCMeRBu0X7LNgIcJxQVeCLcGSx9iJ030zufcG2URWvmJZWxZbOWm3/uOc
8+7ZdPOQv4QhRVsjDxmbiwHOyTqrzQp2AGm3YQAhvJKJ0XN2kg1K50Q/2+xVb3qHT35gh86qqzqy
nRnYIT8cs41ncQZveb9cQgKqDPJBs3yar3tKNtR6ei/UqcUP7JotLmecboJiztCmdM6m0Wj7aWif
bHYnD1rm+Rm1N1ajFjtSBIHubaXWpoVaoOZqlVoPhXxgPW0eBrVordTK1ZNd/jC1nK45jFwXsgm5
Tz/fUBlA5MbetlALXKOJzwXY0kGtdnV2vGN65ODB72RpzW5Qa2CffbCrFsMOG+I0Jb2gZjlYnDp+
G7VGVgvlGH7PIVRLZkOtm6nHdHcJG2jENlEwLdgmKrWeThcjpFnM01qyuy7VEjtU6+xMvrcdJoyF
n2HY66f0uvmG5Q5fuIs/zde1OPtxj0jcAbLmV3zXOVA286KrZXrIVp193507pel9z76dsh5VT3kS
ahEPc/dxTKxiVcyCE7Ta2OtTNgbmdY0PqAEGZIy4l+5/vhp+LPxZ/ROs7gh+dadepQKk7407UyUF
jE6CRLBNwZ4Q2PyxjYSd8NerlxcKkd2tj35n6yIhxg1kn1yVR9CjFjXLNaMwN9VOSTB2EPZ4NVEY
PMtrrKGrGON5KuvQSOlfqA1SXgQrkD9kKhXh+u07TkydNHdEDrHwm43WUQUkRT4b6jFL2B4Iuow+
Cr2NAqa4VE5UDgOtQxFEbiTPuUppyNFoPy1ZNEDxpPlv+smD02p4oFS+oyXuwAqdzAd4iOKREUH4
4KhECAwd7M+VLgOLfyafpVPAXTB+y+fwLVaZElOlS0yVM0lU4sRV2ZNBpVB6yz12KpcyY1xcpZr+
zMCuWTkqvRKnM7F9l+/UzMTXiZ3SxdN8qjDDLLeWXPztMIn8O8S/8rxMm06lZCY8QpBHVHaGZwwu
kT4hUNMQnLw4eYwdSuVtLJW8QaiCdGTu4q/2NZjjV123hq134UWYn/1Kz+9TJp8rV2V6EpXuMQz9
XtgdKXxyLodCZYByz/IDbVC5oMl4dcaWxYihZY+AEeEe9+SIemrF2+4aLuJxqIJGo+6uoWKVW6Y0
LJschGqGyiZpZHqOTjfJfekl88Ht+YjE5eceUFm5RvDfOfmfnZN9j5Pl3y9IDtX0p3YOtEX1Bb/a
OfoHQ9EMOeheq3u/4oPuBxYe1HvhZJIwvFowfjVzLBUfNHCLky1UB+Q/Tsi0+ixXnbl1oojXZcq/
OiFbf27mODQGLWpdLqd3XydIeKUL/hYflEXfj6VIvKPeFIwTU9LdU2Zml9lysvcCZuQBzTeLe0rt
LPGz6z7/utm/LvlD0Wn3LD5Z/bPvHe9tqw+fMiZ9NCRUSiCGBBodqusaPyx5/q+ba6bACEkUzbl4
kk4/PQxtbdGvlkUeHlmG5+/jSDphbAbvKZ6rlNTENb7QX6MMrFLUE2A6xCrnMKrEQ3oNP7jXIESp
MhGAEvNvJTGJCDvCOfXn8blPGvtC0oM4xTDW4fdeZSwibbzNwGOwoi6T9GVRWQw7jMbnOWqodsgu
/q5ZFoENP1Lbi3YW9zWwKI780up4p0fz7SJaA9daa8vvotC0h6pM4W6IsYjOo2aGB/caFomIYZDN
rCz7xozTLIUYthgEFSbQHEtNiSl3w27jIHl9MaQVzWvLK7xdpwKfK1KO+aM04viOEwPBjqGK9slE
2QRmvnd0CLHt9GqurWApaDkVcQRgFOZhLtgCsAAm1mUOBIugjYFpsyv/XRo67DPptQJSVz6STPNb
iodh1hyHMEs3cAJcBU6s3HXezP6p/T/sndl25Ma1bb8IHhHo8ZrInplM9kXyBYNkqdD3fXz9naCO
7lFRduno3S+yPSxmgwwEYu+91lwKZdoiKS1Q5Vfutcl5nQf/4PR3g5Mvkc1RuU810VKF4Jj0vTjP
St9UdnVfZ2N3lI6LgEQnoQckLBYvmnnZRX5G+LhLmg/+RYJ9GGMPz1lPV8ruTYJ/CHxHg06oEIFA
Qeh4HDuXmKAwJzEoW7KDQPowEf8MFIL1A39lnEB8wZpnCvAZPsToLLxxCSRqeZV+LzpFTJG2JBaN
YZqZK2NUWAtiU3UfRcOxYx/gK3gK+ik5DEZRb5Q3J4A86VS/VeTD3dhjgyYAGQIJTkZDq2MJUZIl
g4PVFMvxoro2TJ5qQaDEcItkPS4zZl8oA3eOHOK7cXaiG9Bhs8y+8+vqo4mztYm5tpNZwO84CdXM
ZQw2Gmb7ddiClsplCQrA7AYAEKPN+Uvqj6HLewQtBOtM3Zstwx1059LyOymHYh8UstpiMcVCkCS2
P2BaPqJcSrdtnubc3kbjA+skZyPFVFEwoyfao9y0wNZ9EKrBFnY6fGIH5ns8AXxuQiNfZ6m80jsP
moaQDlkM5p0wMTOMwjqpygz8WTRIukQx71GjEvqE0B9q0mDOwbpwG1agWdTiWkMES2ep7WF0NwE8
m0R1RxKzIFAzHjgwMBpPvaFgEcHK29UWerdVmav6ym7r/qhDUrqbJT6UVVza1s5Oiu5O89pbFS1j
xTL5wTTzUWrw6IjJ+O42pblOMOOsyjhpH7Rez66zcXJ8esSg4ydL3hPxwq7lwjahLkE3J8js8QGh
RKtkDGF+6rRhhz69AWjz5JlN5oeKG1sjSC7pwjsbptMmL2WCCwTaTxKLwVpRf7r7RtlgmBj1crXL
8UEYBtGrdHEPTmmqDZZGuFl6ot8xqELYk6l0Q9FgHTDf5hsbuuS0Cs22P1ucUzf1lEAEgsnxjaGZ
+ezkOHijlDP9VEXURn3nPNBj6a+q0c4mNqmWPYVjClIv+mjah2BAQJMjDdVFpNy9tKWTGzWwN6ag
QfalMs19r3nJaZQaoUZhG07bQFe93xUi98fWgkQdp/V13hOU7jT5ov3Q3wTpDcToxMN2CnIQp17d
bSCsCSAWXJTbkQJ6E+C1oGQMM662bjAP8TmEeR8xIQSLu3lAXBhP3eSTE1OcYuSTl6R1QXQIS6O7
myoKEV1shFsV68R0+i2WivyZasS9iboQuVXIz/+cQJvUrR74VDoVFzlgvZmzUDxAEszg6pvdiyND
896pp+K2hg28mRHHbjOQfedBde4BNSsmkIzOxgZ5QsamG8X9fWwaUPGi1niDnDvvDaMeTwj4ijND
uXY/aZa8tATdLnaRnrtqnO9DmdsuFnIZX3eDx8mcYu3UWkAcRERMA/lMKZwYly0zCy8Ezib7mOAJ
yHy9wzBwcB3EhUa4NpKOVglBI+pIEkq0zWkZAWvIgscI5lC0ypmVv3L8w02iSHo76UPa7ludmENU
hdN73tFQVUalHozBQC0VJE6zwv4And6p20fAY7hvUeScUEwNOLRskbDe6ujOsnt5zyRA3yqyhdfz
WCMQtucu+lbVVXtjKBtSeFvSNGNjqvc80ae3KIVzZUSm064A3E+odA2YNbqp/IRVebSa7rbr5zah
Pjdk1z2L2l4OtzMlTCqeZw0R7B6GXxN/M6kFsL13pd3zJEqFm1xUGUErApmdb3oJBHA2hinfVGJS
392OZnWQEkDbNDFbcAThFaFCMwarMJr73Sjyh3Ga6l2cIjxgkQYHfsps3RdFdmssnSTGqMc+1Kp1
bTfx7+zh/wqI/kZARCWh4335z+fjq7eiffvZZPP7n/xxQjaJdoP/CWbCMk3vZ/86KiBgvBx3sbqY
yGD+v3RoscL8yVSD20aCxjFsTncAff9BABxN6J/7xpyKPVpgLuw+y3B1+2sgdx1gxUvCyb7K9crF
g24jGFrbEskpEactESE1QxT0ouMqzY0yuC6LmUdwYwmNzoFilCTvM8JWtRxviw37ZqOpqTGDvRuw
oumbkvzMXZmp6jqNMO8727xBCD5ed2JJaqWD63A6gCABHWzbtVlunwazbj/ScLztzNhBiUu8pU+k
s7PNTGBu27YO15Wu5nvNVUqeVMfIya/hA6LTW8iqaod8rhUnbLOZxdhHUEQ6TRsTpFq7fX0DRTe9
b+rAe2kzZVC189CV3GRDUl3ZRRPRUJ69Zw0JV8lbEEy0mbyMiGtMBqJYGaiONoxx3UtaF/ZLTasW
EUQ5vgK44olDTbste6JDEC7CTUsGHW9paUSaC1ZSq3apyrNDAunx1W6t+llvDdrFskSKUXruRzbN
RCwj3IKkinGbfwTnobeNS2zFYr8QUDZdYnj+RF+Sf8fw6ts+KaLRF/Ms1t3IjBODIHSpFUdntkQz
APQxSmtYWPz5TY9y9mmKcgSYzTzusEDNt16rz+SbJktHOubginpSi/dRlsTfWQ/WbZLisSRhTNcu
wP5wB1k2kXXlJGnrdsVDhEdwp9yeMEL0sP4At4rzMJCNs4n/+JuGgd4kz0Y3LqUZ9muv4ricO9g1
CPxTV1lnoT2Ne1zYpJf1G23ZDUfsn1tjNNQeKv8Evy6o1as259XWjTNtB7BKHcxIVx+0q51DBEXv
XpHZdd1rdXkqtbDPd7jJ58vUK3uQQPcGs9NxK/7xn/T9zCE6owqCyeXHAm1rvaoHzyyaI9iCcCyO
9PbGDDFbF9SEXtCFoLECmRhM1Ji1IxbsCN39x387Dv+njgNF/y8lmVe/FV3/kc4/GRd//6M/RnNA
yR1Pwhz9Q3H5x2TO+5dFM4JtFrOgS9OOze8PMab3L2nCRhNCGDZYPEG34H93WJoa7IuM7IgZWP7q
H+2wP2+wBIQIGh+uRfvB41Ggf9FiGrYRNa4KwuMgOfHQKZTO7ShDxRovul1cU+8N4j3RRuYqtQnm
DZusd4cYrNvjSBt2Ri3rHb1lIX5/hv+CDfSlI8JH48vxJBK6raNm1RGk/tlQObXWDELAtQ/OAEzw
4nEQv7jKZq9nk7TSlUQiEEtTY06PeKQLmWZo1QDZg4Ip+O4Whbxt0bvWzaaandz5pjAsX2ORGTs2
7Fa+5BFavQaXZaW2HMY1YqWsBEIpQwG31cCIdpq7R8GEHkakBT5HmY0mPoISsHvzGM1DyNFJyxM8
K1ZW44hqSezhJEYzmrGWd3SbXi7jv2QzNd4Du3uE3sMbXeNGSbt/9EqSP8amzgdizMDzrnqES+/5
nIs7MzBKhAcmxEA/jujM0vylE7wdcOZnR9i6uO5jkEIZAzADNF9N2PtIJF/RBE8T2rpdE6vmWIeJ
3PW90X7EImouXo7T1E7aK3h0xwru7INTxBMMuWneOW3fAbmMhuOkwTuIHcWOmzFDuq5NYz4VYQTw
A14toylZ3mmm9yIM1LMa6q1yrdIsetZBBTorIB/jWWPmdIt9AO+agxxiM8bDdAoddS/6MINu0sdo
P70CyuJoy3Drppr53rRor7wqQrpiAUPmySxi+064aXU3wIhFwOnmN9agHLRkeH/SM2VNazwmIQr8
SWrxhUSbDYWuvq3RkpK+LqZVESFen+zK2sGxK7aV00Wpjwqy91taGBuFQWE/GUG1ARWorVDMQtmF
Z3+gD0GWUx3at1z1+gowN6o1JxPHUBrekdgL9xhJkYXroBDZc9XJ9qF0KHzrUaJ9S3uNdgupP3hH
9elkDML5jonf3mKYqCG68O0ZpS0IhKFZeAzIRbnu5lbVI86VinCst5RlvzL0ZvI7VhoCjnC8Ew7E
OIh1w5U1tv0GF4vHaCrKNjB9ydgegWCrojPuog4GSI/GbxU2MYiKrCFmfjtSosy+wlD0jFwbJdGU
8Sx1vX5jeaN808Mkgr86z7/pyGjONf61tTtNzR4RDMP4jg7GC09ihT+UYcpBH+yE5KDRmCNfddjj
djyBmbQiDWndlV7njs5stc5oAhkesp0wQ0dNo197sKaWcZmpZR2C50ZeeZWFnW/iOh4G4JLtimDI
6BRSI19hTePqEWgKSwXgTtIOENdn4vZWhRuYH3g4RpCecB0e1FgVJy+DPQqask7PFsqCrVFCDdIh
gHF3RW6N14LzxrCj5jaAZqNjvXUKXBU7Jy3tQ9o1j140qndnUNMGKY158OwEb54NynldSSDc7ITj
yxDRrFtVrg24Pg9VIddp3KSYMOAfz3gXG+e1CByvX1sYAuGewKMdrplWIzaWVHsrqOxkvMmhi/LT
jJZHJ09nGA5laJcWnqGMXmdC6wubconWZohD/cIgery1G2SksDqjgSNp0WYXkxuDoTvhl/Qyh1Kj
LpcYVkEW2Nc228FVHkHGxLua5U8chOq7uDe6Enm5jqlomdFq9TKuRdYlLvEyw3U4QmVr2cfmWiwz
Xps1Cit4mfwOymrOox5FN7E+po/VMiF2l1lxOMOAId+bqv1zlGy1afqRhGiM6OUtw2aac/YNSW+Z
9oxPnXH0tEym9c8htfM5sA4rmBBbc5ljE8FVH+dcji/AuFEvLPNuuUy+aZ2slWZroEyXubj4HJF3
y7Q88oaEKK6huQcfwzA9kHZ0i4FB/1YOeXznzFMOsqppwxvTNCvU9/BJMl93ova1nAX6fBMToLVr
lik+sr/0LarJiccCNg3nDiUF4hI5Woi4DZfRT0olftGmRR1gDRg4mWF3ww/2d4btWjRuawfqs615
vEXoCXXCYGlsk9lIDk0KNKkeUSWwN0yHZFEqYCKU/INFxz7PTZ4yo1vNBIgypVQQyL1PuUOyKB/k
pwjCmfVFENGijWAIST090Pe46lyCGpefba+50VVONUHbz+BLDtLZtJH9kRiM80YXrEZaT8YTU+7q
kFAs3HhGJHnX/ENn3M9CtFLjQubiCfodW46VncLZDVBylAePnMGVbWmTT4NFW7soiXERmcn1DOlj
Z1I48Adq0i/kTSNCGBdBibVIS3Q822tCrZgqN/wDIp/2miyClEY3pivTqs3Mb6sIwYrlDR/DImJJ
waqtGwyTpAY17nu2iF1YpZbhY91CAwMdCD3MvEhjWsj3BAK6RnNluIu8xjIg4fiyVY65kGuw9jN2
94ztjHgXtiyj+Cc76boCgwJCHTgBaHYQa6PfCc1Fy4MGD11P96nxcSNnpJZ2lwH8pwqoXwRBBK6k
Txzh+LkgeZvJcNGEmd7Nwr5Pp8DaJZ/aIsNskCEUbWSc20/10VK2X4K0YIjeReXrvMiUukWwhIKH
3wv6OzomzUiKVwPfMq+JzElfBE802pmmExeen926laeW7Yy7aJFJhZ+KKc5dqKcyF3jwynH09I0B
10sLJGltzdJA8ZJ41TFB8+HQZHc1Wu2oj0AzZQHgF62s8ztSQrrrcoEzmAumYfokNizmQ/K9FpBD
37Z30Jh4WMN0PRM4ESGz4hY7xUzUrDUjWAavo0mmK6ETJvoIYgLWAY3kD5QJ9bsLg4u+kNK8I8NX
YgOYghGngh3eowu4kCiaBUoBahI+hbegKrpPakUVZ/j9J005FPhJMpyI+cPQN37yLppP9gXHk+ab
nixEjMFY6BgY9bCffzIzBGsg2HgLSmNIGp4EeNuKek9EhzlBbQoiMDq4h/GbZ4Z7Py1ojvKT0mEu
wA63SdloI29hqZd2lpybaE4nJOlOjpjFnZ4a3avR3Y/Oax24ya60Ub+s0jjF3CqDxeno1MWubhsG
ZGAdhbGKpOKRUTsoP2MIdTc6ruYcPA4hDGHvkKdSCBORuwjFoXKTTPhFSTp0a/Q2VDqUQUZ3Zbuz
ziDov2Xd/6ms8xBh/6pRdir7uP2L5PL3v/qjrnP/RYNLR6dk/D7/RY35x0TZxDDnLI4514axyDj0
fys7419UMjp5UC7zZk9fMDH/U9npvKBHuckMGvM0R6N/1DszGE3/ma0qJTc402Qm3lSKDuPHn8sn
0jzHvoxlc7BYuERsJ5q8E1Gtzu6ApaGsExdyfuWI91ZzggdyeOHw50WApj+GBMPzn1GzI0/ASYsd
zpBheaZkyFA4rz+4SNPXTlQB3ChF5/kStcdFFlr/W9Ig3JxgWj2ZOvOIKndjoPh0ikph4qArdGdY
E3bc+DIUzbjrck3t2Yfs+77op78hLX9pHnIFTJPS0eIyLOSgpb7+cwGZcFijUK2qA0dNPHABCnTO
LJ6vd93yvfjcf1oi/4acu6B3/0Sz/Xw/2pXo02mSwvv9UrCSMy6mME2rw6g1xmoKs/dlVOXHAdfg
1+/0RU67vJNj6MxrCfKitWB8+WaKXr/i6Z6hCaD209m+OUmS9UAGVnxPkoC5+FyCu1+/6b/5eg7e
TfoFLCYXiPeXyyl0dGycPrHHsB+utEU21KJlsNb9ZGFL+ufvhomVbrN0TRv/2M/vFnruGBd5AtRM
jFZ6LkiY3wLOZrzbZ97Dr99rcdl+/eUwpfImjgG+CYHIz282kcARkXYWH+poypiLRtTy67rOS9Kf
JTN7ZPyXnnL+NLbpsIeb1FWbuLXbf/ydLSFc4rcEHSEHUcnPHyOTrTPnPSfGul9ocjzo27UdBsGD
Z1fI8n79pf+6hiwhl9OwayFgobH/85s1FMpG19gJqAWlbku3afHEcgcDDEgjIjliZpxOgbHmb973
r8vIEo4tJYWyTUtMfNmX0jAZ49CukkMx1gOHcn7NEWbbiE+EsJtff8cv74UvlNf3lj4aP68Ui3zn
zzuAiSNWDpEXH2LqeSRzs0N8gWjmq3Aejcdfv9fyWn+6+z/fCyg3lxKyvWl9jf9M8o4ahbPbQc1q
lGuMcPkxi43hf8Rf/7Ex9rUttnwnZGXokdhkWK76z9+pt7O2scspJjXIGhJOM9QTK3MuGFkOhnUf
xTEo6gk5LukONJCCDZVW9DvH7j9+hi9rZ/muCC3Y6JaMzwVa/PNnoDhL48UndIA/ybxDDjX9BqWF
58CY82MZupSztjH/zX7+1/RcHOtsQQQfwHoDG/Pl5xxCm9Nd4JDpAH7oW5PY+RGj+3xdMWbYNUZV
AKXBhA28ZZ5Cxw/Gfh4Oo11M39Eh1c1HhWTomAYFMtVlJBQAMjkGKtFuf70S/t3nRNDF0cDhdOCJ
r1OrFMjkqBxN2wvDsd9x2JiNP9QZZRakttFm3kEJtpoTzQE4htXwLMBOZiujCIJDn5bmldd5wQFl
vnHtaXbrbAmUKxMwGJ4z7H79Wf+6al3B1WRkB0DP/suATXgFjYBsjEnTEhg5U+gfKbVL221+/T5/
vRNxqPGTUYWAAnS+PhtjTeeiaG2Mgq9U+PoVhsoiLa0rRjDW/a/f6+t2zvJ0BWQ/PLxwVuBgfVme
s9taLc5ptvOySdehGwxrJvm9jx48RVhRhX41jfOV7CfnRcsLwMKl1f3NhZXiK91++RgG00uB6YUf
2v3awM6aStO5M4K904/NfHAync208yajOoR9pW6Z4ol3i2Be4kIwO+L5jZKQ/w6PaWXnwrpqwyE4
evi+b9Az6MS+10mFUZgkTXLa8GCds6hFqUdIyp3KjODHgHD6yZ0zdUaoN6GGqxt7kV2k6Htc62po
BBsuUgn9zoLafG9Hldh3iL1PEWSUfk3qp0Yg3qhu5zAw+lVGw+mSg856y4JZvGOFD87MXCmSvakI
fuSuZlXHIq8RnxRI+fYYN8yWVmnUkwPmYMpGpQOCaVXUuvkWAT36KAAePI4o+Wo8t0NO0NoUmD+y
oTPHdd6hBCe8JYnO+BXyo2mxtchmiN/7iM27bEPrB51lV0e2z7GRckyQwTnGXtgTb2Wbu9EUHIYK
Z2q/uw45MICUnRd45I17hz6I9cbdH6bktXu8PSJ7DfBcy94JrcZ5UajK11PqhWdn+duWQherjkXy
F3TVFo0W070HrzTmM8+Z7Kmu5/HyeXkDe+w2ehGJ28ogGIB0LCeLDoEMbeOoQxs7pwBqSFxTUUKn
+XO3Ant21XSKHcqVk/aK/5cVWYpJCj/LYILDl+DazeQ7YeUTInogaMz81jeCPE09FMXNwidaBDm8
zggg4QwFKVy3tRO/N8IjojRomjkkI8VbkKwWDwUcIMajWwyNvsIMmh9zQ4/fszDX8WWW5httJrze
3DTZYjzO1a010ugiZ6CZbsRQT5d4Zii5dkwZv2Z2x9aEyhrUnQCZZizrMF/okW6PYMufI7cDjT5J
DjAyL9W2GDLWkpN36hyOM7m3AaXXvOraQd3mlsbgaKGJrfuoRU+U8AXoAiejAjfFAtvgEKjeojEU
zFpcVq+VmhOmS+Soe4yT0zUCc+3BRiy3mIXM+RxqWXJM3WzjKRp1zPqnCz52kL4J3f5wBJkLQxeH
ulY2tyHD+YNwm+KK4Ynpo5aM17beirM0CnXsa2Hv0REHD2HnbEpz8fvYRXqeeTcfio9zyZWzS6Fa
+HURTDB6EuPFxcK0UO5Rgs4ILNPeWAttUjQddd2XDPC33oRwHhAU2VJcVf3Ji4dLHBbzMZHeNopQ
MqJFLYklBMkcaThT0nz0VhiOk2OWuo1P9lcGjGoJ022hHXeW+dIwczrjKbo0E5w4JuLTephd0+eB
Y2ytOn60AxtiV1vpV6Rt+KJPLb/qinGXenjEUyUXeaewmX8DAIi96K6N5nd4Sm9Vr7WbRMuN9UzQ
xUqn53TQhPtcL6p9JvxV5s+Ty1Otr/TX3DCPCnwrINL4OrJjXASm/TAMwVVZOOFzhypiE5nzdIyy
nA3YXM5IuT5f27FhLI7s+lbGAO21gXhBpexT6tSzW0H0h2ToAe6t9bD9DVFntZ9lCfuOQPoA8GBo
JEdZmqVcBVronHor4wOVGXHT9Ht19Wgp09hOY0aGYTfo3hXyzPrCQcmM1qO9DM4ckT02MLIeaVmO
93NpcX4oW/J9V5C953PqKGMhWDlbMyUjGQZBc5gym8y82st5U07RZ0JH7lxrHO+ccZ5hr/T9Znn+
IEQsK+Jg46rOb9qOpqDDnZYdGFlyFNBTaH7NzFkkdRlWpYXd+rZwYraiAoaHGfBEcELP2VcJpQ8q
hHSdc8zbekrQ6xoHWrpNpeeXVnRPsJfJaGXQdm3WCpJliKcQYr0NX2rLTBMJZAX1vEhS60bAG9va
Th9+65JwvDL6ad3FwXhMxl5gsyK889VIJuLYrALSmz+wTx4Kr4mO6O8wVukjyDY15CzMhLMDJUKm
3WZz42zyuSFdDCmgyNHJ9mbh/ujMCRWrXUj9Qc8t59s0Kk/thBVrWIRG5MRlz3mMVO19pZR3PWm1
DX2USZVRlpWvdbWzp4L29t4k9W5Vyb75rdJdd1ONyXysOwN0iCnOHvjwzDc9eaKPXHCEKRzMTZl3
S/YKjubACAyK/yQyaVOAgdFi6Omyy7wjPyomMQslOg9h9NBkKpsfkxLtrYOR8DARXrF2SxLIXJsl
gNIVm1gQWrsRMuzWRgIHjyw2H1NMkTdhB5wnD2RygPmun7mC8dqAWlYPgdwNlsXC9oqzTfvAD3JP
vwnrDDZP7RgnL8Tn11QEhgdWLde5O5a7TOC1z1TrvvULYY2NpvaHliGf70K4IHWU8L9dNBQ6FsqR
0VDYBtDNxGRc9wJej1BEE6KtKu1V1WpJsZlTrTRxfw7ZLksL58Uis+GBrxYSSGC5JTlv0MNnzZt/
6yjHT6j6e/RNGimCRuUxUmeezTPd9MZm6Uxa11TsqIWQylAAyPKYybnj7uqq85jk2U1lW93Fbadp
b9RtRKSB5+5zcD+H0SUVF6GBe1XWU3BOeiQ7Zjjk72nB9GRDTnn9zUThv7XtJP3hWTmE5MphJIu7
il4SkdVPTlu95rz0pqlLxgeepchNbKE0vAlGEpgDtZak9qrnLOtKaCV1VMAsSjCXEvwZ+6JkGm/1
8SbN9Y9R88C7kOiGqt4z2k0RhvOZ8V357shiOKopYdrh8QykAat2s4WOmsFbdyPF0L4nTcqeXWc8
NdgEms/gB5PgSuuxE33htB94TlxSTs1iin5EGsbCLm6ziBu7KyiTOu1HbUfFebIq/Toerf4R9Ovw
bjax+xL2HqDAxcEK5I+kWxrfFp4MB8pRkRd7zTbnI/NWsMy5PXybO/SuIs3JU3YHfLdJvUwux1T6
nKIQPGDZB1xR09XQ6wDbQjYZfKpu2ptFIs7mGGcIy0eeGYyy5twHGG+DVU7haqxII572MlisAw2e
23VnktbBY4t8QhgXOrHclo4TwpsW1AjdIdYlXXkf4Ij2EGee2HrE6WwqHgo7Q1TdsVJx/1FRGy3T
kYwM85yr0Ljxa6AvS5mOkjhHTkVkCQnz094WRvA0W7rxpumV9kNH+nEKXFxwVqESX5a87GRO3qMs
YiBhvdW8BpUZc5wUns8E/pGDcbDpAhtHbVrf2cZTyMwWVC3ba5AFLKr8SViFWAlCe51hglnlFMpH
jrhFokWuX4H+FnE6fBgOJ2vHAdsjiwbdNDU2sljwKFC73tNMjwpfo07GTNuVPCqXbFBN3/b2+BuM
VG9HLW/6NUODbYrVyE9z+6i3ueVLoPWr3Oq3LrRMH+kzSRMBy1kkE5wbKyfKUeJK4YWjsnd3JBOk
qzyfsx0G7+m+tsmj1ns3PCfF8EOrGDPUimh5exiIS6Cxu2npZh3jZs72nqA9oE/DzP3cQJ8gjuA9
7RCpU+Pz1OEgdMSua2KLj+ttPnZ4ILopOaVy2qVk764MDlw+RbWNjG+6jMiSAMhO9t5qiGQV+eBS
mlSEI7qozDkK3kyyJawjS1DFde1vHYCMTaWVaidtomDy2nttZuKDmrmyr7qK3oFi8IF1Gsy59hYT
zVIG0cw5xbvGoXvMtfplzNWlT4Mj8uTHqgnObLk0jBBVXxE68iOpwyfpeXfwNHYVp2nw09mbJ2JU
hJA2V07nvUtLtL5qFpWfJq3HMiMNQZT6+0S8xTHTQjb5SD9kdtOtPV1sk75CgeCM6OvtD8IYwKjm
dLWxNlIRhGPff1OG+pgIlSQ0AtEJUSqjP3tz+E0g0oMa17jpEf0OUANSO+BoGzupNkMdP0/g1vZg
/k5W/SjcoUcYVHubqI3vHSOM4NZ5qQ+UrH/W9MbdTKRm7gdqmFPfNyAgSUfnNp/FEUKH82y3ZsFA
qbZJ7I7G5hDXNu3RMVnKCceLpl2JoWADoDE1kabb6gTBV2u2UT7dWQDHv+NwAdCqVRkNnVXqta7Y
6YM+GldMv9sWLiqCg5tMB/CDbahOkzeMWPZI4wKt2CHEGuAxfk8Z/9LVNJMlwYQYYbJxsf+knIf2
jtE72nWHPSJet1qZQDL2aJra7UjJmZIc2vSwqNwwDX60gc0NyLsyYrDQQIAacSmkgOmUlEUhy75f
l2wv9JmWmcZc9sFLT27EJtBIgwFcauErVtN1zTPuya2D+ayRm05oFbmb3Vzb4jrRrHjYdN5M2dE7
bEtjS+BJIZfqRMbT8Fui9PGS2DM8TJmqrQyb9BilY/AS5hpN7tB05J1srW5jwxWt6HchjCPh3bbO
XTQsJa/XlbMfWVULnX/g6JBptthV0mgOnO15aVKcNSzxFOiMZ5HYOdKhvoJP8Wpnub6OG45/KzOq
bqwGTgUuogOM4gSJTdkc9LTlQdoawdGILJoCqIPPbu/QI1gmNZ/vN1SmtplRjhwC22BmQ7b6Tjhm
/vz5r3hujqHapuwnjsfbwXpUexBI1VubkzDgT41Ol8A1xsuoOPZoFJvMelRh33spFxPBMDEnUVdv
PxvFVTYxRplKd92TarTO8rgiyzKGhaV5fMQ8GtOjrbpiZ+dwBcu44wvECa/IPqJQ5fXTjRVn8jnv
Bb96kQo+8zg1h8YqYClOnHcV+bJ7UobUearmufMnwfcyCUh4qCzKvnqIqtIn36XecVSjtu/7zGnW
QxoQehUruiI0L9kMekl1ItCCl+Zg1Yc0EHnO+hdKO3llWL3R/It3Ik3oKLrqymuaFp9X5nW0ZNCe
A1ENVbnt4F+bp6yGYWUhCLkieYUJmbJoXgUqPX6uOy0u1HZI+AUMhWGdsAB1C4oHs88AKIzPF+F1
1Bge0xShzLrN+uWaZD1TNsn/5Learksie442TUrflJU664UsdviaO8zRhTo7gNBB/IzuGiCa2pL3
os6dSTIgMWnLC2aJfR/qnrbxosFdI2Wmn+9UhBQVjnjOBX+CAqE5OMXy/5YdV0uC1ASBazjzeeCF
Ngi8iLiqR008R9IySVjtUuhmLes+0jheSwLEuSOXgl9iqfyhpElTKWE1QelkwggP7o1WYgEtttCH
x05Hh+3JMTgOUVC+BRFgyRmtW0V2MLewafTMJscuOAaVLN9Sp0UUVk+aAQdmyASqgSyQdxQHfMMC
ieiSoxymnIDRLuy8ItZP1C3Nt85bLm9OVvOxL7lMQ1vqd2PaQfJYbli9TaPvucqrNwDSvPXUt8OR
JOfg0NFyBe/vau2bgpAcCjpyXc3feQ252my+771FxlYkY0qPrvoohOthqQR91g5NcBQdv05HfM23
euIODPrZo2NReLuuGbpNWNrz2aAFfq7yIXhpRrSsvrKVvMog21wKww6OVmbwyTsqH2tdsB3uhGHR
/GAs6q6tZRWMWB5OVmXRUsCtAUTPRdy3Gr2eVeIo8R6SmIkLzNVg1EcV93TZWGT5UZ2iAGR/9Eyu
FHQA7UFREPxwgoov7HXLGmwEoeyOVQVHRGYwUl0c+XvN6d01ub2UfTCvht9cmzqZ6HA5PbcEeL9O
g8sUquVA3tBKrUIC6QrkJzrA6pNsh+I6Grv+IRaj+70azOBHXE6ohy049CApeTKZMdlus+XM+Hix
PB4Grw5eEtuySGMCZhGsnZIG9zqr4nL+vf38X0fQ3ziCdGbfdL//H3vnsRw5c3XbV7lx5/gDQMIO
7qQsquibtnuCILvZ8C7h8fT/QslEs1hiRWt8B5JCCn1EwSVOnrP32v/ZEXQTRsWf2vV//gP/0jio
/4N4ADGCTugowFCBu+hf6nUD+YPNABF3juVqjLz/rXGAK8W4jQICsTh0Pf6xf2schPM/zOJVRroC
fZCtMdb9G/X68VSB+Yrm6CYyevYQDKWPBkJ+rwQdGzwTuq5a+gzCp+RbmPJUH94XMfLxcUUMughB
9EaD/7Mnar38TiLe8GgSzvHdQBD9TLRN/RwMqn5m5jFPjf+cCPLrdEyYJj+QET0ir49TMrd1pK/1
rgEF1CheTSrm20oN88vcHHjxqygdt26pEuNHzWqcmXwKnYv84ejMHkiHMOY4UmQoiFQ+Ht0Pye+y
2qjaAWF5ySpfLFuiGtyrxJXFzLQ37UvmNTkB4KNlXwyGGz1qsYx+DFM+QdmqK/Sk0yj2iPrqdQKz
cduksoV2WBXWnU18Ids/ChA+3FlzqZWCMA624MwcW38RDxnEYqOrs5tQH9WSjxz5XKpD2xzHj22v
2pam78JpQ6WCnmURZhlbOspPVKMFwFY0z05xYdcYdWWRtt9CmJIbwnrymUGLGnMTVK4bLl0/jJci
MtRnRUpl7ST2Q0ufgWYQOmAUcVaZX9MBDrDuKHiGZSE6j42HD0RrEgt8zy3wRwSk5Hb4pP4hRUQG
rQ/jC9C7zFzAU2X97WPSFuXYPDs9lIVFpGK4XqhaOBA1YTqW54hkJK0Dntjg6tFSIW6CRdzSq29u
q8R3ah1F2ioOKvV7ipZmRTNUlWw2Bnfdt0JGG9q1pCpEvErfBt8J6IpVlZUuJiNsHrA4hOu8Abi1
Y86F5DzXsVsPERstvts9XTrYikBwtMR3aIg2CU1j00KwvCbcVVzkg1RpJQYId1EsYiOP5WRwW4lX
8TBA6QomLITGvWm+2Khl1qFp5bewuYdNHVT6TMENGSCAY80XAeOJjUqqz0Y2vXlL/o6ynXQn+FWF
erdBOrFxm65b8aa6O4a42bdJHzuBrayN9xOYqBWSYfs1RDjhTZRf6ATLxhsjyYCg0Rt2TCB5R4t2
GfGIzErzeubdahe+4gx719H8J/oNkO37kPS31DbDd3Jiuhut0AYTO7WdvTM4Tgpa1BXbYJM+ycLV
goo0Z+TLAsMsQocV7959GOC9v26TqKWrEtPX7e/pbURDiTqP1taSbmEVEGmAfx+AbpP8ymMGdIzt
ZLzVkUb/SpKOti/K3Qz1aZmXnXoFIUBGr4Q7p6Xn5p2BarumQpjaSexSjBLdi0VSjHtJK6N4nQB7
teQstYPkragUmAc+ZKeVdNE0L+F4wxtqWslOAcoqhRle+3GJar7R1m2nTNH9KIpx9EYGi2B+/JyP
d4E4JljJNgzKH3OPDq3ynFQ7S4JyiTg9oZImn4VPAdRRGfYRpltCKV/rwhY7jf4Aj/qgFrsxqZNv
eBjmxTDk/GHX5je0zuxrvQW8vVQIDfEXcj43FLjmvfQn8O2VWfuwRzujhu0BRHcBSoFfzwB+8qAc
T14EPuk7Q5fie08DvkZq3KFVp1YQDsCDFlcfu4D2TY1lq16RqWCq1y4srXZZQrl8lXVKfUQg17Q5
LOUo5rlOiKt13IYO62iiNN01tKjpCUcISt8lzawpqbeDr/sprV1EDOOryfYZwhjSN5X/YCQ308fS
EVv6LNNHpfVCAFMKpUyB3/Tajk3GoyOn+qKYJfVob/nFaMlQ2vctxmssDLLcVpjVb8aDKt+aacSL
GhT8XUtFdWMcFPwUixheDrr+/KDxd2a5/3BQ/qsHF0CmSBwB/cEdoM9GgfzgGTAO/gHydfx2lc+2
AqWbHQZcHNwGuClwHhQHF0J7cCSEFeaEYrYphAfHgjObF3wG8juihPR10gNZrrXmUQzAKzrXjc2t
Nlsg0JLghlCS2RnhHFwS2sExoc/mCWO2UWitmlyFYp60KDB0L6Gfygc9aQcY2mFr/jS73MKpJLRw
g45hDV6QhPZUM4dLI42LC6r98LI9ODuayklpqTuluXZm64c4mEB0fbIXPEDKAxIsVgHaZXioDt4R
7eAjsQ6ekvbgLxkPXpP84DvRDh4U1nEaZ4FpgEBgwa8zUT8fqqH/XzieKRyR98y27v9cOF69Rvn7
n5XjP/+Jf1aOFumKwjINS+gIS9i4UJr9s3K0NYikNB5wMM4VoE1R9y/cEhmPpoNC5N9x5/8uHA10
s+ZsTKd4dFGSoJv9i8LxuG5EhsKkhb+DiAnbo3VUN44uDNVmnKWn/np01+Z4Be7gj6tx+48y7/+g
V7gtSOiq/9///XwI1MEmFRgqIFya2tEh0B7NXUV38sgwZyUl3XnMCSXnkv77mv8XR5l/xR/UKPgt
w2CGHMXOf9TKj2J4b8wzWtNzJ3IkSrSjwuDDyCHa6c5W78ZoVU1vX5/F/Cf+LJQh2bpsMCzUz3M9
f6x7tPAl5Z3iSK83nGrRKXTDo7K4y7JqS9WcnVHmfDqhw9FcgkccimPrWBRoD+bQ4FyR3lgENLXQ
lSyizB7WaVCmq69P7NShkOdCRJw3AQx8Pt4etbbKgS4IJxY6wcMQG1SacaddqQ20oa8PZZ+4hhoy
AvparssRj26TlpjqmAoOlcu8vUzSJvEsGY9Lf5iGRRUM2RbayPi3zwaXEgK8JpDAm+jdjg5Kgin8
A+Ce3kj64IJQd4h7kqkXZdu5Dc2x7HF+RnTYwdjv2Wsa1tGlTIRSTmWpALsfQ+ETcarERAc68S7R
8XoCAaxuyxHEPcFs4VWbDsOZ6zu/r8fPKNE4s/zQcYR+LFsdA6MM1SSoPSdThrWVc4JW1T9+fROP
d4zzSbKTg75BxxwJm/7xeRm0ohkbV5de01Ta1qbajRaBLfzrVFcnbxphOHUthCDCsOXm60Ofen7Y
k5tYE1iz2M9/PLRrGoMW6EJ6OLRGZnYmvJpYISLNVlS4o8wmzMUYQqX/+rAahvZPV5aaxuBkaTIY
Gtv4j0euUwU+cVdJz1Ry+bNAMtyvaSLpa2YhE/k1AJohStBxS1vaulSMm6EW3AKmZNtx6PptVEr5
pIeT0Eivq+OVbOw7ch07c8X8or90JSHZBVGYK9EMHYmhvn+Pb4qOvZ218cM4yy/s2I4vaqtDklUw
YHZK0LZODZpZ67yWXFTsrCFRmmiaV4lih1dpWY7AfYmcsNjDMIRqaSGrqX2h4lBHUwjSaxGaY3hF
GpBFzy/FfasipgkVExJqkLU8qAPBj9ik28vWzaZHMrfSVViGOuSe6qelZzb61EysHYWNeG1PcCP0
+tJI9OZxyEfjjhBxbaugc1gXQsa0xuE+pa1mbOqENdQeSu3KYSq8joVBaDmzv2/CbvgjNBEv7YkQ
DDJK9BGNTK1d+VC5vYKB8jIgleLOj7v+p9vAne0m0TIf9Acegw43OQkE731u+S9hifp/lSEwe0TQ
agowsNq7lAO5GEgvm99KZRAqPMRp88Sm2AmR7jfGXdep/KH5AqP8vyrYDzULtHyQqEfTwkrqN4T7
MBvHPwqj2wcRBB6vht4Km9jGtRYr14TJvzc1TrZ+bNpf8TQ8GpP+7oIc/D7ocLKMVolemgR0nDoi
FlrIkBcp7433eYriLsK+mry4YsWIEYQOjJpIdm1V/l428DvIKUr2mWvWT9H86KdDZV9kdCno4vY+
uR0SQz0uNthaerwLctGtXFnKDU5cdUuJOiEksKyAvsToU+WOKsOb1An2JkIvjwEcB9AnNrlV3GwJ
ak682Iy7+6SY2vsGThTzSbfmwQAUe5cGeALV1E/2Dmsv+42iXVO5GzeOy+VcVELzVxn6nxUZT/Z1
07txvIuR9m3KFAYJyYsRyUwt/advWKgDBJ2Reh/nbTIs5uiBGz0laCYMAnWrGdJ/I7QFesKgK/61
3rvokpLQttvZH0vPAHHIzRhKfTUG7NDBRhr7sZTVZUV61DfCKrqd5ZbWra8IZYudU9zaWhZc9ob5
RLgEPXX8tpgWzU71EHJa+q6SDSbXdgD0BWTHf2tQreL978l1EKSIbAskhL+NOHF+I4loljUo3AtJ
X+EtJMlrHbSVAX6bRNC1UjcuGiJ3vh4+YLWVNg2/UvR98bLuhnTNflj1tFobvYzc8EtS/owH5k0E
Bo0OtCqhmNrWsXO5NTGTvzi632HfNsM7NatUr4P4Za2MdmAUZEe0MjKUMT+1BKphlbXZdctm6lUK
kV/lbeDeYPAWDwyO0CFigmf7WxE61uvBeCvIgNlgdHZu2b7lr2No9ndyHIfbIQ6b66GurEttYARD
F8G8SEomd1pldksYWdZ9ifV41WAo8JjKON3SVHUOUAGSDEkSJoFRToQiLeBhJ/YityxzhWa8gBPR
q7+NyGqyRZgWIfG0XUzQkFV7WscilChZveXRQPBK93JTjmW9bYoennddRjUx2iEGWtWoLtLewucc
FlX4MDElCBZBhzuWlya0VrEL/QgZ6rTn1wYPulZM+zEZqwv0ZkRLmD6ZIrGVq6CFs9jd0UQ2N/hM
LVSkgbsza5e5GvMncGIzryJMIkiJluCZQFnCaNRVmzX4Z7n7xyQyJH5og21TWdt+6wNOUFN3SZIp
12EoKHB0Jmu3OUXAW181DctYl9ylsN62YayOy4ZV4Ac5qdO66GzbgwDcvYNLmjY6ToWLw5ytLyLS
iEijZSCaFNobW01Eqinznt+1i6p6rOE0YzRhSDqP5fTcMkF8Mk/DaZAhYDDteXKKC46I1GbdOQkj
DJ7hAzXfWRmEkKHmmw+JXpRmL5P7bkmeF+0Qkc5ijKSpn+2hqVfMS/i/GlIo6wj+wNVhBEzulP4N
JRHjEiMsnrooy7aN2+Zbprj+Opo0lW/1jAqskL7QTGFAVLSvUGSanWNbToJ1PjZXjk8niM97wuIp
u2sXoRITzhDUn9Tc6IqMq47BXkNwKwrLwSvQg+k0wTSxw7ANqg65QrYHSsr8yC6spp11VZPX5CU/
WB2syXMjxssajIeXg7o3MuZp/sECaJZOTj1j0a+ZypbDwoXz98Pk1AtNMgTFMas8kGaMDYhWVANh
HXgW7Sm5a1MR/jpMEZN5wplJy7zwgX0y2KqxvlUMAHj7FWfLRlTuBNFzT70LHCPPK2bXlaWsTUO6
6OaYRgcHzcH8saOzS68nZv7eWygEhMa4rXCR8IXoEG4FOdWvWlYR4F3ygOPCTvYTT/QS4w+MRUPN
32O+4Tu0wvVDnRDSwoMU3JIhFtw0cesSYI30zzIwHEayzLeOFNZLw160WRB+6F+mfU4pfpgWkuQ2
3DZNMt1Nitq9d7mvPGZzxO/U0P9cOYr1z/uUNIP/e1T5sYMhiE4ySu2aGbryEIDhu4UegBot1aFU
mUP0PW9rwhOLjmxwkCzPoh2N504qxnNsluM1XyprE1ahshqjSFkxj0Z3Qvb81RQo8hthq/macJds
TZTFcH246o2JmruoHedGn6nteV7w4avjC1Oiu60KqFp5C9+h4EHcDKDEL2x0d+t8jqTLxkasS3IF
kBioRN7Dxxj3LbPXG9/Rgh0ycaR6h2d5cjScIYrhUFc4xsUER/varnN/jfQtALoNDGLBrDC5Uas4
25HibL24Pp2rxseOBV2dj6E6Gdz+CZNrUhdMqStEE0HvigwGGXNgc9LmUTYy+WQcrlkUxp1e+vmN
LadpFRUmzG5U0uMTqfOmuQD2GK8n6IkINRJiB6HQEjVhxzfQ1DHGCwQTRpuhO+knMDp2jxZFlsNN
Zdd8ugnrBTdLhhpG0CmzkxXYN5+wXY1kYr5N3Y4wrwkdmlEjmmzSXFvm9J8fWtxLm5YFhxoIEeGF
ZujNTYXUBKmM1eGkZehPHmW5r/AdbLCIKiNJHLnyUKsqU1kn66iYDSDOaYdyRA1qXs3GLGMGKrOf
z+nm9njZMbnW8vRJRZ6zzkrUDMKNtLeDgN7IEEUbfa++QcVn6D5EhVgoxuwzQWm8jnAUoozEIyIT
295bvTGunWaUMHF1xuti7DBXZK6Fgb7p5rFWToj2nWohoQNxkKI38PkvD4ZSBQ052GF32TYK8Fb+
r7exAHpAVEfle3RSjW2kimkHvcDa9lW0nc/oxg4HfcnAPLwmzJLwsDbK7vUhkWv0zvl6KkOFDLai
IWraHPUfYz46Md+G6h4UJwarJFIuUFnetgChFqDdQwAJyrtTgcXTjPxFtMgnU6KyLzmNZJWqBSun
GdRy4ziyXxeM7re+j9aQ7OrmAsOIxFJUqfaaCjFE3GjCww7HW535NUGOVvbTzpWf6ERuBkh6G33o
s7luq3bAJfSFPUUPfRFOS+kogcdqteVCdEtMjPkqQPuNdtJ5UXKc0kD1ChSdRGmtnH5mfwtEaqrT
oMs2CalK7ZLzBWRiUFXpFhnZJbLS0r8q8zBYJmRKrK0oxQ3I9KsFqxeHP4K2M70EAuG0GNuhWw/O
VNyXeKknoCZqhQFDDy/C2Cpv8zwpX5QgyRd81TPQEiUCzs7GVaQxWFulTpns2m6c9nrkJlsyLVpP
CWFVrYqgMm4NR063cWDJ+xJ+7RrVuM3QcJhj3SbLWg+29EngConXInll01UJ3Tg1jfaAq0ZEWU31
5sopu9DAPKMFSk1XrvoiED2ywnZIkos6f6O8174PbMevNLdt1KXUzeKuq2KwinrR9rf+NBa7ZkSZ
FCtEjTUOMno9y4hgTqC2ALmQ3MUV8I43IzSqftmBqL4xtCa+y82m2LTY6L9bkvpqQU6dfj06bvMd
3pW9T0DcPPujrfqLCqD6kzp/IS0tK5FJOaE35Hl7EUYOaZtZ3TyDZjI9SLX9PjWD7qJXxuRnY8yB
W6HGzSX317/t7DL7ldXAwDtLM14R4BVwWcBq7TWggJdEi9JdwWOOQKbLDfa6NWTCUWmMR8EAbI0m
XEP7BBTlulDG96SznRe9sHOE4JOzDAIGKBh84mXcMXmlxpuQ34UZKt9WGWBqjpKVLE5jLy67dFFa
tsrt5Wu7H9lVYD0UE2MKZxXU5bSCQ/JAhuoLwSw0tFjlF/RsnVXuonVMtPJZiliQiY0WaAEnoYKH
RGW8LVwreyiSrLhsplTfkQFJKbUOMjT14F2S0mkVT9S9knlslyzlfWxSXAY9TGattZynRiGBh32n
s2UX0y90JfIfUdA0l3wU01tKxfh10ETxGFdJ9VK25WBvSwUMyiLyqygBUTXnQZDhorOZavI7Q2h9
vjzoWhJpkT7Vyj7ed3r7HvQOuk86u5eD6+QXgsr2Z16S+zAy/11ZSnI9FR1wK6ZNzMSxqSxREhaX
SVcCB4Z30lzTCAyuY4qhRcwYpF47jllhErHwNEmI07z/vyA7Q+rhm+YuWsAtKGybaU+KRXubYMBf
GRjSnwZZCz5ccDU1xnx3dSmKN9pgP4y47n/gpLmfyNUyNjZanZWCTGcbVxMre6mIJa9aeg/pFdYd
niL5zVTTOlv6xK5bYatupq5r0RSFMzaoMLYh/NJLPSHSZ5HIFmwlCRgeaTDBG7IlYuFZCRemUGC1
BYP9wFaH7wmuth9+Rk5KGbjPxmD0F2qp6Vv+io7Rumrujcj4ZaeOvOloakFC8LtNl2CY4LqN8ZXr
Tv22kzZXDJr0FlbdQLqky0URvv1sd6HxEHUF4LU24oWVLqSfnJpqDC13YyrmtiFU+ZY9yBMLcnIz
lJO1Z2yO/7dvrHWZ5v5r4SaMohBT0SYU8bVF+BOMGoVdjC6pbsELVsug6/NvOYA1KlyFfnPW7Bpn
zO78SLFu7UoNAOZZ+rUWduK3FsAXL2ISGiUjvr0P9v4GJUd4mRK6e2+U2GFwv00kG3yPc+hqITPI
jOV23aGNgEU7qHe+31rw2nGiFk1SbBmQp/cNK+6iHWAquW6nbmXaPgQtWS6DrVp7ERTjtunlj9DN
bS8OQr5YFIJ7FlKF1E+3u6SUs/e9gdCfkX1C/Vvkv9sm7qIVQpc3gWH0e+00LcrxAHfiW8EIX73Q
yta/QM4Qr+iW9Dxstf7Q6sowLhUXjuV1lMpAXxZ5VQ0LIYvS3FQ5beSlE0ok2aNMH/KMZMHMHIns
jmYHOC2sB6xz78OAMU0FbYqGWci9OvU/bZNdg5nq2ZKiik1ShQp90pBcEvGrzRkHnoKZYc/7jwoh
s54yXBhLwydcgaowXdHu+FnrEepfdSRrOub7Ova9xwTy1WYLMsTTpSnVO2ooi84ZbSKldbSfhpv2
F0ZhirVVCRopiBpuAl/zOlfxf4eWMG9BBOt39eD+rgZDeQp49R513ZbhyqwLdAPYPvxVjQKK2DWz
2Kru0ELrq/IVJGCifBgMnTG3f+6C0vo1VD7QtLjRRs1ynj8mOaJ2rcKO6L/aVZzutax7BO8+eYHF
7tZFnfFfdO4FwxaYCDPPWRx1mgNZqRpCcg5XN+ZDpVdbdgBQynxbPTNu+eTGPjS1UUEZlOFMXNTj
zvI0/bOpbU1t/7M+NOlHv/0Fd55gVqLiMNoilLacSX0N/XlH2dOP+7rNfKp7T5KhZSOEQif2aXpg
i2bCRCoxdAbGnYms5qoM6JN+fZRT4x5u4dzDVhl8HmNZDMzMrZExgzmMQzqipZaGOw4kR8Tlmft3
6oQMFKcI6WjNIbf7+LgkQ5sDACX7tyfEeYXp4oflFD++Pp1zxzia7kQmZGLeVunhviOHUW4NJzuH
Sphv/vFYhecPciaPoml/ejjc2Oml3kiv5AN2FbSqvteBeJO62EcvocKoBW27OuPr0S0JbCKQH86N
dj6/egKaDX1U3j+X/cvRAMIwS3wnhUuAioZ2pgHJuQSPX12mSoxkvHTz1d9eV45HGCfyQBOIz/G7
V1FbOSNucS/LB1Ypa0ROp9ln1pPPz6JQQbugzyRvc1ZHfnxA3EBrSBlLK4/gAYinJaGvmFEv7ZiG
5tenc+JInIRj2hDiMMTbR4+Ji8BtGken8FjakLsr9QV5lQ+ljJ++Ps6J26TZhq5q3CtWrkPG6B8r
pFVmiXClXXhTpK5l+qo46ZJI6Vmpv//6SPrnYSPS1T8OdTRsZKNqzZZfPOadS/cuN4IFgZj/yCbE
y9/l0+NITsgW5rMvV5XROCsVaPt31LDYTSa9WceMgLZ6zV46k4IuWGbgFDCduNw3ghjUoA+nKz+l
GDSqXOAyomVMcdWsU52wzL3dpcN1X7S0sUZEOkv22qiEiOY+c6IG+t2j149RJs19lRdAw/R8tDYT
e6IIN2+5pnXYPLtZrl5rnfNttKzoNUP5tW9Tkq5R4n+XQJI2NrmZDK6snYWhPDIZz2hVSZR2+5j5
VEcNIsq8yL6VvXM1Ib5aZEVSrWsEWahdSVDyZSww8PQFWsyOQBwlVtrlYBSGx4CrXzUNcAeOE6/Y
x9uXiYGWIU6QIpH0HK7coF9OdjCsCK5MXa6WDjvRnWr1zZ4dAV8/ASeeNR0QFAoOvll89+dp6R/P
mp91FWPYkesSEwjUaa7YcdcHL4gl0ioSXHvv6wN+nvwKgUTRMLF+g347nvxiZu26vswKz50T0mm6
ZOsKquClJcpmiyy0uQzpvzyA/Q3+Ebr8H1k+J15fxtrqjBl3gJQcv74yGDslbK0c7MQ4vnQWUXio
tLQHCEfx+1+fJFNeViM2PPzreIbOcISic2xzL+skrVGcwJKeDfE7eJTlzqqTyFnWTNkQCet07r4+
+InzpK4iYU1F8oeU4OhRt4lFZO+Z517tF9G26vOHAI3i0olH+ddlgDEvUhrkF0Be5jF3jo1gHUAc
ST286s/jmPcr3RnIcEqF+OvHlHIDwRTCKGQYn0BDJfjtNujalOFi268mi+6LiG/63rQ27D5//e0F
NFTBiemaAbqLIOeP70QQpWVupBWnZWbCgwOTFwwSaOzWqUjOodA+v4AcjNKG0sBkqnX8+aoYEIdW
m3FmivEQCuUZrsGveBAPOEnO1CDzu/yxBOFQ6HMsTo01/4Dx+eNdz0gbGnOFaSw8i7WgYeIWJmmt
aYcccbaBp/q5avT0EQFHImObX7rjz4tR2g4km8SrtG6fuOVrMWoPQiYVNjGk32GrX/79raPwBkZE
1cER56v9xymaYPrAttiJp7Ttfkw7zzAS4t7UM4f5XDAaqgnqCLOBTfVxrKzqHHWIIv60R+LeTBKC
eFsOfBG/PpnPSyVH0VSKDRhg1ie6E9bqgUw1LfGkYFvLdg8zUvvbzq27uGqYqhHyLcbizCo55+h8
ekrmhcM2TROk1zHTi4QtrKMhqirXBIDUpy578bxM8Ce6jOqmnElWPQLyX0BaIG0VpnxJ71u1t81Q
BbuUYdKG4LmHaTRnY0AClqosKQ7msqCa3atoY6xHV4cOBkrCPPPrT96YOcGSiQBm8+Mbw1wyTGlv
ph4tqnwdj268VwaaHV/fmM8rLDcGXaXtamRafCo5M6PiMxIUqYdjAbRu0Xlqoj04dnOuajl1K4iO
RVUJsYw97NHTbKciL6uchWgoBdNsP9wNljpsvj6bUyuQRQkAt4tNOdfu41GmWNWHoFUSFARYoTsc
MUzGW8yYdfqG0fPvq2j2jMhE+WTMcM3jHSrQJAtTAa/omPi/5msnI+suk/7z12d16uWZEzVsJLls
DI4f46EmfnIqeHnSyHRuk1Gjz+6bv+i4FhsZmM7PPgXNiIqlPvOpOrXmoYg1qKuRDH7a9NA/UUNh
dIkXII9vcgXrbbAp46cynu55Ec8c7dQDz7ZH52FnZ/lJLQhFCx0ZzBuvDMpkm1mmfdfr4Dy+vpif
QH+AM1Uuoq3zORLInI/WVbfVh9ak7+Y5ba8+RaFabMi1RJQSiy6lQW/3j7HmFMu2aLqbasyTazO1
xTZ0EHZN0A+YLpH0plXAiTD2MpRt2/jc7lY7eeVxyM1vpjCpfz4+yNKvVbPPMr42g0GvsKletcYl
uUg49S6ynWdyNjFoEWR4meYiekr6rt75bvEjZKw7WTO2o8+MHV0kd2GNSkmeAufx9YU88a4x2KIE
tW0BlOr4g5ja/IZooNzu8Z6Vk9Zs1BJFlZ8yxB5fvz7WicuhHYSGuPJQyh6XMTrYMpUMKEp7X/ul
0nBYZab6Wo8k4dluPmfxWc2ZCuPES6dptO2paPhifSqxO5mOgwwKTi82X8IoAOPG6J5mppwWAqzH
YyX7asVItvP+/lyBBbtzR4oC8XilNIjOiqRTFx57tWvgEBJ5boolzSImOAmeRsLkz9S+p+4kJRtt
ANJ7XJayjw8b7wr0EKMqPEUNqiUhDowmc9Hc9dCyvMxiI/31GZ745nCC1FCCDxvF4tEbmPnSwOHK
pR26AAm3IfuVWhXVSiCL+28O5YJNwk0JM/P4I1raRtRkOVs0zS3yW1w9YD7sxrqIWk07s3ydekYF
L9TsQ5glz0eldocuJp/oDHh11j6Ag3s3zeqBcC+5iILqzoGG9NebIxYwV9V1U9N1KsSj26YNNNz1
esq9SZ8Q+tj9N9nKVUkf4MyBTizMaIsB2Ao6z9g45vv5RyVaTmAeVJ8tYBqY2MyGrTNVD2ceCcHf
OCroPxzj6JlwFYKdDYNjoOrVFqD/yz1sQ/Ob3lrQB1PsmVGAL9LsZQmmNg4ei14SkGAysMGym9D8
a5FE5RHjHoPAS0Vo2rqH2uFFopF7wlrDO90lGzofsfb7pZpvsxqFBrvbcYkWzt+FpoNaWx2gXGCv
gyvEDO/b5GYoLnINEFuR1XKrdqT8sYEaghuI/1SHxUwVIlDmJhzscKvJetylkEauOxFmV50iO89J
3IeoSOolVzjZZPSK5CJELeShUCJVr5/Ktd+GJorBpL8sDBGBx4zbzdeX99SzyVfc1nhOxIy3/3gH
YeZVzWjxbKIVfK2G5tUJyxtDKBuRFdBYiLn5+nin3nBqboo92vco44+OZ4ZjXolgzD38kXPP6brX
k13f5GeK188tvxmVj8Kf2mQ2rR8dBlJdKOTgktysJndlGc3GSednlTwyibpiKr1sTf1HIPMzW6bj
3HeDEoLj0qXlirK5Pi7I3BJ+atmb9ESKcXoJiW9eONJQ7lC7q+mawTl7nMrMAFklXbVKSTVjwpWz
kFd6tzOR+ppxr+yE2iobrTHypY86jAeu3GL8YIzlxm+mRpJNP6AHgmUYrNxGs+i92NMq0Px7PQEA
5UxmtQCZYSTgKOA6xPwemGHlO8Jv7ZYgeFJQBtgNOLr437PJXIZ1E69toFdPlTDP3YpTd9wiuYB4
BNoMQptv1R9rRKTWZpYnhGhDnh2ZLi3GXt0mWtOdebJOrUV/HOe4MMKFSj46vFTPMefIDfoNSzLh
1l8/vqc+iBaYZ+YKzNvA2X88GbXCxFrB+/QYOjlLHLkLNuPPRUJ0U1iPZ0xnJw9Gv5I9i4u77XgT
YUkWozzlXVFCixQ6iFtgIjfIwBBUNtGZy3dqIbBo+/O1wLL3qfhNx1FYMVIKT8byDpKutQSx91yk
8r2JMG+F1pkrqZ16Lmx2SWxg8VLZx3OaqS5Tri91WjykYOgmXds7k+x3Or34VSGU0DPKClRQ6Ypv
keqH3higbA4w8F05AdAAtzDGRxtfABptP4B1+vWdPvnzWBBpI9G/xcfz8U5Dl6gVXPaZ11flu3CD
J5zx96lgmPxfHMd22Cmy/Z19Mx+PU3fKGJaIcjx2oiXdnOY1H5V+VbTyzIf0VNk6ZyLQYpn/zT56
D0XvIuNGgOU1CMfDGp1bn9/JwiRRSLshVvchS90zjYpTD/AfhzwuWOPJSBHqqJlH4OSWvK9310hR
uFp7WXRn9hzi1PM7J7jQiwaQQS/p43Vs5lSsabAzlhl9/NGE5W9g0tYShqKzpH0bLGewFGmSar6O
qllwrGizPEui/IGJ+Uz8a/jsV+BQWx3ZMtYWzAZhI++DySU3Ik9TUgtrZzPYvfPkmKyakFBrVBNK
PZCZOLc2C/232uto2gFpDaX6Iy7aazyJ5ZqYqPfI6fpFNopo3Wajfl+ivORjr5tnnqZTV8Gdnbq0
OHhujwewMAvqOkek7E3ltJuaSVs0qvEMdeiCnimO/rE/c8BTt3i2Z+AYtGm2Hl/2MtaCsaIY8qIK
WFVXtrLcHLBWIoDKiIceYerXL8yJU+S7PruNCfChcj8qbl1rdGDVidQD722sQzlaV3lIhTbGRf0c
E/BBlGn49vUxD3qNoyIU7Y3OReUVZWt79HQFypgymU0zz8omdxn2rXVvhFq3zKHSXIRFmj4B7wWa
ZSDZOuiUnRBuWNZOkFTREm2VHg70mUuvnWhiokqg6zOv2vanvW8wmFPpd7zR9eSjZxOBsUGVJja1
L+stYR1iwZOCfMqEn0205nJkJoP82jiXYSFOrJWzLxw5BmErDNr0j++eijTCypoow7ccw987iJsj
ATMNgWVuXnC77F0TI0nEZwHeNqWJrCkZc1RAdN1tL3p1M44+nLJDMFEzqS+Uxfk27HmksE0kG5Q9
5hZd7vuIIpMlu1uD+vlf9s5kOW5kS9OvUlZ7pGEezLp6EYiZQYZIcRC5gVES6Zjhjhl4+vrAzKwr
UdekVO3arDdVppskEQHA3c/5zz/EGwiD9rrWynYfu8rbjHHnrX1xYVaZ9TGzyvHMskWJMrEQHmK/
C4657j3quMnuf/56/LvvzwQMDbq3TOjfA0fAbWnetBbfP8/Gj/jbQ0jDJOQhMbR4+/uXgn0J1wA1
OsfGuwKEoZNSxEEWe9zr47VU/iLpGWV2DOJcPPz8Wm/P7f1bv6C/Ft0rx+D79r/U3LwbioTmoMfF
cUV+6YTiY7aNXSSrHnP+3LgwKj360I7mcIUDjbg2Ww3DOyuXO1niA/j2gX7LvuEy+VJXTfXa/p/l
175UcqqJV2vf7AP+9a/bCvJp8dMf2b1UV8/FS/P+h777s83/ffvP4qVaP7fP3/0Dp56kna67l3q6
eWng8P/tYLD85D/9j//x8k8CzkwgLLbB/7ESWK7w128uX+G//vPyGV+X5/Lrtw4Of/3SXw4OnrOE
mC2DYZ12EnCAjfxvB4fgD6oPeEeM5hacn7f7X8HVTHh5swN7Kd0ZZf+Pg4Pl/UEtsViCwRTxOA2t
33FweH+K4EnmApOTlqZDo/lBxF/qqHKLOMP4QBjOTPSNXZ6Y5053BemdsJ2dX9kgLMvk2zebC3qE
eHBi8cl/RJTxC4+J2nWn/ThS7upaj8DHHZLdNw/hw59/71vXiPddKFeBlbuI+B22xh8Ox5ZJXa+c
eNxPLZKHwRzVdVbVZIh5ttzo2pCvjAaIy1apdtMM3nj388sTHvbD1wSmNJEiEb/NM37fBpM1gk3i
5LV7shPzEeP8eN7mXoweEqLEaTTj+jhC1W12kKHxQZL4JS3u5QmVUsOU9SMG8IZYvVkXIZRNsEk1
0CX485BtJzPjZ5GAFEVo5drcr0aJQhA5YYM5Irzb6RVkIbuxUp8EADQJ+9hGCBl5rsKq3VGfkBRO
uyU2JFlJYUwgHoq9bQXgOu91NRq3cPLkVY319S16Z2RVFoLxwW3ks18UiQ7Zu59e44Zv1Jd5f593
JBc36VieIgPdMvIc3wiHysTlJtKBv5NJPpJSxy8OYxKcGnweN1Tk0U3Qk2ax7hu5eCZ5bVkQjKrz
uxGbr7UzCW3BAMxrELCjUbmdqglXxbGKzw70bGCZAJIZUhJI9l5SX1d5T9ZmvzC109bDSNmFGTRb
YwIQUQxrAt3qY9aZ6ropsMqEkjPuXGXkBwXNaGNYbX+fYsB8r9LZ/cjTMTcwYsg+MQl66NxRfZkq
IuiER+WRDOV0h4K/eiQfmiej2G/37qKx9wYsnay2DE4uWdp7peLpdUAkc6fX/Mqk182DC0v7FI3C
PiDcMW47zOkf0nYoT2NVBaeioMJaB6nCTskuoPCv3G7W8WLI5aaRUR4OZW9usNLPbqQbQ3knHgUt
dFV/sSP+KTIIgqFAHC32mM7DOLc7RfYsy9nX2mnnJl1+qHwe7uTJgUTMFGfgxsLpgohUAukkyjSQ
C4IjPEzrd5oRZTcCCh8m/bG6Im3NIQtD9C+ZTgpnidoO7EzX2TSM6ikZVX/PuGO+DFTPn7LiaSeJ
G18ZI984GDR5FWXLYteUc9YEdn12wHdx7TRYtUFchD2agmKFDWH/QirWtJsS0z4LmycRQR5b2aWc
1gW20QXGlh33NcN21sPTKiSHNCWkAS/AEn1FFN24eqS+MHyeL8shnu5MDtIdiQookWqVbfHgb7/q
qWvckq48rIlYxNJQ4942gueYdsutXl7RvMTLeCIjfTsjdhCYgvMkbBciuW3w/pNtKh9z4UXHvMke
B63pCBCqi7PwXzHcxnY10Qo3pkEuzEPcOE8ojtWS7t7dC5N3E91FlixOaNDi7PzJjryezABPksHl
8FIuVqhjzINCVdluI2XLsyQY5BxgGnfupsi4LZNGPnaOWz2hXOFt9dDI1mZUPVnQyS9SRNkf8cMj
+ENL8Vv1y6F6FliSQvOzJg1adpCt376cH7MImqrRbsZJlu16TNL5EpS2eZC04TdT1RpkodBSkPVg
IDXN0yJ0Bz3Zt5XpIUaMxmSHVJJQsNzVeUxF1nlLeI36ZCSo/ZANe5DHTUtdtS7qTvMB8NXI3Me+
Kof2S1J39mOCLCMT+96aSxua5ayVG4h2Q3c5qSFyjoOwOvsGYSYSPXuc7gyUwWHldnG5wiAL2qCa
3S3voYNVOqA8qSNjy9bUlVddRT4I8qDgaGvZh1ZvtOtKz280p7uyC1lsEZA41zNmySvHI/OhdgTZ
EdEVRunEzYDx7YU5x4fCzO4aBpcb4n67TWdPnxOfJCK7775msVkctFJ8IZosPsQz86DS6OSpIl94
kzv9SKSCaL8aiM42ImkuUC5FW9jGBpLdLFgbU405gucISAwiubJngnfIUuinsEZL6Kb+UcukWie5
KueVDCJ1gHcDS1kb8cHXMYkpkgxMssjzVyFnMmvAEMnsaOwpDOzyZiq9ZGMWWnCRIuG/BKIfkK2w
YNF9GhfJBE+9C3xB0B4P0jR6/aAT3bEvPNSFcnGVqwbNDIkdYFmWi8+BDlHR1Ar9YnCSYN8J46NV
RMEWcKU5GWVg5RuTe/+lkcPghg5tKczFmWdI49H2e/R8JLAZA0FNET7sDQ79pal3cDgDA5Q0cBEJ
Rq5aT1HzxaqGbiccwZnHAe5vkZP1q9iE2JmWrrphPGuga8uaLaytmIzhTMNv2B+ffKL8VoOVjXg2
LvqCPMsekSpUXuiOLjahSY+/PBNtf03oGOyS3rYw+LKYBRkmcQWdY3kHcEZTX09sIiiiM2k2K8m6
urTzRl6Qp4T43dTNA5yJZm3FMauq2WCorFYlgMtqag3nKN16vJsHKw3rRcDMEGo/5Gur1yoCINz5
Wea6A9pWzLcylRWa3CbYj7MTHIoumj4kmTWv+6hTxwwnu9A1cyQfbtav8oGk7ca27GuvAWKuooV1
IGrkkLr0t0rrmbEsUVWDYy3mb1b6yXMFWll9GrZ2NCHNCnptq7AygChbXOeGxlmOQ8whSSzCLGBO
roUmgnusNoxdnvDGu1YVH/x+JAN6iOzLCuQPo8BBuyFkzL8y1Dwdl3DYnHSsALMD5dbFiy3UFfID
7xSM8N5DexiIesjhjUHSibNL2czGQTJtUWESu/VFPkfWY5d6k73ynAF6rjmQXx5PpPmEqZHqLxI5
Ub624SWNaz3V+8Os8FCUOP7tOiN3Hoe8SwjKypL0ZLei+VJYqUv0VGP3TOCMktT3RwRBOtZRWYOO
riphoWhjmW292Ok/V6lRhW0+LHWBVNfobvI1ZP2y2iDSTy60ceHtIk9MPV6/Ij7An69PgWoqG4Yt
wOFqqJwElaIfNWGK9Pk8mVGyn+NSfjYlnthkC03Z8mwwfF5KpDS1OIeWdLLUacpTYBKi5Zey/eon
0SCZldBCb/Ws4cCB/Tu90kdjMz5p0Y1k6sAaIHbt5EWLS69wFpvpOCkIZ5HOeUaDfqNVElvePrHi
Ld6cGTpDJkFhQZEXr213lJ9H2THdiiFboPzldIYWrY5/Fl8qMY1bFKPNV4mLj782nZjvZxQLmjRO
k7mhDHU/joR/N+hvlULd3tvZOsUg9wBwX55y5N97W2/IoKvwdsXqU6SrQhKXso6dhsM9KCrtphRB
d5+YljiLgkqjxGf1SsxvnyJQnyxt8TbAunXZlPG2fcWc0idMy6M8CZQyPrANll8t6dIFa+RYcmqT
7ecKNqJVUfNxFuH5Lja07j7GYjZbYQ3ql2Rr1NNOFO50offkx8VdP6zFIgqrKLYe4ZkWYTMt5S/q
oUevHXM8CfgKADsQr4pxekVokOzGOaqIw0sCgg4GbC0mJ9IJyZJWjntWoH7BdvgBZVqA6SUYlH6J
ufwPPLDaJPZFCK3dC81UxwgIdymHvTJUqaqx5VjKe0v5654H89RMNcrRoeRmd63zq4bGeI9hL59l
+SQW/tV8nPcOZV1lVQX+5O3eTqj8QyRIztlzW3MjWgwoJpuCMA64s63Qxw+egHadNg5q47Z6ElHJ
i1la6thY/XRRDlJ96jrbPmMNM94NVNy/QGp+wAyXD7tosZj5w876wU4N9Cbzes1q9lqyxJc1pC9M
koWmG2l81jreOo4iXjCj543HMQTVAefUkqBVPaeSutnDkeMXUa9veOz3ja/FXNRmvsOsh0Dtd+ip
QDtoBolo9kVhkSIEZ2ERxnXqNA9av6uxnV2zNc+bCaCJtK2OCiqVNK9evCxTGF836WCrI5IKLARx
gf0qk9y79l2B4rHFjSnS6kqtVOv8ip0FwPtDMwvPzF94r1idLMPj71FGp9Og9E6IpEYUoOHkJTLd
qCKYsJIe2Z0SmNlBbHmvpK/2e5xzxFYzzGdEGg8YdFgMmymXNGcQ6w5m/mVfm/ZjL1HXJ7OVXeh6
YT2ZcD1HpGSy7C8QsvtEbxjZWrexG8dTeNoVbCV7EeC4hGM0ytGxoF7Ni+BEAUlsyWhNF/BXhnWt
4G9Xyw5j4mB104va/ajhlE/IptBx1ittW1tZDXss1njUvUNFDHfHBkayAjU7zTJ9icj4oZks+HJV
Y0qD0HWp1cdyVtclvG32FLS2axuTnk8BuRwrW08ApckA2ZhjJK8yKDantCNOpSd2E21s3N8LQn1R
WThm/lRbXeYe23z2+pOKBsFNSgiE08amHTeOyGI97KQV5Yi4rRRn6xB3L62x13yh0ryvIlybGmXh
F+C5cy4OGSXNOpqX/yGioI/WesOwJowwtPZ7eHG+ecGEs0FCbI2S05iavtbjtCSrLOYbizKoNiOb
MEZII6W8N+KBo00U+bTTOqpGGpHGtzF3x38gRGjuhI1D6GNYBERrjDWNmx/b8vOUdtm2Ttpk1/VU
V3o28EaSXNKu49Lt7tskf/Jq+kcCLeWjP+RWsq6nJWdvuXfBomc+zjM3n0NHu0HcjaEyB8d1ZvXJ
LoLPWYYYX+eHlpS155HUyWd7MqgNzdw0VyzbbGu1fv2BTtQ/TUrHwWGg6XdzDOlLUjEfRiTtB31k
N2qX3q6MgzyMi7YfsDjPcSBHAthtjVkUB+xY6FpKD7NrkXjXhVV397qBSzJZHJjPNzU5JzYdljTe
3KbLmROgrYzmwUwBlJTK5VXrJeixI5vdpI1Kf235LZ1RZNuoaitnZo00RJsZOCHwH1t9Vl+qcuSu
FDPhoXSHKyex5z1zdHVUUoHKmQzUVmOwHKFxwXbpTBioE3WjPkGF9k/GAMyCY1hwEoasj8nklSdX
cOOYOU67UjedsPLL/p5RKO39MCU7f0GAmFTKqyIDH/IS2mSGkvOrzyqdN4k/y8fMLT70oyc/kztE
u6074myUNp4WQ8yE2uaPltpSOC+ferSXDEcfAlkdVsz9TpM1kDi/LNVx2d/1LBtwweeYctSI72Bd
pGj6mdnhxZ2AjCzNazLqNPDxaKtrvax5MlVKKfJ2FstSlFhVCnO6yGCVEf5WD+A6Fjp1gFW+Xe5N
F7PA5WnsQdfeXkPsQikkRIkF2dhp06UtQDysZlLXb4hPafH6oEXLQxcrGXJB6YJxj0n2uU1BlTPn
PHWRC0FjgQc0oXEboGV7IYAjt34B8uYEK61MAggNcfxa+2Rcziy3MhwnQTEyLB5+vgC90uWY3SgJ
BYpQoixYPNccmKx4JqkOmxkMbnjEYtCxdcZaDMt7xgKhmFmCkCqA4LDUB/7LdMJGOwLAAsIFdrhZ
YRleYhoXYkmKD12GjxYFj14DfDFUZeYDIoiLj/o0WzZAmdMO6gueqUTy6u10V+J/sYrMOj9oC7iC
oo1tjY6eRKQFqVmisVY+pQY5hXPCXypMwB41s8VZBpd/w2/eDskxA7stq9gm0FR70fV5KZc9jceX
FxRLqoFg9eerSZTeVtpAQ2VlRDe6kZcnWZnZGomKf/LbRn2qDDA0Yq/A1KDvlqcBSckZG3j2LaG3
bO6a2XxFs1Y9jYJip9ZVcBo89tlqiLmFsUM0uY6ZINr+rDPQyxVAOS7leUu2zml5n1W9bMMIlxry
snMQySDxqHmzml/nEJ0uEug0t/GCelOXLKcADdrTYubNPtE1XztFAE9sROLsETy9Nerl/cHBBEsS
cMjc5etEC/r1Vt76AQgpli/ZTTH0oEjEka5d6GC3b2eD0QIBdz528h5bPrgTIGqvOfbZE5rDUTEE
/kkFlCFqyszboSZnJigwO3OJGT/YtMNh7KbGrXQxKUo6HmQAQHyYcr08YTZZnhyTIrZYnkFMefjY
QHqU23quKM4Hg92MvMj7aaBMlhn4nF7l5i0R3my27GOfsKiSj0hoiGdiwBi+QYJ9C2jp4/N0FGU8
kFJE+dmwm8iQNockCeJwtm8+9V1Ls1OwsDGXsEBBq5xFMel99UTYAQD1AGZsJRGtQkvhbOH+ujYB
lzcc9rw8b9vs6HE3QI7Id65s8UBXP5EZahZLP0HU9XGsrfFDDWhzJz2qdm0egCz6pudm6mxvcc86
yoiifNDdXtLjWbxrmh7d4NtePZn5WCSH0nbUcZA5IOKyVSLYMjd1ZmVn7DxxAHUTB9QLkz9LBZwP
MZAJa7IGnUaUsaRbGiiNlNe9eEtmcctHJ1k3Y+EmAU0IqVHyM55RlByqmfNDWrLIEpnEZ5z+nvre
4a4RbG8dTD9mqfQZ96DNdbqhflCfqEqw/+9GQp5WWIYE1C2dk1yRJ8UmOxAmd19VxJDg4D+t+44H
PvnoZzITSP3tn28LcypSjhiNrNcvzsCZKjlUDuXcjh+wp5y2RZwmxNpVLOiEqlIQBSFXzBrFGVEV
FIvZSeZL6c50ZIM34RSbvXb2XLkk7NHAvgHFHhGiNlaXN8NSBUyjoiUjnLjbASTwjQeC2lMMJnz7
kbzAGOcOitkWQGXTOcQsrTKyGI9t1P7Fc/ytUeU/GEL+s2nm/0ujymUI/s2Y6odR5dXL8B/750I2
4NAv380r//zNv+eV+h8uTHAkJlDsmUj+Pas0/yAfiJmkzrgd+dsyxvzbbt75A80kNPWAsSQH4JJu
1GC1FP/Xf9rmH1hf8uM0jm86s98aVr6fHcLg5g/BTaMXgfnyvoWyNXcUymfBZ6UTh9YMDdl0xf03
N+XfjA75ivLbPu3tIlhcMJTle/5AYG2rXpNBQFXUZSYGsF4zr2MPQ2PsJtvNzy/1fkq5XArWqu8h
GIfD857pVhUR1ZHARpEATIzq8iUvzcSU26hkQbmTtHtMMDRgB8emapiqX1z+h9u5jJyhjZA+hdLA
eK+vNXMicQcCdvYs1luMkh98XEt//g3fj5f95RIOKrZA57n9IJMiTWjq9MhQe8cYbkfHum8C8LYO
YRPuNurl5xdDHfn+2RHURNiSYwM5vxH7vm9ULczSXOrkZm8PwA0iKwxJEaURju1ExTHv7Ts7GhR1
mFCtjhVTlWIlh2lavSoyrMDXTYW3oGcKEl1jpqeHbvACOiFs+1UIEiigrDUBKT6mMiSkMgrHOg3A
gtPC+mymw070Tfta2j6VZ93qJm6nAfnbU9AV2F2X1lWsugDQOLPWnT6N91MKEJ64YhDIVzw8c2zU
HbeuA5+EIr4CL6ut60iAKjotZYTrgHL3dk3anmjFVQcovxJFQFQdMAKVMIHPfTfPh4ws2y7Vepjk
xavt5TdVYn9xZ/+6rSu8TXEfOUp9fBK9PXCJ1KU352+Cm87rTM5qlxH8E9ZkozhNOrzUcaAOHsAJ
KgZtnQRVvbFNGvqByM6rcbRwldZI4TOFde8xMTymxOOEinS7xUPtxXK14HYsSfGejDS9mgMlbluX
xOnOz0I96AVhdQJ8cYh6Kuo82qT6GF+WDRVyHK10onuGC0eQt7kZakaYAKSTCDCXSrtxmxDOeqs8
IhNjpuWh6SfeSb4ZM5XSiAxggbp27+zS0x7irK/PFJ78HX8czVuUe/1FXifdnmE7BVRd48drwhi4
wGu5vqwA6Gn4mBYWQ8ArUqj0g6qoMdIBq7V+IqqWmCL93q6AWAnSGUMtTszusUt0ZQi8xoyThsfC
bRKreVMmmHtGbmGvsW1uMI1NjOAwa3V0ogWvr+Vc1h+KujlFwWQ9Is9ub+3OQmVGuuOlMVou9ia8
Cwy5km3XluOuLKzHmJIVj7ikE9vUs8a93STBte6KdAdUUy8GpNWHLp/WZtNNl2KspAoDpg5bvNnU
Y+U62B8mrgQfHx3axMDuLoCfqdzn2P2QeM0WJ/OKlNEW3Qf5T0809/GBX3tAHXQkPVRBsxyuQbaR
5TVgF32q7ewC7KZtmOIkcd+s+k4M11qEm5ppJTA6dZnvpwJPBkc26mKCuwSaKZzqXEzok3mjySxY
4SqmX5McNT0Tc6uHOYvmhF2lhtW7a+6sMYjp6UkWWqcQ27dZpLy10hVXI9AS+z8iLK2wAoTZRjKe
jqPmk4qbtZD5fQHvNIqGizFNU6zTuyF08S0kghLfwSIrcDm0dbGyo24MQaWDlYXr3nE248W8zvK3
UeoGVF1VGhYZXarrxc9WZD0ExjyBgLb6Dao7fW/2FihHdMJRRWBHrtsrw+NOW/iNtHbVYbSc1TRl
WruO6AjWyjcWJDW91Bolr1MVEeWt5q8JEyV/RUgCwW6R6A+RJjpYe/r1OHXbdsTQC7sP4paw+iaX
mT8Lr1fd1YbmFWxPgwY3rcZx0aysZwJAmRPF0t0041ZJYd06jgwI681qQnG9vvnQadJ6Zt/2D0kx
WDvQtTwc+xiwP+54Qg7U3qsoz1oTPzmIDJXh5yc2pPlgjMHAYMx5rCuEQDBhtNXgR1VIaqC5bvT4
RCu8izkAVkVPRhPpaTTFeWGUV03hH/LevMsKogDMyChD4deEPPvaep61aB1lmn+JGy+qCULQZ9Vs
vM60n3HSlp8BxPqztJsiWDk5a48twT0nUzqeiKfJD25B5oPlY3WHiGf4VI0DTsRM5dlJgnTCTttl
AeFENqavQarlD8ag9NvIm+1ra8ZS28pJ2zPyIm1WWBdYO4KTSSkmg5h14o5fCU/WzhmCaW5zGWYk
Tt07MYqTKUiqPFRYzoGLMJpNkXdvcl/lBI97BN5a5HUSGD735wJL8z1C7MW73vuC1hTz1j7guavI
SQ9+6nuo04hjKJ2k2ACTTkwop2SPuGShzAQx3iJVdVEhlt07reOc3QQFMm7JgsHnphCwJvIp5vb3
8XhnsHMBGgb+lpuU31oM9fA9NyT58G1mfrSVu3GRsz5AFbKJJHXjK5fZ5END7GyVJVhOpsRBXHWG
bLdZgfqpZQi2tzMSpXOXl4zD87VkTsWspgZNFVFz4HwcDj3us7g3Es7lXrQGjGvm1XnT/VlX/P8i
/xdxUthq2FABf8ZHbJrnL3HXvLRt812R/+dv/h0rFfwBh5s6HxsGKnP921gp6w9Hx7nPgdAPH/Ct
mv+70DffqIf4jBEgheJqyeH5u9A3/jCtRSzzrxjTv1mZf9XcEDp/w0tnMX1BZW1Qn/Lp3tGaA6I0
YT5ocu8n+WsMnr/DX5OQRh+54Td3559U+3wXE6Eymm5YbT+o8PISU6oFk977JjbS+Nk+ybIaV0MU
d+HvX4lroB5H04tb4NJ3fKPGEq0WzbXMJLZ8GcGFnX5u+iJFfzb/bgPjG0wLOa8WQrTOtb6/UA83
mCJtlvuJpj3Ls9dIS15T/v9vfx8u4yC7Q+j3I8MRjyq8rpxRMngagk3gwyAk1T4PM2I1f//W8a7C
gsYFCJ7se3GykHphY/EsyQAr6tOod1QqlQnQW6a/+FL/pl/xXUhCaMwsOuD3KjOvLyDKBYPcxwPl
kNtNN5MY73EHv5c9debP7+D7mSrNkQ9l3XWxi2JK+b7/0gynYm1WhF0qRpAeeNE+9RU5lFryrPuM
pBPiC1bGRHjHzy+8vGrftbjLhd8MD98kFe+Xl1tXjLygKOyZL1YfuxozcyfA8B+fPusX62t52X64
FLgBY080Mazq71/GuUu7CRMuiWMOyUQFZEjCDfXo4//iC31zlWWA+c3aWmjUvQZzb68FI0EU9Xjf
F0N5LOv/3a375krvdqaBoqWC9coLknfT2h3T57kC6P/18vpR2sEUGxU5VKaFPP7DSy/xLiP9q+N8
Lwr72PVN8VpZ+PuuhnZo9IJYdvhbOXH1yBBSo73qCaFcGRkiYmmUZkjV81yMVXn0TSgCk8mTbRIJ
xzafOufCxmf8VNZpDSzeBJu2V4DuLWPlvVhcvSxyb6qN7RXRR7we7WfLRR+yCvg/O18zvGsIiL4F
LWZEiZ0k6VOCN25YlkRihcOcmb/S29Cq/vAa4T7ig8YEICb4yC3r9psHXEWF4xegIughzGot9V7L
VpMEzJztYtoE8IzXRlAbW7JfnL1ej9U6za0A8NYujxDBkd8PDFzo/fBwrGEefnnjzXhpZB2W2MFt
52WvEx6hBzEb/aX0SASu5dy4FLYM1SvJjxDVWmyYa5rwgTEh90ZVXE91YD5knlkdnCiNnvoCRHYo
RmdPTUnhPRFjP6Ss7cwbiTNqpg5GLywDKBsKML1tMRHqsrzcINMpP+Lfbx8xGR++qIgTz2hdPjtO
6NdTalcXg9/0aRh7flxtJjvXP6ekJ2CNwufREJA8gyVV66xv5bYKhDzDXKzWLa58CPGsKEpXRpcH
40pZbbBzyVfYKp3XJ1VQiIhg1cJC59vNBZt4gftvCBvbhDHORhuLBON73K4JViC6GHlfRbAwknb6
QHBzrDeqC0NvUeoV4Lt+UGihl6PMFXHvXIzCSJ+EX+X37sAIXTWWfFQU6Q8R312uvIFhsCzsbuYz
9bQbsSeDNrSsiX1vdG1gFI3h1X0zEC/DlKG41rSkfYq4NdjqK3l2u/RVN3imHfbSD4WfvI7NEH1s
3bk6DMsxETdNdUHIMgPiGnxdsM8FeUyCkDve4OBpHzjd2hAufLLrBeuHkihZIoG68pgIjE5Xdgcx
U1gyOKeuKF9BM4wrg4ivHUHe9KGmNkBPetsC8oZAJxKE/FPscsuyhJuAiwAdjB1PYUH3devPuK0T
RJdkTwHZD6tCDdWapKQUTjMpDzPBH7Wb7xJokfLSYJAerN046j/FkdSCjWn0jY8vZJbMK5cR6YnE
wPnBx1cZgCUrXk0vro58xwmJDKcIEKra26lB34pN8q1F+GQaYvG8YDvoATL8Z+KePpGI8VONARQa
d4J+V200Zg4RVhKwi8ACDXcVWt+GlnItbX3WQlCjYDMTasF4Ry725xhxx/c4EYl+1/ll+hwgxdwG
JesI509EDEnQ5zTa0cigIOg/zfWc7bCKbbFq0Goz2abScuYN4dZwKOtGDN3KHTPjM8ZfzVdzZm3Z
GkzHdT44zV1P8PWjSG3nwptyzhMm/w6qN806or5JYD0OiRYaGU/CiUX2pIRZHseI6AbIeiYtW/rK
xCVAqOBaRz6IsSVQaFprU8MAJoavfUW0DaxYkS85BzyhzqIM6DCoD2OfkSMRodHHtCe+nYi5MX4p
ZeDsy8yFQODG7nyyje6TbKZ+h4cDiSFBx4swD36Js3jy2qC7WCmNcIXGyHfklryQT+2t42b8WCoT
PnX/mRji5FiULnPxSLoXlAXeddyxKGHXjhtmpv1l39bBRmSsc8x3wL+llz34hpwvsNbeFjMDSTGP
sg2LgRRqEKI0IRg+56VmVxw/xDks+rJLg7NFgQ0vkVWfLUBR38sIYgx5dnPN7lYMbb8zlhpE0piT
9JA+J43mn32cd57zkVQcq28NRLYD41M7so5jxxuFu2r01NHPhno+Vese64+N08wso8JXAW5VHb7V
Wk0LKRr2nJgQvWvDrRUMmvzZcdgo65r9g/wf73pOiEcy63paR55i+u9YnX9NvEkN3YHoRqIxeQ27
oFa7XC+6dTqlbGLka6/dgUvXMBH2b6eSaRjDF7r0gyxz4teDhlgIzCA3dZKfLUk0RTxYAIiwP8+N
WnqMyqwuckPyMjFq65JVYdgYPnB3kihgeOoyWX7bdVHlPLaZb7zoA7tVv7wjjj4bV1nUJlepM4pt
P2FOQJ5NuoQ+tw6Ze862gVkGoFyboWPN7IhtNYb97FZ36CeC8+xF5XrUvTq0SWsDI23ZuXO9rjGz
c8vbXooo9N2yPEZzV1w3HXuPJtg9hoBFT6A69zyouq2V4kMhyj65siJT/xwYXXvBbJnavOrOftbk
+8bV+10ao8YuAqFdtnVythKr/6SlaXOexri9jNL5geCYAb4+uhuGD8nOng1nPwcJkGasijMhotGH
PHv0FEEkME5fAXIx6m6TO9bzfd3rYm9iz0h8XKHCVrdwN5kgfXMsih2b+2fNqbqV6XHoLXrig5bE
+T0RIOWxLtlx9MJHoQFesZhnMWX+c5MlCwqVM89gSx86rDKXREXO7TLExHvs9si67XoHu2dlwj0Z
Vu0bWj+9IfcpDa/iFUlB9JEjZYcS8Ccg5cVb7GIW9B8gl0lALq2kgPn5NiF4mxbIwrxrCrM4Dsoq
jqSO60wVgNzh4gFsdH+CHNGfkMc0mGMxc/jkNftf4Q3RjYK+g5tSlhKqYyd9ER+HNLAI9iEKrveP
6AiqEny4szwrpC9Bw7ua8Wd+baY0Jkqtz4oX6aAsMBLhHUbfk6irpqBeRtOODsNiZF+f/EUhSkBb
234oXY88ltQm/gjqlkjRQce1DVW0M3porkbz5Gd6hoRizD8OqTUioDJAjpdGA3a39Kb+WOZptk6k
/tn2u70EMoUSZjE2cVDVmi7ri42jv3acVLs0rFJDfeMV4Gq2Oe1Yp6a1qlLosV3ut3tT4fU3qug5
i52MKFIzI3QO+hxJZcYn9MnjVccZDRlKECxa2manhUFuzVcsV/FF5B4U98xoNDg3Y0CZrWmHZHR0
f+uJgv3Ndtm+bUF1QufIOGMgsICUe77wPoMCBjltcvpfaAt/FOcu6kKfdiZgZMfE81230cxEN3aN
nu8Zxf83e+e1HDeSdd0nQge8uS2UL9qiEaUbBOXgE0DC4+m/lVR3/CLZI/2a64m5UUSPhCoAlXny
nL3XZr0xx+ESNrjuAZyhTiCnMb2aoWjg8VmoK/KAYFN+8M6ps2jRIR783aH13dTrh9tRobYBvb7D
hXox8YgA9oq9LI1HBksnmbOmjl76LIr+HM1sc78+br07JXM0YTjMlQzqcUzRr6txpPVOGaOd2A8N
RZggSZANiu1YiKQ6aTZJQb++3ntiibqg5yjcAQPgd/w1ISlwbDeHVOkT4LhilajWaSsG4mU55nRA
5zd5y8nHdfzx5mXbGclQc3eJORpbDE5aSPqt80wk1rCbSCD8zSHXUKfYV6dcPp9DFYWZ1nVwjry5
IXGPBY0VO993YLBWjtZWq26CfDFa9lOTkjHCVAY3ClL5rSOxrEGk/lOWZ0AAu2/iauPIyKN58wlo
g48uaIt0H3De3jlaXJ1qe/zdq/+uY8FVaFSAf4bqDmjpzTGsT/shckWV7l2bgtEF6wm71WXch1Sd
1KaciLM5o2BG5jY8/fodMN/fY7ZlJNS+wvC9x+PPRm4PshiB07RjHKHTwwihRVHwqewpB9tqdObr
QHOCR2HPj3kwN9+12hk33TwQZ9tVIknVGiM7Br69bzG1qSmh7FzuqTlRfOIL+dpERtQdtAiu34+O
y//61b/rV9NkRvXwn/vVV98+S5JAn1+1qn/8pb9b1QHqElQloIrokNHEVv/e35oUWJd/0eVUFnYw
rFgT/p8kxfoLuTodaZongcf0lzf1n061/id+eRBQr3/rireiw5eFLY+kAdzLm/ZqYfUaCToE7lkA
SYbkcsklABOSpzCTz4wrvdSe6/KQDlHyLek1wlEw4oz3ji/dQ7t00V1R+tGyEnz8S2lk7rUpW/di
QkdgrzoyvEOzLZJhRYS4tkV82T8x7SqvpE+ezXowg34bdH56ZU6+FeaOZIBUDziYa8BCISlT1hWp
2A5Hd73Z6oNf3uS5Lm46ICjngHNFtkpxVj1Kon+OtiZ9cgkRij7pmPTYORLNXDV+FZwLyKpn4kQe
yTxdDgjKp53HKPPGRY2spJvyPMVWtLUCPv4SoVvXRqsjeihYcOOiCKBtMW2IxUKmnOZNcd+n2fTs
eSUpGkgsmLMupIOyd7Q3JM0kHxpMo3OoVzBcrXgwt0HiGXee0yRnZ3IJftLtgSGzLqYLGY/mhd+0
D2VBHscKXqdHyOtgmSH15XIvuh5VgTF9zknHIxJ2yNs9iIH0oklFlqtwv/ZTSh4lxj6e4UORZ+WV
Pw4JI7JkOUqiic1VAs5lXQy+F2YCaSS5zVp6Q8BstteK+HrMs2xL+AfWm8QhH5mO1V5HCnExJaK/
QFbL4meUjLK7cpzvoA/023wKSOZ0c/Pa5xS6n81GXHqNPl7YrZj3CLGs58y2qmMWGN0dazzZvWWu
5XjP604Fb5v+AR9gf7kYjb5tDE9bi6gQtxwkrbtutruPoGCL77PZ6vfm0Kdr8mcFk0ZHu7IwXMaO
3j1xr+o5bCYR3HCmLJ8smRLgTsDhWnSmvhlFvuxQeGsbzZLT12Zs22ujq6uLjGyhkFqVg2vGixMz
YQ+CL8qXIJl3GvhUtMUSTIyLJAcMI5JbwUSdxnnQdJsZ1jcTlWrY+rACVvRonwdz8E9CSUPpTtdX
tkQs0QsCdzV0g8DwYkgJBj3czQBx9aIGEbkv4trf6zQ3v2Uizm50YmR4p+LlOneyul5lTqR98Svl
UY3iFt1OM8JbWCG56k8idT3WLzIl0xwJNBaxbM3U13lKjVL/IOEvXLhBrm8Su+0vU692Jjp9zXCL
SHj5iJAfRpRW1NMJ6WR8j6zTufYbeyX9Ot4NgyduUr3tzqYalueO1VHvDuCoeCeFt3KqpkeR3E3O
2m2ht6zaUWgjAyw3OlhZFh2AQsqDM2c47PzGgKGGFIxsA1dG5SPLSH0ziwIPQNzom4Fw1E2q1fol
8TZiVAYLOMO4YjcymZvrMi7ja5nYJr5F1/pUpEVAXazJ6UMbJZwEJr+f71w3t+KQmhrEemYke4dc
lmO/DEJxtDikhAO2/GGLx16/pilqAEckIba80tASPXqGaGjWuVWEgaRpADeIlPTCpay+FpRE/qp3
y+nSWjwCEdPcYfqekYXxiBiK1nKGbjAKC43AESs1Mk5zGd2O7TQ1C5nGfj3dmoVufJBtJFAy1Kas
m23hYqWdLg0KrSnlwZERPJlbyfG3VDm0s+vHG6ZArX4H8sKc3YfYK+vuTJZdP+wr1DqpOC612WoL
OIysnOq1PZj5eCezKfa/4O+JEkErtdBH56EcshGCkV87GmyAvu+yr8ARaiOnl2lIycbF5va/OuB3
dYBhKMvgf64DkOMCbH4Wr+qAH3/p7zrAN/9i+eW8gaIQhJbjsjH/XQcE+l82YJDg5xLhn5G1/xdA
Y0gsLs41tFw/FwKG0qYSs6BGmBTPlA9vRtS/Glm/xYMz4TIsy8boijrVBmz8pjZuJg13f9EaJ4HL
oWvCIS7TaS8dFjucVgKOZJXMhHZmuaGNtHsIdcDZltQ4NoLaefbSQZgGtnOQ5xMwUnchT4WcEDs7
xWajFSSYCmrsRrRAY3660/8yA1ef7KfTi8nZkHm0gtZxgHA4Prw+zvltPxbwCeUJx9d0NhKhhQ4t
iot58HRU5zNd4V9fkEPpu0sS7aLOq8z3XZ7mmyJKSwsSxvsqPrlucFF1HtHFxcAMbAdwmDVvlTda
szekjpkZ4jX6ut4ePHsfuBxAtk5M2Osh8oDlrJaBQJqVcCNmCGZHVeGLFOBEJXqancrMUZhGt+zs
SFQnMhIJymGewSzLyCPprhrZlEvoEAKHgWEU3GvNHaZzsTAyM43Fee5EXbWrrFGKzoBWfLyRXqQa
bk5EqUAOOx15lydCY6lr+34LunK+nF1wNdKweAlGi2OntGgDzEDESenpiBuXPj380EOuE29wdo3x
hoHGdKMndgHNIonNewPv0rJCiMd3I+q0+agl83QTo7vhEGOm/rQBKlh/NIeRbE63MpvkekpKPlFA
BXjgwI/+R6JmhFzbaCYeoiwxWuhsKBOuYBp72tb1Zrd+MnGKJMdOtrx/cVss7MPETJ4XKXCDWIU5
faip/bRPltlx59KW7CoIB9VUHWQNCygcSEZbiEPF7knfbOC/1n3OpzOzgUnjtDQ4DDUUmYly5jFN
q4hDR+VKiZiqyDHnOeMo99jP9PuGXvLXMTzRTGyIbIAiyz+ttw03KZ1tnoJrI3l5SkDg1Ht70cty
w320+tBJLW5LqhX08CcHK+zdvFQ81sF0TOMERbJIjognzXtP3ZyAEFueHxmwp6DRmCukRad5IUmu
42USk8et+TpECYZD017Zv308falBXIWc+REiEONTStcbvXU1mMUGcAvVotMYClwwzfdYorsrTqH0
JcuMVHKMFD3klaxzLuc5dh+1wTOuxqEuboiaj59NBgN7Bsi2H6am8J5FnA8fakvPJtyIvLLJiJ16
GIfOD5NM9bPKgpj6ozm5DmZR9K+PGiDp7tZMF81dOxw+ltUgPW7vmJauvNapQMASOrFGlVb2jWUQ
VW37yWKxR9ua+YVpJc8utWgWfJ+zua8/8scy+w6neDqnpU573wXlF1Yx70iLOYcyrQqMeyBUPB4E
mo2LanPk2eL4LBghelX9kTvDj8vLCLPf5XU1RttW1+r2qY2c6YwenR8C8lhucGrWprvLMbmcHFAr
NVVQS697yJjXZZE53VAmNvueLOnpwhI9tx7pJldhQJQtBG60jMXgiHFfMA6g8usdem0iyU15n6Ml
1B613luai86UmryZUSxCX6E1Nz4sVOfBQ2rrZX6OhgxnMzyJhkGgZR2WQQ27l7nkXtJP5V5O+sh4
PAhibgRaFLmPCh+ol82qQl5542H7eXmR80njwVVAOOTaHdSPopO4mlA34+dlMa/M+7TXQDShz0jc
p6nwe5NyC+cZTkEjr7541mhcJa5PE8kvSq6p5XE27b0oltknaUjcwisH8fdXK/K7/INkhUBCOkWL
I6+rUgjOHVOsRcHGK2JNbswc/OpK53U6to3HM+8KaVxl3WJNH/w+avJvjidMXA723MTRptQH07wu
2X+WBssRht9DJEy/BHFQubp+SEyL/jh5Xcy2NdDvMJ8WDnjoVa8EFpMnZ+gjRpgc3cgQGEOjrPoH
qF3aBot9gs67bkOrj5MDMssIIBeBw6syBc5qWMbsYLIonT1TD1ch17NGSxkh02bd2jS/BXLXeo4E
i0x1qGtff2yd2gytUv+kMeZYdQKdaz4LTBTJOPl7gr7jz0Ubed/UORUmjxTXBNte9KNs5g0axumW
lNj4k2MNYlOySa1p/1hnxDfik2En5dYUOqMWbymdld558iaI5zz06hwVhUmC+mVax8WDmbXeKuAQ
sF20jvb3MMGyl/hnEZ/U10OxlBcO3f0NLoLilmW9/pQFfXI32MXN6OlTtpMNsdPNTDqwTv9pN6RV
ehe3bvFAUEgbb2UnIISwga2LvFmOhRbkW4Bz6WogdU25UJlcpINV3bPp1E/CKetknS2t2PqpXn1I
XFfdWtKBV6TJ9iJ0vX66qt3JWsVMIdYxKdzfU+nJdQGMYW+qHJkRO/WVE7ceWnXdEeSbz5QD61aa
A8PIstr5RTMrtYtVHbyEmjx2jNssquodqv1+Tdpx/YSbksnLZA7uQaATGTZz6fVXTWdHd0GduDut
XfKto0EIJrZw8eGPuu6VlnTNiQV73gPeng+jpiTyXT5u5lbKsMP7Hjb9nGGWbd37IR2Wr7peZKfA
D5aTFDIo/kyaRUnkAzsA1wxC0KSP9KYkmsvY7gLZ2Ue6I+xhHubWlMWfziBuc+Y2DB74W6FWDkpb
zNRs2v+6RHrT0+cDEOHC/14a7BaN79c1WVOVlp+hpT5OXc0sgxN/qI8Wu6Dq2qzB4FSniGXmN1d9
o9Z6uarCmwKCpHNCwNDrq9ro/71kdIJjg4HxI3w0Vqa6Mylyfv3t3sh5Xq4DToQ4KMpNJb98fZ0h
qdy+DeLoaDOkZlHXJZuG8sA7U8SK9ecXo0cItoQKnS7Dm1tpsIhoMVXo0S8YGVfKq/wiVNTSPtj8
+lLvK2kGFBiPOAzogIHfKvqaOPBqbVKB4+5sXL00Ohzo34zhuurUKjz1H18P2xZuKQM/HuDIN+o6
w69YN4rSOS5TEj3+2AMFzoE0dISSNLQpCcq/uZ3v3xFEMA5fUweZbjr6m2tWwm70qQBh0fepik3G
xToZ4+9y4v71KlgGA4LJHFChbx5aEZmjiNLWPcb4pPdzijPZwwv0X3wXDpQ+2ZKMNd7NbdzOMhvO
/e7xRYHppqgncJv/F0/JIT9LRy3LsgL79PXbnquGRA0b6mhGeOchL/NMhhnqKC0yRBRdPQ3Lb450
75cP1nSWEL4WyTdc9vUlBd3neSxc+6hVkftk4DNHmjRQivQkNWwE9n5z5bYLi9evX8j3P2wAyUhn
Db4tpOS3X5XcvVRfascEtcmPK6pYpjoX4SzuCv83iR//8hV5OZA4U4MDBn+7Vnlg9LhUaWIGV/bj
0qhOS4s6qLDV8Fed4Cb11vz591P+U3JxHEZ9lvn6vg4gKqwEq8mxcJGzihLFYKH7yY6Dzm9/aC/T
tNfnclyTeENt+2WG8e6XpiRHOj9nlEot/vHMKB3Sdjy9ONPyl1cV9E6EAzNl8jRS16F7mduroQHX
tmUYaXO4qBDrABT5ynDAoupcBNo3P3fr38XEvV/3YMhYntJNo2Q23krOReqMKYwy3vCS8W2YRhAH
skljuyLhj1ctCyjrf/0kjPcrhIr4o65kJIkQ/a0kNC7ol0RsMUfN16h1mYdwfugAuH31pcGOldSR
et+z1Lhq+qL5iOt+MehBBtO5aU3MOU3cL82WKglbOjCZ5I/XZgbjOCjQq1uski/zzJ8kq3pD03vw
+dWXi0/RrTvZJyNGqEbKq0ix8eu/a+O8++25jID5NdDK4RXFB/v63WzSVhX983Ic7Mh+bgH2ZKu5
Ebymk9L9/vr2/9vF6Bvh+yY5lO3gzcVQMgYEkwWY7GJkZUxKggu99TnlOBj9fpfp+O5R8818FfCj
g8JmOXvzq2MaYtRtpM9HN3I4WGKM5s3ih8gp8dffylTSjVc/OWTxmCbYEfhyOODVJ/npoRVWkk5u
7Y1s4DJpb3TOcH2o+W1HfhExMO2pzgY6IXYMsyQZE0QvRe1Zkpmy2garZjonaU6fQBs5LKG1gaOz
eMi3dM2llUXXy9rqpPxyPG9yDscjyo2bTsBVLP90IX7JwEQ/zr6GCeRtJZIK0K9e2bZHc0G+NSKY
OAHuSXexPv9x0cOleAdsJAG09N6JMyC+md0wQTOR2IoghDBiWREdF2wImK1Otph+2z9Uu9dPT8lm
W8MyoagFvoER6e1TEktpGY107KPbTPY31zWHo7Sj4PGlIeJ6LV2dZimchwqr7282APPtK4KxXKVf
u/jllRyBPeD1K2IX6PuQmWZHA8BtucCk9F0Sz2aQeIwhSa/xP8Muy+31ULVGexXEKBGFJWNsfN2M
kNE0s/ms9yVdxCVX/ZpGeqqu7yV/foGCyNJtM+CWRnrjdbMm+JfG1NkHyHFRaeW+Vd06WYvETr1e
TIypHuZOGvVxkHONF9NtpxtnnGiNtRHaqVNO4wj5YjPEKqQBBdalo2u5XOtGXt6OdBuupNuBGbBT
94YEZW3ZVZ5ghjR0YGd1DxrqBW1pXYQtUzWc8basL7rcBhrrFQTRrStySDhAL+lx9FMjhPHj9BC4
jKRhVtc3qYO3GroaBGJclspdVRDqvUA5Mwrj6yj9nKa4BvIrDHAV0wxlQp3cDPPEnz2tQcrtVrQo
UcwGZBGR7sqhBJ8s/3VpvL+LzyGP6LwEhaprmprfWiIKBw46xvMxzI1YWVxmySD2EPvadK6npUxu
EOkW1UUeN0N326J9xS5Ze/y6K6Os83O16OwXsu+MZosaajrnOpaj2HWr/IwGr/06IQFb6PBmzvLN
ckVvX8rGUK2oseAxQ7PiL/LVnWcHKiPhrBickCmZmX0xKI4pHQ1ws+SLd/m0dWuQa2v6IHSuuiWh
Ee6Xs2tt0O7zL/aowBFEj5Y4NFPWa3dTlXLpJl/YtQId1VyzSgqrNa/FODjd2Ui1pF3nvC7JDcdF
oFzG7EEXRT1vH4ZBtl6+7rtBC5daQMVyTZZwZ4l5gwRmV0wP3oiV3h4iYzwkcKwi9lUDNWklC3pa
ft23y24qOEKuTJJ+5DXit0neG8KRxc5PHV4wcmFc80pLJXvDSx1Az563D0YXrYbERY1zhDcJtQ+h
woREYpmr6XvQLdENBD5cHS8tOKfo+TBWMhn3dmY6z2mUJNGm7Vv8WT9+Vq5SrOsKpDN64O6f8c3S
ekMJZNwbk5GghmJXbEKzQ1cYStfhLWp8BRxKCof7araqZ25lbf8Zk9I4bCd8ATc/RjOGbz9HjqUK
idimtvMrD5OFkalOLF5rhJJEgu4nQ6cD/7L9eW5PkzGhd+VdOB7ziFWup1O2BdOptydktvxMy1pj
0lDMNjfWJmvB2iL7iNPbVjR8EEOnd7KtC7M9C4b906d+8iwN7q/n5PkZXcbUXzpTYdy7WSbssIe0
P3/zNSYZG3xjpn07GzVd4GSmNrb4/Y1eyX7MGCCpVgndAt4Vm2kOrgi7s7wPFOY5GgpHdhBMV0U6
1OAlogjNYqim5NmxkC3d+rmgKQnqSiw+HQHE3sdS1ydabXTIO58G2dIzQv2fXur/K2+EStGkuvnP
c9LHb7KsRPfzmPTvv/P3mNQz/rLBtFIJogRkvqlgPH+PST3rL+DQRIbQ3XERLKoJ6j9jUkJKOGej
dvKoHynlqff+0UuZf1HYs8MzrMOLy6nyT8akb0s5TtkGJi4+IRdhTPqmwPINCCUp4RZ7n6IKggoK
5yxmcf7pnvzLRPNtgYBblEKY9hIh0RQdb7sHUT80poUcfd9nBD2SKcbxyZ+A4wsqlZuSlefAjI8t
sGIg9/HX11bP61V1oi6OUo1OELeNI/ibr4gHtoCK4gf72A6oUD0JEHmYDK7r6EBcDTCScVDWwaoV
qbVulzn9NhH/h8tKuhYZBWpEw7Fl1w1+EVoMQo99TupF62cMZrMCjm03S8h2cbxc9q0XnUtYFev/
4ktQ0AV0YHSqyLeoJV0i8Cy7Jdg3C7zMya6WbakRX5164/zQWMQ3REbOoFUrAdMZOq27McBL5lTx
zOfjkHXjCg6mlUqU0AecDoGi4Q1+DuUwgIZHKJtxX6Z9t52BkqEvV+y5X3+HN0cUBsu0+ygVyVWk
m+q+PQ+1ttX3bHsBcbNscjQL4FRSIe286ncC7DfH3x9XIhGNPosDcfhts9ZhtlnW8BaIMICZiuiL
h+f6zVF2ADIBZ/7u8PXmR/RyPeW0t1UH9X1Comm0QpRawfXilAwd02TM2CNi/eP7x5CeCZuCT9MH
f3PEC5A10jHV/L2kq7Oj1fi9toJ0n7f+/a8v9CJO/rme50kxitVZmNS68G5RyGKOMSPvIEMIIB6L
BzQzCXhn5pkHN5cW4i0jcYFyVF1+Rs/rXxA2ka8xt0XnpBfLiRFOc0seHduyO8DzqY2UAmswQGvF
qoleFfAEU97NB2pgMYMO04E7xtnIPOsFDDrVirDhm+m+pXz+MLpL+pt+xY9z0KtvCbVM9QLAaCsj
q6MaWj+dLSNqFSaZciK93DJWpYJleAqboSmABrFrdORgakyFBK6hMBu8vNkeGEkPR1hBOBSOo34h
c3QwOhoGEx8MM0+vnGC2P3nU+B8cmB7SGM07IyibYiXHwqDqiYp7U8+DLWoAUmcVGiSJhbkW6A92
ebw1siH+xHKW712FFIl709kziapO7C7JvgTnsrFiN91rIpjB1wImSUzb2LVW5d9LhS2hdi/XAjEg
0uo4+pKw8YR4M+ID7Jjhui4M6CeDAqGUComCgJxkvMEk2MCu+9DtXdgpnRFX+1xW+WMHWYW4C6al
CrbiBPX8dZ7nlnEoKBZsb9bOiewMSYabmCE8UnetKXyLk1j6PXVp+cGLk/w7aliOGbkewHwJZEI5
PlY6rhSRTE+eL8i3UaAY5QU9YBybLpYmcK9dBZRBWyug/5TpeA1sqfksMgQc9HI2moLRJFBpNIWn
YZyu4TtJ443myWNZunxq12go74PDNGjiCq0cR72JjBNgtUBwNE/s9Dq7UPdzXRVZHdLy0FbI1oHL
AHRyEqZ19pToB6hl5YWtYDvaC3cHreJyZfQk1KxmpTXU2V/CTMF6zCrwD/1iW88yctsbADetOHR6
H4SN11r3ub0VCv1DPgMexsaynisFBiKzRFtb9YRikowm+SDmtg+rfBp5NFO2ahVgaIQ0lCTWrRkB
+mJtGw4deVOrGYmTrxSpXy3JM5euUWOBZhqKhzXUFNIIEy2OKIU5gq5Mya3rx9pUM+jYtukCTvGd
yOJLmKKfEgVMSjrQSZGCKGXS/TB3+bPJFHs9AmFmOogqpCP9bmtJaVx4Uz8ehUIzVcOCQlYn7aln
TLyCNhqtvACYk6+wTkYpstDOqumkKehT3k7ARxUISlNIqFrBoRJ4OiEQNohRMGSh+7AZeWu2oXzL
LNuFLgWRe90r5JRsW+3kLFV1gclEJ/LBmdGstPptn7aETIkXdpVuZvX18kK0MloDuNVs2IdETMXe
UOgrr+Ln4mogr/DcNoyP+4054pFn1MbBp0si9AWZ+CIHO37KIqP/qjoYT9Ygx2Pp+8MhHwIoQXFt
X0hUFFgG8ygkeGA49Aa/L23OweUSIhxbTJHRAxxEGiB6WBsYrRnpx+Vq0pbpwR50sbV0MzlgEQa2
WpBggd4jWgVWn+4MtxEX6aTaanrZKfkqURUILuo1J6LmGNSwSd2qn3eaCx7/heobZaQg4UYdqyt9
jos1Ae4DMhrAwVJhfV9SOdOYneMlZ8LUe4LXBojPfGN59NDJQHSb87WZYFhayOb5sASjfU3PWr+a
waj1a4yUoJ518g6/GYqtHRS6yhrN5JfEw13pVqlHxkMnLoTjGfearhLWqjq5hjVNdaKwxpWKoXDj
IOPTFRM22p7MYZSjbn4uYhu+vgrjyHVaGCnD+xvNgTRf5JDCAe0DK1YY+apriWNKnfbroiX6vsiQ
9GSSL4mfe7l0i4osMbgIe0Kc6ysrIbbHU4jweWS0G8IJQAtbCQj9EvIyGSXJdaDSyBxaRZsXDjW2
hxjbZx0BrLUXlcMTFO0HugwA8CRiFFgxgY7cuOMraS5uak5uC36WPHM2VpA414aKrlroc+wY1BJg
gVwnDDwC26hVIEZHbrCijpSQBHhfDVK5vlMDD48pFP6NhXLsmM0FAS7UNubO0MtmR1oDVjVJUsfM
BZK1VrDzLphw+dhz4nwikolAF6DU3Zk8IP6Uxz1IebNZk/5qPNETP7XoTnbe0FTEwimsDvWidXIm
Hfwri4Ihe+tqAM2wrZNmOpSAawkLzpJtZUWJUu7dG5FGJ60jadvJR2fjpfqNjEQwrPIEk7kkICnZ
cfu9/Iu0/Sa54JzaDLzNTkejQvQz4nvMhNIyYbEFoCNqVtYZTp3APJdcTT8smi81zP+Evb8V9tLm
+ance0edvUyF+NZW3WuHj/Hyt/5R9hKD6atkEfS7irrzU0Jm4L1gpXTXfxHvvjqyBn+RH0k5ZaMh
YNbocQj858jKQZf8DFIZOfr9MAb9ibKXvMjXRzqdc5yvU7ZxECbjllL1delm4WcDXSj0k9C1Cogn
nDdYmPD7o33aGVO9yW0LkPFsDbXcTho6hI1bd9a3aSqwwJQUXggj5/YSpDNnQn4PmKunpbDtRyNg
HLAeW+Nz7JvxQznBmE9j1/kwEBdwSchXd7MQxhsBu8wcAiGxxl/GI/8Rj80U1DstS/K97DJxwpSy
AERwbguOHZ+1kcSnE/LJiUw21+wuhoxIsAcrj3rvol2ahZQJOG49pt7S6r9mL2pjs50Qc1b6iiSX
7TJzbl3ydl5bUreQy1v9R9z/I+LInuzIy9xKoabj/fbqbc6zvSMjrnRDy4RQsamLKH0wsCesYgSb
SyjTDD2Q7bKOEvzd3Ll2bx5ar0t25pR9LRgkbVIvVdmXTQrjFB3aLjPT+xkg942bIbnd83+xLqmI
o5KoP7Di1MCdXEGysDadoT1PuY3rQ6cuIsHBo7NJHNmm4fCEvd5PBtw6XuNsYC+2Z0MvnMshQEBp
dL1nHPogaBhTL0H0uJS+d1d7TnQvuxnfDfwgS1tnbe0UAONtWongHbOnAeI1VhnTC3P8Z9yDelg1
/SSOblAVp67GkyT6EoQeZ4kIMfMMxLTru9gPtbhOWM/c5dyI2E71XRQjJ8zhkiIVRN5gdiNb3LiI
NWqHIQntqMm2/hxFe7sqzad6sciAWDA23AeFV2AYi0cv3dua7hePKXYu8RADHfb0TU9TeNI2I7lq
bbtDzDfr7QGwvQD0SkmbGs9xC5abJ1cYK8cpgk3Z2qHZ1PbV4kQjm2REQwKKB0a25ewnkbsJ0CeH
eV6NWZiqLcDGaREmLsUJTXKIlcWiWemqdUyi75ZooFjy65XQvPscF0zpmIe4l5fO7GerZVxWXlpd
2c3ShMTx7MhGYOPMxVYwSnnQtOR2wu28klxmGy8TjaJh/mjo47JF8wbdc5jvkH+1h4asmA3ZUdlF
U2r6oXbsfNtFjXkMiKZe5cxfNq0GhKG0p/Roo33Yjn5FqlcxLwedIpkHVJgPwWzSGPLJ1DNib5Ul
nQbFIBu2lfC67kg8b3ZgjPBZ0v4+ytSOTw1SOliVpb4h3WuH3jNsOcts7aXm/mgE9pUaUMtGCzRO
olkSxknyzVmaJ29CJhwgl4P6ppM4YEtCzgDtUdv0c0wdMwkgTTM1XrbcdanG0aBKaV+ZThTaMjNu
+PTZKXNmTaKU7eoDjoT+Gwz7ee0nFjeHH9u+qQd4Q3R0RbwQP9s0gA6cu8YqzrmfXixGxCCl10kN
Xe5Tt9tVehscvXg8twFQ/KU0174O05S8Mxm7SejDTG6bZufP02VG8CAZNpB3ZV10myFaAK9G9qML
yWI1irJdG2XxrbAJoTDF6IJgSvq7VBOXOJyMMOioI4gnYhFM/Uu7ho+CNQfpIz6bFY1J+1Yn0nFT
TlKg5h1G3q2aEHueh7ujUd+C2A36vS+LL4tHGDZTqeDoslweqZMYt0RWdpUEXQZwnnhufhXGbZw0
t0PG0c3nSy2VuJp8O3su1GqW9xGAYj+juq9r0z6nZuMeq7pLQh4YPfipDuBaJE+61tJ/N6fvSVca
+9jjqNSmHK0J15lDB6XtEbu1tWlZ1m87aySnY3GDQ55558iVt+i29S3LhH+qMm30wjZ3uw+sK/3a
HLxoWNVWl11lZj+EFPXdTudBbXWcY0gwneRsTVNwKScdOT7EWDsrPxIOY4ZoSCF0lFvRYL+bstpb
Uf2dW1ewusAcACyYbalrLT5eZT8ndkogUcLu0HDOyI1gl2bdfQGzZmuWS3Q35uNlTQcinIwue8CH
8eAQs7QqtOG5XYInN4ZuTcoo73Ffk/aKtQ5P/bYdJTjgbBeYWcRdbOwr04ib3ejLLwIT6saRC8bL
zryvIy/nBc5RvpVJMZycZtQxSFrnPqgvijZ5xBZJvg2xV3plzytW2g2IpU92MKIVtp0wV2tprfk3
fmvtWlyk54lHh3FsiMkPhGn9KY9i46lwfJd6z+Onptmcu73hEozFZmjyI+PcbusMjXmSBGqumqFO
0XkHVRLmc+HvoIYsh6Tq9l2dHYc0ynfkMKRhHGiKX40Dt8opr6MAuANsCY7Mdm9/sTWeF3Epmn81
00m6TUoVFeLJ5pIsQi2cx6HakOOafK4n1w5Hs7+Y0oY9YSweDHvYC9Ikg2FhY80CsE6yuxsQ7sAJ
KL8Mk9hDen/KvLzYDHwflO5VHtqOl56GmVAkEA9bm0QwM4wdZ7maCG4h5Slq6nXP2PDkpE68nTVr
XrV9bH2Mqr4+MyjIxf+xd2a7kRtpFn6VfgEaDO68JXNPZWopSSXVDSGpqrgzyODOp5+PZVe3baCn
28DcDOAbw4CtJVPJiH855zuBhpq43noQlcOhNKu7WBvgZ0hFmE/HvVaTanyYpZ1tgMXXu6qv+xuD
1B1sCQbbtl4nlM/UnhJtXK9norwkjYXm2dcRAuUz45DqVo/rYdpYc8FcJJiXrH+oMs07+m2+nKbB
fLImvX7X1KDFh6ikt9zZ7mhi0mVAxBTOkuQicc8a26HzP0ptuBOJC9HEGruH1q7u8E9qbDy1+3JO
+lsgk59bZapdPznyBBv7s9daxeOU5idDw62B0mbYGKR1feF4tQ4jbJO3bBFqi3FHHc1JM7aZHJK9
Q9BH4Hl1juXW4sW2w6sfx+220j3tEmOveQZIBiV9aL3vTk9Qa4/uPGDaVLxJz50/uaOG86H3Xs3c
rkPSm91nAknSjRY5egiQK3skukjHAIDax3cLuDImmLbJWh8i/mBZQPAmsSkItnmu+fViWpltmX2t
Vf4+65r74PvV8Nlsh62OdPwKwswGU8OV7Wa1gG6SKithi6usoNZVcQZNIomS6S1qhCq+CKM4MC3I
MXO6xG70vnxAzd8QaOYl/T0pt95hcZ3ms8acX3bz9DjAMNsJP/XT0KdbvSHj+WuTex+czgVsPcff
sHTsn9JMnJ3K9Pe1D5/JxpW0BVfFBcE2eNMZJPAktoFeQJOZgTXAxD5i2M1NJtolKLp2vikthuWj
FBP5lc1HEZci7KciJd2xHsQnDsgWh1NvFl7gdGNS7K0qxghQWjmXV6tVrw1S13PszPaOVUv6rI/K
ZDbpFd4KoZnNT2ViincUAM67lVaYvZcu9oOIcYuGzmuLUCPfGfS2mHNYT8CxO7n9ohGjA4HGNG4j
GhWT57ZStNEJ2vKSygMAWDrESVhGAiHNWSHqh4s8xJ98jUJUXCi0Qgjoz8pfjiBhvqK7dPYNWSqb
EoHntmfmhZtCGsEy2X7AJbnnr3ayM6sLfFavmwK4ODla/Zehs7rQWOoeu3pkbmxGDIGKGu6/XJLk
XhGEE9W4/j1RHEyU8UGiMog9+riNlHnNkszE1+KofVE73jlNSnxvHQLJ3PXxRSW7YmjUg0oGa6+L
9x7f9q5DwL/NyugJmQSxE42xiTTLhDxX15vWVkzHsuiknLnauk1xWCo+dyVGdgzdhgilVtVwSocN
hpiG44TYHNYXQ9A28E6WPPky+t2NQ4G/0z3eYlLjnoBSyi34X6wsaXkeHUhbmfBwfU2UhpixiLmM
3Zo7sZBHKa0HHzfEnoTPj6Lqn7CBEB/uLPddSZ9idDbZNBj3QlV3m9qak8CsbXXB/TwQdqQZz6hE
W7AKZfk0dS0bfyPjqps1hpEkawQms+csQQEcGBkzPuQ8T4D6sPBgLApTwiC+5kpsxOQu8Mj4lE+F
E8y6RSz75EVPrihuQIRZV2VBLeyb6jvFL3OcpN2KbJFhouUGf9IBb16b7JaiL5+UlaWbwgLbD5nS
31oWxY7ReDaj1ay4MJgzghnG6I6lXHN1vOhdb1W88fMJls2YT/fNjHfPbx0RzoVL1SMADjFWvlbT
3F8NXYalbMZwadW65Nfnq5H5J014OgwtaYbuMOBl8N3xBpnyV0m/QQbwq+Etb3HtQHho+xva3Jk3
I8cKshwjLx+22Kj2RfJd85o+EE6r34g2qw8sT++a1CRmOeF4TBovxNWv7+qa9hb3l7k3u4EBtS2Q
V2RnD3E+dYIOntB7Iv3HXJn4b5Pbf0R9/C5lzudHmvd9d3Fl9MSAtwtop+Ivmkb8YE+uFQFLSxib
7s3iey9eDeDN9+U+53IMCBUnWp7YKrjuurixLFD6I9WZ1mZ62PULob+Y2HW4bHKkPNPuSLwdvCAv
p4UrIYt4udwEDS6OOtnNrKWPDJWcL7NKvpk5sCEzGucgMY1WBaMFppGcsfK1IDlEblNAAleuLOz7
kzQLCjwJ0M9IVHU/dkZ3GLSpWfmJ+T5LtViFuNv1hFk7O2djFPjKUOvQ5NTN09h7BcqcZDhSVecw
SZNqb/kVI7J5ic+gLJ2dYjA2qwULsPRvfa/P7qpUE9/ttO3PS5I6p9r01MEo5vzUEw29s0dLPVoV
sC5PGW/08Nklrywa/Fi/hWA1hEMr4xsTiUnYY7m+oHEiwXmZpr0pIZRmA93S4FrarkOGt1Epkz6z
wqRUmdYmxugGvRKBadp28YbZhoYeU7+Fi4Ufts7MrZEU0a2Dr/XgFvM7eel+UBouLtOCd4yi9lL1
RXVQ2Xy01YDPbhyu+MUoK9oE52Tuf4F5lZKQ4GJULMGhwPKpKIPUsoHAQcHtQ8fj2YmdiXKPrn9n
GWRadpMB1gzRTULO+5G68eiu64CiKIFQMENirVgQm1Ha1baAR5qBjKKZ8h5IS7H2tMJMXMwpex1y
ttUENur5hauaW2ikW7gS5nKu2soL6jwjjjNy7aDPQVeg0QqkMBqQlO06bi5YIuYWmzdVZwHWN/3c
5U13aqX5vVn6y4xtJ1h7C2NJr4LTfTuRO3mXKf6MMicW0c9ZRRbFyEZFEwFj7m6TY0A+j1Z2lxq4
8XJZXmLHfZae3+6pr8mmYcnC5mbaVULfxyPzjqJjJVPbybzmQPOtcBri1Ou+LbLG+tZdZgRngZoj
JFkmJtaGPsswq5AdfxWMXcLLI2XOMdsQMyynsq1Hh0QWGJjz2qZomU8jT2pIRAT2p77jjLSFIsV+
eB/c7J1w3aNnNXcTVuFjCqJhQwt55oh+rqOh2ln9tKXV4pOMLC3shhZuGwvb6yJ6Y+9NI2OUhUsX
kRI2Y/EA2ZFohH67DE4eNg0oTBqdpfrckAdFmso4ejsDURRn54MxxzOvaOi2uTPSeXkjqC3awU7T
g2VhT8JEYCOidDwlBBeRblG9V53077NY4w/p2ftmbIgYmczlCQvAnbv4HUknwiA4Ut91re0GllKZ
E1IoaySRuHNAg5M9lqB+PNFc28U4557zZgoDGdcb8Qf7vvO+qwF8oe6lMBrFAjOm9DdNVoUiq7MN
RLLvdadyCBn5l4TMl22zatVWPGZusKAio4lZyZL58aaqmAUkYqFsAbOZyexOJRzQYdsrZ8KXarm3
pO4ZJ42avsYHWmBQH2jKh2ZW/E/c5Di0CeHW62ZbsRZTm6Rzg7FxznUpzoBhQyebEBtOedHvmOJg
GSl6O8gX4Tbc0HPTQ5xd1N4C4uiDA7HUMS0aFHucal2A2FXZJaVxg6QHuIfTPWrQ+dpd6WFP3Ckt
H1VoogmVZ4ceYeb4MHrgr5YvGiJceY/sqGbmQFanftOjfXhv88nNO1itfsvE4leF0P/1vP7/U/4b
j9h/mMQDUkRF/HvtmPHrF/1rEA/T0IcCsOI10NP85GvYv4DRgqGxMjL+KRn7kROHkIz5BR4+PtP/
nL+bDvQtDAiuI4SOBAuM/l+Yv9vmqoz4nXICnbdrrI4bqnFMfNAd/zh+V8IBVN3E2PjBwjQBOE+H
RBkLhzgPoGMNr2w5XVz3tnxI67m6rhPzoPFwr4eV32dbwQbpU9bl7JmVMeW3iddBg3I0bMW+q/aT
n5on4LSIMoa0bja2h5kkkASucwlASwD9TTDUUIzyRo9ZFbA3L25ATOZ3LuChfan7yT5yI3dPOgq1
e1wSYtMS8rxf0kQdWQ046LTWo5bABA0LNGJtomc94+xOcvySk0qfbyY83uHKr4E7vFYOlYweZGOB
tEy1cTr2+nueL/KNsYAHcYzsoYDxakcBiQx6ZBVAGNLk3I7RBBpHOKxK0SpI/bgyPRFWGNrHKFXz
3a1T/9bMKu8IUV19iycjasIE7dJdmtQ9QGdTPVitNZ6y3EUvMefZXIZmZnzLdLbfmY3pnmmjSR8F
y+Aa61V8butF+6gciIYBrFY0v0tTHee0eRn8qSGyfPX3J97wlNRd98n3u4kWQ1vU+wpOeOFUyH0m
wNScDgjSnlGWj2fHq3BVoY0PDD1Vx8T2c5fKXai3BlF4HxrW+NkxHG6VvireAYF1B9RC3U5Yafqx
6H1xk+rqVlti+5Srrj6paFnOdVQMIZvidudOXmsgXkjpFnSivBR/zzh/oetloMa71PPdSq3dGa1Z
nGfhRhDjS4cXigIkACHS34jU1g6ZrSd7wKbFI5bI5HPepUlOz1iblPCTlNvSsTPBIABDDDMzM8cp
z2ePkTUor97yl5YMYN0EYy9AmiTL6i+OGdKHY1slm2Ix2fWCkRi/pwwIKR2n1TVUFSiv6yyBPQUA
IrBoB25iJZeNvcywdJVXXmow8jcGK6g5zMuRuRRzNe4pW9bxM1R6w4FKHVvvzTRaZHDirSfliE4I
xH15WOoFkTZFH3WYV4kr9nf/Po7mJBw9bVsnJY39PGwcZV+hTA0fpGTnR10xPhozhvabgbQxevVk
Oi8L017EzV315MssetFKJ9ZOTOabbOtXroAxprd9kOhj/zAsI0XQMOfitfOLiKKuavp70VfNFxbt
RkjOlXjLGfZQss7d/NBip/cO5K0jnVGeL6FIIBDyS3OySCwj7TboI2E+m4OenBugKu8U/HoVCLTP
ceiqpTjUceV9yRDKXnIbGQqKxNx/XJhSMrtj2bTmNLMT39RxK3deUpVvqNf9J0b/75o+1hunViZ4
dmf+ZteKFVcrhKy2kRdVL1lMiREWKuNmZSamXjuXFi9gb1UfScfqNgy22LkhtPJvEmOiZ+3UPW41
3woAenVbbuEGmK+yth7WCmjFLjDgoW8ZGdXpxmICDk+8a065FO7J1lvAJSZJhbwPVraXfc+JxijE
DTUUG/uBLGv4ZJq9l6meTxvN7yKLVAelvxp5AsTd4jAdDB00nF+VKSv7ri6O8Ww2V4ZhWDh8aXYP
ykvR7kRumX2GJt7MVG1MujnMov4YxRNjZ08b6y+DO2NUt/BKHcAqE+ln63N7a7VK+5C2y7C/RWh2
NzezxuGyQGiWWuaDSLesYad5SfMFyPP4rSmS8XW2KnEx2xQ2eTe23ow4YVZR6Edmc5vMfpRvPKMu
GVCMEUwKjQQEodef4rytN17ujwx6VQooJW82TuWerHruQJFXxb2ftAUKpTQ6ZjnHphRWs5/08jGu
7H7fqhGPDKpiZhcKLALojbliaTE420aflq8LWIxyOyCU2UizJwlCJgPQG93LbicdMHt/tgo0eR2L
mrFOPy9aTH8zu1aV6y/enDPnZlBjiq57QZXaZrfRFBE6twIURQaWBOGjenDKQn9wBKBFjkWQiyt8
cYjHZ+rU6qFBd/rQizYyAj3NoudxBTeaPxiOlVtR0a5gR+8H47FdcY8eaR93Onj/O8BPza5dsZBd
mls4klim0GMzAmW/xrHNbRdO5Zxe+xUvSc8FadJcoZOZr/PrOrm2Ez+YlO2Kp4QMxdBJrNBKqDfw
H8m+vth2BdNSrXhLy1POMVuRl9RyHsaUFYRpLtp8S0RAX+47rZH4iebo6su6/sTGyT3GvPAPBvOA
s2dl7wFpERIfNcuX3MomkHGNhpBTFDPl4sxIhb0t6pmoByxicx71qVjORre4xyRNGIGM2V1T9JBK
EIHfRpLFLYdsTk7xEq1bC4OliowlyebWCg/v5R1SknS/vp+PSk7ihtRtdeC4cPdZo0h8y4eBhtYY
Wa37S/I16mD2pBPdWaCaCX4XhMX5NLOVujdyNe792fePg+jbZxXJ8m4Q9nDgeXJmlsJSMaBy2SO0
I6nT2F5mfcPyPqGbNf3mfjT1khVqZvohmByxTWz0Y1lTWLd0mtFlcf3p2HIx4j4xxiuh0h+6TP0P
0ZqGDOzWbl5SRnpf9DHKj61ELIZJUiN5euCo4eOXcElbhWmHJlrcXTpk+R2bkPFL7brjJu+E82rI
1Ls15oonL1kPTeAFRrpfxpGEBoUgWH6qZv8FVBG4mCHxkhosSNOLUEdak7BYGP3XVIvyT5gA2ubO
UW3aHkwX0FKwgCC0YSIBsbwxHOY5DI9FpTfwpJKUNGwCDsSNNJb5k2rizRq6OO/MxHF3te+4YQLb
JgozIiUX9PMZ+qSiLQ99pyUvdm3a6Zvh8IiHUImI3lPIemPG8ijXFucixDQN7DljEjn6Ex9ZQ7EV
GirYXW9NtLxS9k6fWdtWH9kwGc8+moBH0cT1Ce7TY1O587Y0m/LoNi3UxR6CuiunB6dYXjkAv1tp
8pZ1zqvbj/07eA4qCEuh02jt/tX1teyA6qq4a0SxHa1Su+GPg3+KFLBjhYvtu7nYQxV0dZPTxzKN
B+fSp2C85dzdm/aYzyGjfEZTtWIp8eg5vdqWi7HcJwv1Dvun0Sa48m8dU9Wl3fwfdEyrVOh/kzGB
EycE4aP7h/z+j1Ayqn1P/6Bo+vXrf3pwnF8IRMMYzaCQIQPTs3+2Uq77CyZZHl6szFgTfmidfvPg
mN4v0Bows6Mx+uFYwGbwm6CJ/4SdxMTMi9ca6obj/JWGau3Mft9PWczOsM3iYDWQxzjm+sp/r0Sf
RZWjzZn0Q87hWsbf8Y3fIk06Zp63qdgDlql+avWIXKX+ReRakJn/KRfa/7NDZ/0VcNEiUOA1YzP5
U0snbcepPcayB0mNd42sl5mFcDtAvS13cW4wL+EO2PhUapxY0aWuibZ1DavajsYrMM9wSTZVrcUX
fd3bSI8hZR7ULlb/hFBwywbwx3BFY2ET6PUH8hL+pyQAdse1/iXDX7D+60xdQ2jMU7vIfVq2Qatt
Z9tHadPxGMc595s+wEBaSDfq2Z+2pkmKQx/OZvU8e5B5+UwcJpBbJVJkKEJnMPBukGbLvdW1iAuY
G6ZsEUlJ8AKzM5Gi5DeW1t9Dbei3TLcDg4Ls3vFfhanh5nHfFsTGLP+Iz3TM0OLUKxs/0FG49JK6
hdEMuTMPkxY9Zs2oAN5TjnT1l9439H1a9Hdx654zUb0v5CHR34aNMxZ7Z1nHl12HwrOqPsqJvVOe
UVLN+vhRUefHgHhuqna0KWXqsHZaftiCKdW8jUsA9n8fLv/N4WKgb+UI+Peuvuu34e3rH86T377k
twNFCEDnOGNws2Ed+fXU+MlAX31NP118BnMX18RzxoPNMSNApf88QWz+k+1gQcE1RLInsJG/MJIR
xupy//1Ihip0/THoIbEaAoVcLVG/M7MknTUNlarNixu17vM8WvZxNoVGMbQU+mZOSBJjcipPxDo2
gvF4wwZ7YbGO3ZxYXKNtbpCw98YLjMr8KmlB6dUQCSBBqxvkYr2yZjo4a3jpcpJZuniGplyDOgn9
wQMGXncZk1knqcicGmfx0JutfK2GaLhdcIlPtCTVSHDIolwkipEadynL44OLa4G1QU5qlUtXsHcw
nMugTsB5h3GMc5ckKBPo4Dy7zi6ZvDE++JZY+g24QQLX+oJQE/Yr+dfG1ZrbNLaHkvlzOd1GkURe
jPuF117W5Zyv/MjcPcpZWQu1fT/Ve8bg/FdzBded4PHMd01iN/MRMiOiC6KFJ+3k8QtCTIgWYuIQ
15XmvcGu6963svhhyfLhtinIXM7YU2xgT3hxGLWSgdGo3EPpF1VD8rBcYmrTbrpDDJhXG81S6MQu
Zm48dXXduUu9GQnL65pDJOy035eRwVZt7wF7jnEqAu/RN/AUVaWHeeVNV8TmZSVCQhS0o9UKSaRa
HXPGhpljeVWVb1Ov0ApQ03VhAdAbcrgBysQXQpJaGg3TNW8GywctWKTKD2rJhnkH9NnDu2EyF4sR
KSVZdBuJWdsNkRSEHtktVCbezH5wuxu4kUOyiRudKLGD3o4iIt2R1dKmsbgs+OC4y2GZcODvtCkj
qoth2lgMp67r+1q/irnMOhOVaNsOI7hpwvtQ2r7EUWIYyyto6blSX7ux6UoG1wAji+j+7wPvvzvw
OH3+9wNv/Mfpm2q/zX+YRps/vuxnFWVSRRkOgY+W+TPe4aeT2f6FCQnuTmbM6+T5d1Np8QsfLxdV
l+2TUMKZ+a8jkPqKb8cxyI1oCf2vHYHo0/94BFJF2YBVwE57uKaBUP2pijIaYLYma5WDP2ipCfnR
hHkP7SM/Awom+1BXzfAptlvsh3qa9Mchrbr7pNaGkitYwJNUOLPKAG05MOCoJ0+zV1Bk6ynmMCKK
6R7Vkc5+rwLY6DfkCNJykk8nEnPDWDd6nIzKfiGd/K1g1hfzrR4HYsQ/dblc7lvlPzLxY/VZ1bkV
SKfAYAK5k4kZ2vNLz3ldsZD3BMJBQlu6utNffFwbwFy11HioqjE/tYo9miRUkY0uXzg6rrZFiDZd
Sd1ji6YJ8RAtBhULYonvraHQY9TSJFxnKBd1BOLK0Mea8vrNHFBkLWPrE4XYZux6eKN+ALowjLzz
908BU7R89SgGmPi5Wrw9NbUvcbn1x4Vla4j2nC9s7ZHBrQGkntjk0i/9z0O2NHFYFZ7+4uJWvjj1
4Ie24SOEZ2ZD0nKrjgTD8tOFN44BerR516adDx2XIQ58fl+hV0lTg/6rxSyqMq9fKSCx9tr3pv2J
PQFHg9Ob4kZ5LUac0RbF85wXbMSHuBcvirxg9AWTzncrymS69epC+74kox9OZhOd8mRKvmpkul9r
lhv7H79fu/5WfLIVekf+eTTY1Vb4HZchdB0mOTtd9dWeKdGApKmmGJO8yYzBui3g6j4J3C41bmKP
ASQVbYfb6QYMRpIApRX5cnDoY8xdYsMA3pvL6nHLuE/QYcv8tFjyOCirg0ubDSS6pzGScrTjzk7U
s4ciCQsSTXXJZwFJ3Cnr23bDT0cM1rZ2yuQQlT9k5eJZAYf+lDD8fGnqpL3x0II9ZtCudugklLMB
eGfi1evjc9QwGs9m1MgFaOqzVvPH9pyMNTejm5QgPF5kthA8YS9GW+1tgsqD3G6Q3KErd1Z5K312
Nc57z2r9fVEY5vfRQWcbRqosJX4mwIeb2GDctPMzvUuueSH5Xj5ZwBjE0GEZoUUZwcBkUNIlCo0p
4UNU+vMlXcY8NAFxb5ZOjy6lA60dZvvo7UXnC9JCE/OZoKB8X3oATBgmrEKwqUtLb58Lvf3USevF
7goUM7b+matyJoRtaEgWyZCSgYAFElvG0dKFrXCcXeotSLhdow57Pa9OcUSVRrPvKaQYhbxrnYU4
P810duM8l3d2aolTH2NERVYQb0t2ratQr9sS9LqcEsxpRZAboxmOhW0+TezoArucEb/BNOdBZUcS
WBhww8oABBgS75DvVvDB1pAd4iqdaL+wH1sNeZrZXhg8McL0zPxMQoV919kxEsxkoGPQ3VbvA2Zz
hBB6mm/dFOBU+s046e7LwMLiEgkRf8wqy2BfgASf+dMvtZ9vKgBKIworicBxzmDjhDpf84bLFiqf
lpHmdYhl2Xxq2EVnrK8ELU4yYB7Q8mp5muxZJ6WiSTCJ1QpuYS2hXNvz3mhc7HvmrEksB3Gta9sK
1HkdDEWHHgM0LJrBCsXRyEEhgr4Y9c3gOPN5jCiiEljFn31evwl5hZLhWJfSbTfOEqtTHyHS12Zn
ZbaMXo7dYAXJBJgQexpNVwI6qmoVqsJIHh031km5KVjZG6rMzgOt1hwOak3YzAzUpKZTtyFBp9M+
0eMqHOeS3DG92ap0Nli7Ne5VkgP8mOeoUoLewLXoj1OGOKsqOuZg3qKo3XJGVBXcREmO2T2zLU6l
1umj1x8nS5N30Xd/KvNTIXlCAdULlnPrU1Q7HFoTs+RnNZbextFY2zHhR98UuDM3jJJOtZ9ijmei
QAyLx2E0HphP8oNwZU6bymD2CIk/Xy6jDqU8SEbNr65c2/MVTZmcNxJixpa923JRsLnOf5dL/025
ZOLAooH69/3hU/eW/L5Q+u0LfnaHuk8Mlg7mgpxwzHBrzfOzO1wbR1b0vk1WFshWiyLmd83i2iP+
2On/7BJdukQdqh+lgO3+GFz9hS6RNf8fm0RIuAyXTIZcUJQZWvypSZSNZB4/e/PFrzgT89Ab63ne
UaL7z2Sam0dSmqAnDXFcn1vbAlM5k103rQymH9xCRTzy2aglDCm0y9syFeD15tm+Y2Hdsp6WxZQi
UQxM9HEDV37pWNH4oLnzRCvU0yj61lMSTbBWDj25n0izxoHJjl5E2q1fWgNZnioDrRnCtZPedwbz
c9ofRmiH03CM3V6wKYpcpG4nFHDUcvXAm/xJq6RL3hYSbgubzKiWM++lZZKrSt+J+Z5njbMJSmFp
xNjfrGVmh1ZaNJ5jkV7BeUELdY2Fw5uR9mNVcqYsnTQPvCjJ3rfX3unt0kcvswDS12WS3U/SvnaT
ao4LQURI26L+zRcI8tGKczKTbUSFRmxI6MsBVSgUtcUl9jhjwWCT/0PeAwSXcdSH5mz82s4hAJiu
5CPT1E2jHOcN4+94/kQaQk//p8MNi3cR3HXD3RspYG/IAD96RgEUXXAwljnOinUIznr+Uk+trPgr
4PAyyuH494nwX50Ipr42Nf/+RHj8ttpq22/f/nAs/PpVvx0LHvk2tvsvntNPMY9Onh4aG4fBNLRG
/vnPIwHdjgPiyaH4+NEgrVOdnyeD9QswJbAlrg/j5q9KeiBS/fFogFHqg8n1AcwQy8NY+0/zX3dW
pgZpvDpqZLSJeo8fKs6GLanOI9VpqXsCsbFrjGQ3wPAoiQHZiHYy9xBT3ENTAsGP7IgJKL5gcW0b
y3mcCLXdOqlebeLYae0QT8C2RB/6gsmMYdRs2uabH2NoNGq94Hiwx5CsFWuLcOdrX9XdcTDbeG+n
VbxxiCIPRZRjrVi6fj8Puo5s2rQkwbxTu0PjVtJYwTIKslm+WHUDeY6H8dhzte701Nn1retudMgU
4ZCl8a1QkXeo5hQQS0KYWjC0FuA103DkSyL6Zs+Ofjm1Q+GvtazjvEeE/OLtKuuiCUoVxxeG5N1T
DnuOnMBFfyDGAH5L4d4PvfAvPPrNxivj+EuBzhyeQz5QLfa4AFNi4KNMV3tCa6rDmBJkjTrgXtbS
PRLxUu0cltyggwZxW7n+KQaMYsspvwOXoQVuRFck5tHbFuggkLo29ielm0zgG0sP9cWyWJRO7REY
oHaItEUAc0+0U9FiM8qNBsOEli0bRNjy0jiwLrZoWFENs5p+FGltbZGmIV7Bnb+3sLLsjIa9pL60
y309GO2FcJ8IY43x6Ezl9DHnvbNtxww9lpu39wu0x4AYsGLn9BJdQz3ND1aaue89R3BdzV/YorZ7
UZu4AYfY2LNYiZ4HL5U7otecr17q5POln43sEttlHhSkkJGiMXUkypTFsEkTzzu0jlK7xjFSIpmE
sQWmYASxR1VMmeu/e6oav8dkiOwWYgm9sMHRtOW5se6teWyLmzmrn5JeZE/eJOc3wA1cVxXqtQtt
2HD2NDCVstT5I6d+Um/rGKgGTRw55EvunSLdqW5NMchLMYonAIzYPTTTag7sqnNug4ZJYWUOt0ap
/LNFWM6EKsvC2JAKrXQPvdanCC6xXQ1ofaw8D5d+FdWmyy6rjMHHgbJ2iFbtcfGhqkNQbpSHufcy
VuI+y0vD6jHvFAZFpzkug7HJGmRBrWA1PRlLeadpwEjtBosBGp2Lcow3WTRudIPHdErOUD0/Owgo
Hkpp7yPNExru2d6KjH3RmejKgsEfK/9jIXMk3SIuWm6XYWrv2t7wyg+/MqPlxqowv3hd/2Qje1on
mYnqEWy7j1bUoh9SRLCjrvBPIzcxgtaoJcCeaIn6oZ60EhZhOg/xobbcXD0ZxWghfYG8VqFqJhpb
uqeqtdGkYkmm/b7loOR9Lwca7cjJKgf8ZxzpFNrN2IU6K6YrIqvS/azbHhOfbQtb8r6a/D76mq2m
HDtd/IATDmGupVlbvZc4XiM7xx1T9jgjlCXycBoKslz0zs/eXS2atYNXDbo82hK8VkCSeA8450f8
UcRla11GYu6ey5lQsJz6jU+KPov4KJJOH4KqGae7ClXR1xnkQL43ook4JHduXDCxWsoWrBOE4m4h
5fAjlyJWTlAiUHk0Y0KRQrLfEe0jYkr3v2ItsYcBFiLeEtIj6dQZSfapX8lb15sNidC5bxKzO+fF
aOvU/gPQLHdy462eVM7ttOoO7VWBqOvFgPLI5j0OHRHNj8Uqb1Ss2BVqddXgPyn9kXAvpJCVbzXH
PPV57ic7WlFXq9+pZwrdCyPZV+7g7eUqrqxQWS4/9JZK2JKATUSYUV27Ozl2KDPJTHJ5qH4oNvtV
vNlljrGO0Pf2KuzkWUXjKSBXbVUsTW2nryJQt6DhdIx2EaE52tqqAa2ubtJjjBtc59o5zfBq/9CV
wpw4zyY60IKgy00+WfG+U90CCmXpCz0o4fZ9EN3yzh2lrtS/tO5upIUpLhgP3WKjf4rxWu9A++B4
seL23rKgOMCPL44FPuJb2XnarkDsfBoqPfpAmGffEZeyaV0nPnJ0RgfEqPpL7or0f9g7k+W4kWzb
/krZmyMNjh5m704iEC3JYLARRWoCoygRfd+4A1//FqjMSonKq6yydyfXrAbVpigwEID78XP2XjtA
Me49jRBBiZUOsWOmdqMu3Nmdryzb8FZRQxxpLaf0EzpDcbSbajxZRGn2WmmtVK+jOScakYNyyoBl
k07hfHb8NN3Qedx1NAg/zG7VHyZOmbsF87ljrGET+Cnk4iTSRroM4AddsjzSoFUGpjJzIdoYJkHr
rYlGhOvfKd+yV4bgFBzRjDrXUyTX47ykgiJd39Gt87Z1lwGaEdKKWRpn69E0m5a9EMbX84hJ94pc
IfF1HIxqa5NQtMlEKOhmNeZHTXE9+oEYTQSxOGlS15u27PNTpsvmYeA9vBravj3bqE4uPVeUHNrL
9JLeW7JrzHg8ZZVNypuRO/t8Hj81npVcTlYcf8Qey+wZgTl/SedQCdDbQn2K1JX4Ff3UkanWrxPe
/LOdugq3s9M+e265bjroc6aa+5u2s5ktW4XnHApk6je0iTgPpFn1WXZU/7WCEZBBfjrQC/gYtqWz
FmWhUzyAjdAYNm1oPbbeShfaoypDfWPR17iyk0S/MLVuqbTbiDka6eGBJWILg6DoP2gGpoJg6KIO
ajQhEr4mq1U3KgfuFx3rNRYp/PFlZJDLXdC6dlZ6BjloaWhIbzY9Xmo6uwHuNvvZUB41hRUj7HX1
lJWgbUGd8FY5U+zeQfnyIrY8kgyj+L5zpjr5z4DkX+K88h4u2RH/fX1/+ir/cfVVJS/V9wX+7z/2
z3P/knINNMX0Fw7/m5bkj3P/W0uA0hrOzre0zD+L/OWMzzTD98iNeTchYXiCFoM0bWKHwNwQG/Jv
HP/t98d/n1AIMlptixcPEq31bkDSpFYOpZs3scXpMT1blQWasbTcnn0yhtABZ0+2Mp0AdFZdoR0q
I8a8uYacWO4hnutA07rpS2uiGlxrem2vFbmy84ViF//atLkLm8x12rnZl30EN4Seci4nDugEL3gD
ESsD1vXuS+6W8CNBlNEIYewwp7F/rSdaT/VcUfmaNM16MB53ZgntZe1ImA1PII/zhMqYhDwgdnGl
l8URLYdcK89Ftcn6OJGBFs12puJLlGdN7d3FHK4XNgqGCLqUAvsScMm0rIvuvuNkJTac6M1c/5g0
bj8Pu7Jm0SsA3hRghRJQ8ih79eYlZsvcuk09nVmvSl7mSab8qDNp86e6ZA+7+s8B+185YPMmORx8
f/0CPjGse/f6LT/0x3xS/IaOwvDwIv2RH/tH2831f3PputHWcx1OBqTT/PP1sxBiLC+FzshaLPn0
f9pmLP3/B1tFu+B7hQZ4N6oOFzoNcfXIxpx3b58YqWV0PWLiAyI8YZwf2dcm2uTTTHEWfHdrzt90
H/8AWXSumFF2//V/lkbed2qQt2uBaSEvjZ6aQL3GP/9ODcKcEtuHJ8rDW4AhEEACT5grPEzcgcum
mf8ucmL5+95dD0qsQS7Uwij+KXKC8ZPh1p7O9Yolj1PqNQEH8K8EfTL6imUfws43lSfusZcb97/+
sO/nvm/xV4xcaFqg3lwWyR8+bKPpMDK7tjzMLXiEIi9YeXIxepeTmOGThLP/EBr6333kv7jFNneL
QhLBDQynRdP33S3uuz5tpecWh7YAJZ2BQ/1CxiqREf4C2Y/0fzfWA+mi4CHlcjy9yJfeK3xSXcNV
yhx5H2thdeEi2kDW09OG9UwCYcPRefr1bX0foEy5buumswzufW4uGXE/fsKpEyiEOM7sOdNzuByc
kECDeUaEt7BXSLCZEHqfvJzgZBezyG0z2uVDyYFAQqHK5pKjSefewu0yhlU72gN8nWU4KZSvHoHu
/M1TQCft/UPoorECdcsjqCNUWLru338jJTVtlEI53dsuQbH3WgGm6aKLcsT2UcWgC3+0kEeGYFOO
ILi3xT3v4HS7pIPuDT12nGPCxnB4O+hFZsdBDXQ4zxIKf8JaltAgBb4hPo66QeQpDklxKqBqFFBQ
liQjRFQc5bQ2weY5GQQp1rYSJ611CUMaXBJVa20izbmnmx4mPqXd3I6V/dkbTXBRbJtqhAbTGOlF
a9rQulklnCDxsD7vU33UPgJv8sPbpmXIBQYtbSj03W7SIgz3gGbEV55ShSdcJEB5rnrLH60bVU7y
stRj8n/wPqEDQNlB9tOyELRTwXuqRpJJNIk6yc+a1iO4tKmfhtQgJIfO0uFbtIcax/rJI4X0rONn
LNZ+A4lkQaQuWfKt/ey1hFR/S6IoxpC82rhXt1qjiXu7h0CezJS1tm8bJfGTvnpyqp493LEEbNO3
/NnBavmkjLrlqsg7skRIsw8fQB6Agx88SWLWwH18i6EIOb3fD2R/3s5e4z/IhkRoRyMKJIlItm84
QZrbCX+2R89dI32qg6B7++1ZjdOI/JXYTORwlWSKMiStUApwXsP7P411t+skCaFrDQZqzHwhTIpD
Busd+Kpj4O7f9JYRf4xHRiUevEsR9NlArV9MFs8J4nXrGbQ6MSdRzcvfFP6lT1vqoQYXjRa1THgy
UF7AMYuI4Gn1JcLbXAYpqApAao8O3GhoBF39hFmeIIyoQo+x/daD8MEzHYaYU9ZKAnW5TaTl5ysP
Ycv+7f5bqsdAMHgW50e6nFCM427dlL5+evszfYiDqyAvhnVjjvcan/UmdvsxkJHvb4em4wGOl9fD
Id6z3nddGoYXohtRn46dhPraKM+/JdJItOhSqKUG8B2A/U5943R4zz14oequhn69UEgrFY7bPNWn
hU7ED5RAZPSDFL1LiDpGTHJGug6S2m7Sh1QGTUT+xW1dl3a+iisbMGgZD314acz+9ETEnPwyThoo
UUm8TnKWk2ZIpG0LbhTi+rjrGDJL9MBQJzSP+BSIvsys7dHmPnf39YIvVYurMASVvfXNnAYzgFP5
hjr1UvNkQyheQ0/ah/6kLvqoUvdOMQAKIaqMr12bTpadOcTswFHtdIiqIIudFWAeAfIk7m9l3CAz
7FEXfeqtzAdibHaoAAB2qYvR1ca95VXwfgfdqKh4q/nktUP0pelYNpE30PhKYudU66VPUjL9t0tR
yiJa8ezS3yX+NaEonfsvfkLvK+i0IUoCHm7/aIVQVckOGTsECa4bPphl15cogKwPuPjpebTNcylc
UGa5blv7BhcL+mt3yTxu33LxpgzuY0ycO0x28HG3bHM8ywbpycne0UJ26Xlh5nZwMWzUF/S+4iFd
udGSLmKPo7pF5RE+QBoRp9oS9dOENTyHKiafVeVFD6ntsGACHb5PCRv/mGLxm9dvSeihDheXPHhi
qWpfpzfuh2XANlrdOzZZ1QnIiI6PAQTdLDz7aOez7n+cu1p8KlpNmw9zbA3ewSza2YQsXXcKFrXA
PuIYponOerSha5eM4f06vJRaHZ3bLo0Pkeffu3HcPOR9+zwValn9E/FAF2cI0oH7hJGUdd6GUn/E
A2V8Au4NuRrrm35V+9K9MxhAcLoZ5cE2B0BWpmzg58XCRRtatd7Wp3d/rQZDDdvZMh6K2KuDSnVg
SMYiliC4UEqsCBVHBl+YYXkqXc36nAuTP1+zY7Uf7Ng3ws++JxOiy5o6rLYzXET6gFE2MCToMu0S
xebArSsw5c9oQh4n18NpaZXeNfgWHSZmTyKngFOF6SbsnirlUYvUPWx+U8JAy8TI19r4RH0nGLBY
LCx6kSdUVBNC4dQ7aWpiWyjgqLwRhr/Ac/TRBNssb5kzs1kgvlC3XaR7C21keZQQxDAfiStx4hDL
WkpznjU9xW71MBr8Nk4f+5ed5KsB+OGzDhakaNDXWGJDGTjwf8TZEuarTKISnLxOyEA2Mtb7dmz3
UzyyDo5kHwPqQkd96dc5aRtexZVTNhNs0K6nzsTG8y7ZEpC9O7GPVy0XpmVtPc8IXQZivFkm6ScS
yeMS1xVB89HJXOxl6RGFVUvrUg4Dor7cpjnf9lr3pTQzdg5htjwRxtzYz6h71blLbNbp4i3OaGoq
onsQiblUDIisnd23X0uUS95SE6dUEqG2BHq5GNsumpy8uXEa1LkfqX0Lj9BbMROAcEQN5ZAbPUzg
MK8EaD9zrbd+9STBfsbXhr0k2yVFzWeV45IsVSJZcW+tps47dgunB0G6yuNoUR9JTx9ddx0pixzY
rEuB8TX2dEdGnv3kkAAApKrFhyzrViGPy2mvsWWI6F5yRobUpZPFbdGK6hADu+IurzQ48UOsvfZt
4+/iQfpqxe9MlZNoZNwbCnMehgr6COvG72lmtySqAtZXpCm1roWIIFLJckdRHIAYsye29aH2QLwW
LUvVXbh8o9C++ZqGJXgt7/gaNdFwauiNWQcWbUPcSDa5hyr9QWgTWG7uE6XlnWMm2nBHpzt3AF3J
OIq9W4ICfIetqvZnE6Vz1EzJdspA/IgPqUe1HO2U7O2VK2x1S7a9vUl0CwobfNwk6CXIFOlMxq5A
UiVXrkHAZ2a18Ym8lXFNcte04V90/SxymPN0rq/4+pvbymNlycaYRqHmJ0etx2I7djFbz+QVe8aG
Ats5cKh8gJide40T0FZG7OAyIpq6kFageRN5LOlE0Q1bJvlkm82iACOgmkM1Mo+k0yduS0LtARSz
SNAtpj1LRBxQbafIXskOs7feWIXY4ytGQX0zVgFvIOMWq3wtoQuAVb32lSUPPNcUBkOjX/t9rV+j
TRuDUS/WTjcVezXYzYbaOLxTzoCjk02UAVMMctayri29t66UMZQ3fNvsy0D0j+x8xc4iBHJF0Fe/
9gpnE/n51ZCBYmeIPF3rUx19qDVneGorwzxVY5FWa5JYKCBVs8tRxgfOeDYLcUvlV25wDOuvNlGS
R/ObNLDAhovXsXRhJnt7ppZf7cbhC7EGXuGtbZuS2cig5xWFtjYSo8YO3JHRMy4rSKyzQrBfsRr2
iPeHxtAOjjk19VWXLVOfIma1SZyWJ3IeF1xOqBjTnqdMpugfKbuDXx+jllPHD0djj3MUkAwaC+j+
jPfHfsZ1qc+OV+9r+63oHxWzRnI61O2vr/PT6Qe5EWkm9DI49lsc3H48/RDF1w9p1df7HCcllnuE
CPcNbu8cza9YGC/L0eVtOfz1dX86+nPdRcPtEMFoWZwUf7wuR/LcJN2h3qs0d557DXxy0alcMX6J
Wb+qopxuHSdmLW7Gpcr99dXp27y/u3CiOBXzgvNLICH/4cyHcZvuiXCqPRxJJnOz1xr33rLqkrzA
at9HNf+u1y3HkqXyNiwssqu3X+F/mlxzlby0VVe99v93+Ztf4OKB6Ir7t37un//rfxPfZun0fPdt
/USav87y57gqnn/o2H37od87dr5FABqaNzRyAmUapJs/hXL60kt3HN4d463zzT/6XShnLg3zpZf2
OxTnD0WM+RsdEpg0mK2M5ef+vWa5TSPx+0dL4O9cGDskbvHmLg7QHx+tdsy8UjmiOVq9pgIT4GaP
CnfLruARb1PGzIt9zEKrnvY2jeyWuMEPcW9DT0fqQyGktLaeOXoVfhLutEEz2/thavILUlCS9Nw7
ZfuJBd19smenPMYiAlQuUyPwl8Kh0ZOkOJKNkm2dzB+DfkzJ/6gbDVNVXFdXlBM16YWTAC6GTD2a
YwMa8Chb/2mkJPH2ng7OizVuch5HqQbvPCHMCVz0f5fpojremG/+bD+qveR5XGzbw5uDuyLzJ2Iy
CC3nsgeo0kdbLS90wg05WsUKTE7imfKUx7yR7pb8oLk+oXnl48aqa11EsxOJhPu+c8yWzb5qdK1A
eW7ZHhm0RgjyLeDcXIQnz8CuLVdhzv1sVsnEcB4MsO3rMhjGkdwNQcSm/iJl3sl5k8WJLQG3oxSg
iV+mFbt3MQCUhFMzlLRCsLtrxVr1vsXqH3tzY4nATmtrXmfOGIHEZI5nxC4ygBQ/ZfplDgnnsbN1
X5CPhnWgSix2fmuMdkamwvaEe0E76BBHz8yLQ2RGmrmC8s8m3MUl42Bt3EUYx+4ydjkkxh308JHT
241gML91/Hp6dus028h8yNdTNsXI9jsO9ByWL1vMKbuqswpgmoiZsnJsCGoqK5qWYz4cvFFhawcD
WhRlFZhOHF3bhg8kOM5V4FgRMVu9bZK3REITROjwpi1k8TEstR58TIi5dGZLvM5T5wNYuujGjJru
DIDOvcnrbHzCpaYCZvgAROtY3Sx60O00VskDlojwnBvV9JHyd0n7GKBgh64RBqDg3JPvZ+FDjPpj
r2JHu9YUuPMVu4u/Hd3WvAwJtdppqZbMgXDbbHpAgkW9FebOh8YR5V03gbpegWWL1Nqmd6XWSdG6
al1N83woWzRWKx8cKEjcsj9IBdRM5ln0QIvEvPBndynIa1veW77A8efV9L+CIWvzV4bXDp0Udwa+
E1VE9mVGRVofM7gz6b2IqqSNORetTDpY5soylXspKE6iFQeRnKz2dhivhygyLmASVHu2N5obKbhm
xOpdexPnTvnQQmZDb+nWn8kI+igaqDf0P7wj33SxwUhhraeuhgE15eqG1Kf4CNOxvY9wQjwO5lyA
DkXu+ZJWrX6hzaWbcr4z3aPMlb+10vrr6DfhnsZvs4nR3vINuumdn3nDo+6k+ccpm5OPpuwTe203
XvaxYUgHcJE3zNH6dkdTxtj4ruy3Se1cyAoSHvagfJeiKrsu/dI+SgWZkVikLK3BcfoacJMkA7PL
1G1FZmJyLsnpPaJoUu0aIgNqE0GrKoa4la8SysYAtPa0qeQAZyTETMF96Veumy9gb31d253ETOWX
gTnZxoNFPXjda+2HZG7v0lpzvyi7grOi+yNRS7Y0XRs76ZzeY6u0Lgq6YJeUl8D30y4M3CQ6+Fbn
Xk0SZW1VDd0dVuk8sFu9enEGRBy1nKuzGfrzZ3TIbbMSGB3BDMn6Ikoj60MUwyd3GmT0K1kgT5xn
P7oiInt46oEDllWOPTNj1j9nQhARq7AZJHX03BEx/jWHCb7uxubSGMhasB2pgngczEcjDpO9qbmI
OpSU06Wh6LpbsAxh2PaGxhtnxdgaG6Vt20poNDR0r7rJ0m4hePfC37z1LscuIfGMBA4OuzE0FLU3
lh5pJS3SbLNImndjT0p1JskQXA3JwDmQoD9/E4YxOjot9C6rsbSfB7utLnwHTwmMDsE6N+iYYyNC
TwApejHhCdLSr1xfiPtJaN3JJS9pWkUDcCBh2kAuuyQ+4B9D8FhPwrvUIHecAIJg1ZF2te519QJb
urwVnIYOkRZ2a/5SvG8pmXg2ZyvSgix1qfWL/4jpw4tVtfZrpVlfYLQZl8Idu349NQWWXD/dNG1K
I6rQsiupYu8KEWR2GevQXlbp/BLTS1s1SwFvKfWh0ts7yCD62hNtvC7DJRsbL9U2EcLe6ei5bhrR
VhvNQay5tnBr7SMN9HY2RpArkzBoy1YwxbWtXRrZ+pb3/SWdS++2MTgLxVCL7yMaIyQWtvVRplmx
aSm/8yu7Ethdu3K8qko92kN1Q6XhFEQwMFEj0bvKSNHTfXlOpqr90qgOZqWBmI6yx/IeIie0jvyG
U2DIuiSHr+aMnWd2cS5CDQy2MVUHUfbGWu90FQAiTS61NnJXTllWu35QQ2ANqn8y2pZWgleVq9HN
PvWd+Jw2wM9ntsdLIheiYeV0Mj5bXoMIpKvg0hWxAfFAda/ChM4wiGm4S3Ui/EYLBkEVedmWpqPH
qVIL75JRdCdHd/ud9NGkTl3SXo9RaopNOvtLYohREFLQxtpBDhfgtOK1XZKroVv5J3hkwxb3VfaF
CBaxAavP9+p5n2Iv/9pmSXegveuudTfLgsbmv4W2668mplb7Men1g57mBK4ncDfpBInLmSjjFz/1
IB7lsbbDX6fhiArzm7TPzSMml2SLg7wh+oUotKEhSRNx70KGo/JCTWPvMiMeLxLywXmPFEjAXmha
oE/YuXCMjxvT7cqX3pYJ6R35fTJE8Mun2NnL0aQTYl/NFq3tkjMrZwHf2FbCfmn0+maAbLcqk7eA
OkLWW10jMkh7FAn8uzh2ErgLMxVGrjubTK9Obt3euDr9qK4BwVMMK73IZID07tbTeux5eL23ePAJ
NWA8tXKS0gBcRsMb1R/y/fzKLDTt1u9I9sudAa7FlEbBbBY3uKzOnBbiLTrrZDWD8F47+YTddEDo
lmT5jkZsFfRzXRJxWHkwPQexK0eTLovmmtdarwB2+pp7z4wi2QMjrdBsiK9N6ODjm1JYGwWMMyOp
bTayDD50aQ430hD+S1JMDY0xHj8I23sHhMCNowFjJvk7XlrDgIT8ejgohK37tIxQGyazdyz66SZP
7E8gAz/85yz1L6kfLPvX6odr4I9V+eNJ6u1H/pAeCec35sLALg3fNRfIzZ8nKcP6DekBx3TivHAc
fa99cH4zmF4tLoJ/+rZ/P01ZAvgN5FEcCY7lWihm/x3pEVL5H09TzBmWFoht2Do6RLK73qkfsm7A
9zL4yTnNfGI2IM8u5NAWqsu1H9YWOm2nabtdletlu0UwK3ybgjtx1lk4VlKdGhQ79crNGETT6SZ3
9JaVaCEd2Ax+Mn3tZLDy67HM9tEMe//c543+pdBrbHPMScvEW7ci9ljBB1Ehsa7InPTGXeVb2Dnj
Jj0WaSleTTra1YrX2/usLb0KYDLR0c2sZlVVESbD3s1vbU+GO7S7c2BC9QRGllRwLE1nGDjgtKww
c163hLCblvbB1bXPHlQMGsco7THluicnHpMD8PT0koSs5ODykn2S6WBsLFYmZ4UiMb5tXS+Lg65S
05l07tAPgIsV7cas+cQrb5h7b9M1eR0wQYHSwRkRZxERhJF0PifIpT50oxOnJ9tQWtAltXudsKLL
1YRzKCEVdcmDZhrCVMwn+XnV6X0y3bl2zwSJb2J6DCeWA42abaCBGUZ3rkXNRTAqQfXriV//kDhh
fDFLpR7x8bJFO5YiJRUB/MZH9YW3VKSEorg9RxdSpcz649RSXUZRQ9PZc3F5aV2pM7GzPfJmi3D2
sGpJdyB4ZOEfpnOCNcxVcTcHqd117RvX+ann7Oyc+SQGOR7ZWKjAz2MVgBADPq5TEhUkr726bc5k
I0qyfZdYw1ZGphPYi0d2qGL3ppktZj9lnEWBMfXUaU7RHqeKgBpyFsWNZvtyU44F3XvLBaDetrbz
RUJFC3BUDSe6BBCr46kqYqRmk++JbVNq9aUV6el0pZeD7tZHgzG2V7P8lp3nbbgRFikkY1zWZytr
aBnMMKOtlW4mEyAlEiwcYoUJ+rrEElyKZBWX9CFAegjyLoJi5u7doCtdgjHE6N4xCkhk4JJ8Wz8w
JHEbKKLdAnehKGSyRy9mbSq1mGgNHCLsR2HLYKWO4i9F4041WeUucv/cmyCfjVjXunXoKUpAjRyq
Ean4hROW8tkoUO6T1SUHjjek/h5UBG933S3htAyxHD0mEY2T4h61IcEnvaAYXcs50vq93hbulhzj
5JwoxDcUXyOO46oNC95sTDQhQ+8JfDpUFeZrdViP4+U8J0MTGCRcrKuYbzOox2JcAHZaO69SzizR
mdlygoWXTcy9UnNB+6Gz9V2bEfoVR2Y08cRZyKJTl+I819zkpFVVPsIvCXNOOfir2qDIPfloJB21
Fxjc6GjpHUPMHjaUP2gv5K2UvFOaU0GqscmtPGEA7OYt3Kmi30YDpiLC6nVr5U0D7kCqs2pHInBb
kta1zLGWdLN+z0o03VmNr6qDYTv0lxP88c4u12ODZOk0NA9mVbevkjGtPTD/MBO7m+/GzMAwILNY
4NgOJxV4tSYuzK7Tr+YwNW6sUvI+kmeVFps0YjWzMYMQYdeku1mZ3pFIH3DFntSUulQCg6ZrduUc
cKVs53lht8lFtOjg+a6qbcTpKzBIKL7R6kkft+YQ5wHac+MCI7K/Mb1U8zdagssRtqkS9/VsJYFu
5gbfc2ZF6ee2cdNnjP3aB0LAxydq27HdtJVl8a5BIMJMjlK8EJxOD/ikrHVuMmraOJwj2gv+gEVk
hVZzyrENB0n6yvFmutJWp9lILyfUc7WOhSsnvkRxAlgbnaND3XVasnTLsR73BGOZ1SbsCwkns7IL
zBmkuQ7eyivh/goydx8Ay3y0eIR7ohAUzV+/1I2940n3xiFlL4j6cCISJ24OLtxbHYQDwbe5ZkN7
rpRUt2XYWae8MFAr0aEoxJVsq+pq7mfStbymMh+bXj1GEAx9pjAJAzFMqbmHiEDvmeSNqRquAA6B
6p1Ed8vcAxcQqbcquhGKcR7qG4usu2lfmG7v2gQja2EUHhsQz97J8jKx/U899S/VUy7y61/1pm/j
6svXfxy6/Ln88kNV9e0H/1SUiqX7jFMaqJbn61Q1vwu6XcSmyKV0Kq53GHaYX/iTket5YpGAG+hA
/6yphGXrlC5viJx/Q8pt6ku99G6shNbGMvkd+L3M9/LDhqFhW5C5steobnhn4oq2EWetDWKHAheD
/SiLcbwCEJug+Kof88heGpruyaiGnOYpVpCgpgnJKaMoz/mgPzBpJScMi2O6rXgcA5zP5D0IN2ei
qbnbdIIk43XuqQZHsDKUOKdMgZ99s7gC8XRlanIX9nUY9K0NQVyiFMlHXkxa3K+DPiSngvu4btya
sXtZNStdI0dB2QZSAH2+qHz97EBNxZ8ln5f3EPxTu5kswF0M9F+7PM0CqH7Txq28k2uqnUxc6HhR
+epn5RWcmttQ2aA+E0IfjQwr4Xy2UuJWI/4UjYgVlc/zVPdVUDXzi81ZLR/FS+U6j83UbTlU5uwu
sfkROsqe1E4HASt6sqoDoVuSKQdf+RGrzLOrz2KrE82ot9nVcgf6AoEbkPnXtC61dRf16dbMCXgx
C9BXQ+RyhpLjfWTK22WUsPYMrERt7r+w2/s7/CP7KJouMFVSF+SI9DTZcWN0fW3ZydGIB4OAQBRJ
NIFkbT3GZnaMVP7cNikACxuXlEnZ41jdxuIDSSt5JTLsbLEBbiezJx2sBgtvLZAZQsUVkVOr0qC3
Z1TcKCNuGXza4GcZrsWbJFvykrSR1NWaVIxIW+5lXDzTXZAo9ZHW9xKZwHKtGkDjRmvms+z0c2/I
3bAYbLxoyV3RL2q30tZjFr+ayPU3tkiuskxd4Imz915FeZsmfEIA6A9z2HOS7508SHwSXUm1RZ6Y
eGkQQ1S5bO30SGv4obUwzMa2ui90O1BTKdclyNwgrJLnEiXehiDIF6+aL0YjSsiNahPwZu5jovTP
XmNe+zIh8luK7QTAf7aHdg/R7h5Jxz5JSKcCy7MnpgACJWGt66wfyTga5gunmuKNJN1uDRbURAnI
k4CziBa9UZirutMfyki8+DRl8fGBEu+j/Ejv675ph3tL5a8F1eBaR+UYDIW6N0MRr7Kkr+kIVRC+
HS1eCzSa67f7LkqHzrr1SLp7unUsGyiR5dIF4OcWNHCs8ApJ03lM3HbidM7jqAnIRTQeP6UhiVhu
Gk8BjZ7xxnR47HIVhXTgaINOcLL31Hzjsans8dAVjndQowY7GfEroUJ1Afy5nrZoQ8cj559ubWi5
+dKL7tM0ts6l8LIaPYOqksYKWiYCaeDDEArcbJbPoVsBqGeekqN8sZryISvDh0IxCQlmqEDJqqBD
iEDsBGv7E53ocY06bMPcYAKOngR1P7UbOokxggeGygATVBsdvaoHCOE2p1yLz2VlVRvqpIdKo0fX
DTbtrcF+Rs9KnmWJnLik2N/kTrPyXNhT9ew724ImB2V9FZ5FT+44M58GDZ3xUokKIWhTULpj/3aU
IbamS0XFb7Go7ngMGwZNgWI0jNrBHXbK4KGbMvfR1RwI3I08hGP7qsn2wnKy43ebzvnbev1LnT7D
a4w/Dvb7ZWL5fnydQO1DBkmOnMUhdmUOTb+U5KfEbij+hPNtUs04Ofpa/cXVfnIgcDWfDc3E+gMf
7b0UAXXLUDoTZh7CGKugFGQz5ma8cmgk/s2VfhYFLONcGoOGDusEeQC713fieOm6ykyh/OyNPnv2
Q1bDZTlOhZzWJEx2tEblpH+rdf7bT/ezFIBrLvY5c0HA8Z8/XjMySz/2Onz1E1FLG7sb79HA5WuM
2nup2fl6+bx5Pl+0Havbr79G8yd6AoxgBNa4+dAQIUB/NytGZCDndPLKfVe0BGTRZMc7Cg6M5eKC
GjDb6756kR0heJkcx2M6kuLd4q1etfH0shByo3K+GCLEJ7Np732/QOoGXJq8JPL4WL6ZeRNlzEG1
qdIrPNHbwh5vVRE96HYMeF9Zp4HewJqYC39H6kr9FNGJXSN2mIJff9K/eIRA7sPCwK2j28b7No6R
Jz7CTqvcxwYBkBWSHn8+g5dr/uaO2n91Ry1YFIhnPFpH76fvvhQ0TvB27pEWWYdOqfNEW3aj5yzC
JSeWoPOyqz4SxU0+Tme314ubOGIPtebotRlZl5dSBRIUlmNDXURaF658SAea75zMdtyRgNIj+EyQ
WkfkGTfKoKq3jWlXREa9iIaTi0Fvu9syUw8KXdZ2MBLr2CdesZFODxO0TF7xazqrMsv5FpVX7ZSW
vobV/OAh55r7js27NvfxZO/juCTAlnBfTr/qInO1HHv1fMYjbq7gXootku1PrQ21yhXUWL/+wpan
/sc6EQ7GwrcWmIEMOm8/vhUzzd3G0sxyP0vxVk4oVjYm14AFpbn/9bWosH+6lq2zT6EIclH0L//8
u7e+NaaEDPSp3NvZeGt1ybGAcfc3l/iLlcV1cHmg/hDGz6YUpNBZn+s6hkR/rGEHEjAHPuxlWemT
2ZzwhAP5M6y9rxknGfqEu5f5kXH1xy5NP3uIHlZAccjQzFNzP6b/j70zW47byLr1q5w493AkZuDi
3BRq5jyIFHWDoEgJQ2JIAInx6f8PtN3Hkt129H/d3RFthzqoKlYhM3fuvda3OMTTkN1JzeUV7LTv
izfa2I7pHxW2R/sBqRlTtqW7LDJvNwTqU6D5Y68LkpMzZ3OEsnHcoMrC2Rs2am+1FoGXYWMd+glG
hLCy7y6zV6JE5NUwybN0aVaA26NANUeqX1NFFZrriMvjfV1Z6c6xl18RXv92V3T+YsXyXYQOvHJf
OI5r/filVJbSIC/K6mhCAtkMoIyiTIONtQzJ75zyCWSUW9tiDq5LF0ll3LVks5nlDc2Rp4C2FIO3
ilZavIzceEEi9an4PObK3gYCmK8cvOu49z2i51zyvq2cgS07kQKUtvXz+UlY49vSiU3mZw+TTXVI
qE8WtcZECpF4minEiGxL1cEuCGpQ433iev0mRxGwcRQbX+cNQBsMSMBlXIQHy12eQtUOv5ou/+2H
9BeLhDNj/Y8J0dn64LP/4cHFMI/IdxxAsgTVlhJn2vgjb8fB6xCr5B++EfKZ/7xOAk5htjX8SsGf
1mTj2LMN04O4RRiLO9PriISM83PMSRUC9YiwrdJGnrkgDRbbVJ5TASbFlScpAImS9DZ1FaJ9LYeG
jisYXQTdmhl/QEKbecn45qYISRRJw9V0UtX21lbdW5kv91MxX5T+ehjzmCW2fI3HtUqFyQjE5qrp
qy3hHlZEubqDohfsNV/px/WSvqm9RYFD9s8qtmcEHOVqHPYq7jWJeDo9TWixPy5BcUWe8gjz9Fz1
42OmuUgGEgD60nDVc5fxsdWJgPQewsUZHi1p3jZGhvCTas2kn5dVErAQ/2KU/AmmNh5I1Q9702m7
3bqMusmFMjw+ejRyEBZLg/WEr6ZoqJYAKV7hVAu2DOq6XWu4n5ucFGjch81l6E5v2AO3Y88HnBfZ
VWZzZwknSnGncD7n6XA/4ryDQOkS9kWPesjPC9BsRhQsYHjtZy7F4Jk5WbJk4MFkdXijvipM90va
jdVZmu710OENsNo5Wi9GqFgIMWmY2QdU9iARP1vot//hPPb+YnlT6wDfRYHJE/VzFFuBdr+xHLc8
dv78VnXDfSc49wauWaQm0+uj/vq4atcaiKYOqfQ+1nyV6j1gnHHT5PwYWmTiRipQLjLcBkNr+8jb
CXS3rKDahVM/HwuzM7igyXIlqGW7piqSt8YowivVAklacIbsGBmGl8gsqPJ9+9oy2GNyPT8NNuWW
aG0VITfpoykhqb0IqKwTLoach6ld84UklNl+3j/qgR20tfQ9QVI6Aht6NfT9veMi560Lb9plrbS3
zbhc4Kt4zGOYiqVpLPTB5zevW9S+Vfre53ZwlJl3PXCIcMnsH208d2s1r/3fz9f/qj8fZ/Xt//3f
1/cyq37P2vhjo8w2uUH84ez+k/rzoe51+n+2r7LWPyhAf/vB3xWgjC0dGmUuBfTqy17rvH8hExxQ
iQ4O298TEP+lAMWzHTqYSgKKbqpDn0Xxe4vN+gXzM5cpXLnIrU1csv9Bm836SN74Q/mEj9QkGV2Y
lLvcyCntfzw9Q9Gxe8SNceE45nDHhBWXEoEyp7JY5M5XBIEJFN73duENh6B2lp05zOEpMAOcMbIe
HwmaKmnm0902Gx3wVAoShuOctNGqNvPI96qU0KTkPqFWdOhB0Ohvabg51dPYy9vRIo2caCxEGggg
ALDlxAV3695ZVsWmcyTd8cYprAddwVFUylrjx5Ly2hmH7pFxY7rpfFCs8EWKd2EwzwvsT1xHvtsK
zSWI67s5BIaY194atEqoFdnQfXlPYkZ/rlXQXMw+itfN1JTygNog2+ZFNV3OgKdPZUL4Vp4v+uy0
cbjXXW9HUFYWDwuPENetZ1jTZnQIWRymSZXM8wC/EHJRzccFe8dOKCdGPta4l6INjsxJ7pUw/Y3N
LnVVSvOiiqeS0wg9XhLQoJcpXLSmCeK9xloe8cDUOwLxMEslkg4i0lG0a4SqVrq8WLDi7X3X8Jnp
IoiLSVbc9I6v9pNFOtpxqqDxofuZkp0slofGrZrtOKdPIarBT7QtvdPk+MNLZdYEhHVNiMrEruNr
1c6W2AHeyVqwLkZqiouhiu3lAXq2hBWRjXVgvMligpoDCLM3ln3vdTnjvarulki4tUNosqPReqIR
nu/x7wYkf4VAc0eaVRMYM2jFh9LqMCP7LmFjZVVx1pikyE5lpcFoaqEZ4hplqkly7+yB1lPmXgLV
AjZrEm+wM+RCF0EPYYlHCtDYtTEzfjU4SydAeAdGQkvbXtWcfkYKsLhenQsb/qLODyM1TNVSneHS
aa99qa3YvW8XNWaScXidGaCbWg2dc7yLCYA4VE0d+AmsrgX35B7vgeiXg7OoVqNvma3Z+zSKvhMP
xjAzQt8ZYV6UYD2Tsp+sPfyeANY/trLaFdPVmFWzavYNV/c+MgthPkPZnu5GJGEltOKqQUOUmThI
YGIy8DWxUURG39GWAytmPKXSzSQzLR/hGb6Y6QoaNGLBKmze3SVpmIShO76vkB0pLGNuA3VJqvQp
JmGhvDby2TKjklkY0LPRw7pqQGeOgGzRITJ1VZ3n3EyPdVUYO/SkdkLwYk8iVpwC8kQBRVBVVoRo
GxvP/tKkjrUtkjK5afAL3XgECO70oDj4UqTBB94AIz3RuVAQG0HgTLEcs5nJsAe74Imp5EQKRmNi
GkQY1AFmCk1Y5ADyTmngxRgmfYMKqtM+02dNJAfAd71AKqp8vvKFIGFuK3remENq7VLR6XsCG6rb
JlDJwW8ceGiDexPmQ/IYFxy7xIZa7qYxkuVXbMB/D8R/OhA52DiH/j3A5PHb9Nr9cIT++hO/n4T2
L9DUoZiZofc7BuhfJyEcUHula0AAXtMNOCR/90JwfjKasnzLYxiFuYID6rej0HJ/CdYzFTPQBweE
4dV/cBSiMFhvin84C7mruA5DMGTwjMxXgPCPZyFDX2NoathZI0KX58Fw/A2gv7dgsgqiwg0UzIaJ
7YFL/70/BlcdRu3P3pA3D6o2Hhq6Kece/Qg5wD6ctLo3TnNse/FhqPP0FnCh8YpnCfWNV4sG43RM
Zx7GY9LdVr472+DaMglc0KgK0z8tZhtY14wKRP2pKxoLdzKbX20flCRW5QqFuPAh/zALnqYNBgpd
kpgZk1ywX5ZE+JAoxrZtPhVBpVGO+1VZmOc0nDyLLn8c6p2fCqfbp4VjqbN2QHUxuK0kYT6bCfwp
Ow/XKfPs1zOi5znpECUt9JkR1jjxRFiC5c/uqc/Y3mBm0hTJH4EMGoyUTR9S7xane/2aV3Hwnng5
JEdQ+1MHkByu0cCUqFvBeNwecrXVvIXuQCqYdREIeyGi1guB7uUmpo+RAXK3H0QOpnWp6T5ugzo/
lgndv6nKNNbQytbH3JiC3SgC92UeXAQMdpIesy57SIpC8WX1+VVjVfUxt8anvMaYkGNC2ZhlmByp
O1LCesokfc6mDKjgjHIJz+1V7bQXKf6A5y4pqwhFOFa+Ca1PNYSw3xPvTU/xiD14fFkQ8ERWEzIA
sE/JJJ+mQRO+Gpr5mcC1r0lWo2qKZf8AHwoSFTE7ByigT7SrSE/01XjAeY/LxKoO+HTIpc2evML6
XpMwfLF0NY0BmVwDhiSYq9cvddmdy6GujiT/KuTk9hatiLXpZqTxiupi3zK1ShNSCqQln5QwMlKN
jHony+EbWk2PyIElvh1DjBjIGgxQnWv/wY63cu7lwRkcczMtQD5zNEUDJvgoQYMdUWqll2SztleB
Hq0d5GlxwmaT7atpcTcYFmHWrnoyVN3DoUR185VsVRT37TzvVOMaVH6zg6Ml+RbbcX3jGvrB1dn0
gPCmOFDrAI7LVHasJBaJPgNjbdcznETCHPaacvTEvpDu29YK9+SJOpGbGuFh8MZvtSvLk04ZeWLi
wMKd9FkVxVP2tUZZi6+aRMkkQQIcChLp69omAbPSc+QuBkZ4MRQ7FOTZJrCmR9OtxKYt5JNRxKeF
8AdYi9zNXW08u3MsNrac8nPaMPU1GA5+t5Gpf+kXn5qE1oWE9gmGo/FW+66Ql+Ug+wsPZzjkizZo
sFUtBnNLj1b4gL/R3dR+IBIEQsMyR1j1jSMJkv09mczY8AtHcloKq6zWDKnsWjFV2XN9DHZr2ndH
8dDnUPFgBGphLskhy2uLNgQZRxETUV6NBwuPBV2Pt75oMFvHw3DL+MVEvsFjkYQDeqZgmub3RrGp
7hLfmc+9zirGGIThIoDn0ZrWYAIxReCVoIpit9XfzaYZs01CrMHem/o+/c75HbLWRlApG0c0arym
DdS9dLA5B6pKh4wBcyjFRVqFJaNsBGNpY1gHMBH8ZpKb8JwTA53W7BITTZdaJAh5bQR5NoHQSJgb
e4cNAq95AqfCCpbPk+mET36mpusiN15ZUs/WkgnoG5Lc60afyXh1rnNhyS2ZCTnBEtl73AXtNrNU
9lS2OUp8T7nZFb2LAZ9Ov9hbWoD0Zsr4E44KiSI4tMNL5RT12Qwxwfn2cDngn7hHoWA84Pz1Xy3c
8Vx6Qny1ZUhwTp+kLGPML9YurqtpPxezuPJQF+50rDuEOFoj5EprRntZtcdxPoNFZtUy5vDuCF+x
93GDYdwgghh//nCL5yyj5OuOo4miimRpJMpNsAQbJi3V3WjPL8S5ukzSyvCNxtqdD0Zx3HTSHo52
oD978yqEFtTblj2cUEMFONGIQ0TApjSNe5AIuaGNi7l3032wSq8rAScLSEu2gVW3KrhN9oNgvs5Q
xd8shhiu5owE8mruYUNUaLCnjip18K0PWExyYJQ9bcRoQaPJiVJXZnuA10Pv2dZXmLHXu9o8M4AP
eRIBepxQWLkbb0Q8Cqfovg8WayODWu7qVbfO7xYyv54OxtyEJ8gdcVSbExhsLyzf5lUDL1Yzdr/q
4gF7Ntv8QyzPoKx7xG8Ybu2AzhqXxXDb6eYUGiH+QEN9nxr/EyiSercwHtmLTmURFGU4OA5XrLSa
0n3PHPtsyOZ9TaEoSPnFLFVALxpJxi4sv7qhWS9wxvDFVmLO9+Oq/19WJ4CxegIaRQQZWbDkzCSA
ClCrzbCrc9gWpWS/a7wvy+otqFaXQSr1F6uW8sJVcbwxZy65sT3OtOdz85JnAEjPalIYpfzee0W4
n9TyBYcvV4kPOwPCvfiK0DISmQk74tMLk69Q/MdIAP64jaUVR+nqiBidYOBwJ9QSedkLZoDvKmy+
OTor9oVLwTBMznPZ9mlUyg5oSMBftbR4/xSOje9t79D97BCkENnExXa1Z9Rukd+FVq1O4sO4IRGC
jPg5+jIG3z+wutilhudgrjkwtP2QZUSwDAkFfz6hNum9rPhqrWaRcrWN9E7p7fPBnyNE/dWeTmN5
Sc963Ol5caLBnr92aTzTG/b8zRjyHsZUyp0Im+AJSM1yK8ne4wMFHQ3Byu8nMk+k4u0PWuYvLHup
r1b+xWPju/ysLbjP9PHJK6YxoqOXoDgtxltXx/mLn3sPGL9HAliTa8eqyQ4mKY9w6jRXTFhjPmgS
np1PoStBMbqIWWe0yc4SexZMVj/hmx5IM1hWU1DmDaEJ2Mh6d6upcrcz3/PGUmZ9M5gL0tFl8o/+
5AZfRtmJlx4zUq5ifbMI28h3AwE4x1xpG3aBN4DPyCdySIWiYeKmpKVbA70OGp48EaK8b4LQvWfA
3ImIXdOgxLCUFblOV3zvWjuAwdvlCd8pc+uaKPjWOyhluiyZitHekQCKpY8wYXlb9IQPCGL6iLv3
JWkf+ecONtvXKmnOxZjGCJTrNImaxH4vvM59qGDbveGfw4m6IMOXGyPrp5P6MKtlMs3JLXTn6U2s
tjb1YXBbrW4xm+cVHIniEFbeLWbgi7hGHAigwaqnI93NnMfZG/z3OPFBNVmdD8XBzZ7JundIvc/c
LQ7QYudy1WfsopZii0iz3NXaru9b2yGMglDr7nqSVkAjNq7xZWrV4zxpA13SnumwCq6mwcRs833s
YyZcIdc7xftimuYZhxwAc3lgRJI9s5vJZ464/nNB6tADBPz4KHI/Owl3pOKNG+/cVANa94yBq9zM
KMOeEitj9j8YM2TwJW3PTOZYEKkY5U5xeT5D8R6itJxMuZmcSoGGSIgbEvgvNQrdZxEs/bvLtOEY
dHV4Uee5vnGStP1U224rWX81yZM2eA1ZuvhEqa4YEbUakA3Xh27EickOG3FP6sPtEiqbwVKh5mGX
5ayHC9qLJZT51ag6xsHifU7kamIdgomTNeidkIXYYnUlSomGkSMdD7a0TF8Gf/RAhfv9Q7FU0MBw
BRtXdMeyFwD61Z58gXIVcE/FCUsrdJ4gT4KN40jCv7vVryuIm78DW0o/qmR7Rcr3MJbUxl3V9F+r
1flrpD6aIL0kF+2HN/jDJqzLoXykgc+UUfjWYVz9xPnqLJ5LaOp10hSRMpaCaLlWuftxdSRDHWrb
rbvQBctp4O+G3CQjq1qIpLLy6gjELLm1QGXN94Gft/XNlKQ0F8JkEo1HQgxedoqFUqXh3AUIpCwL
hCvlZrYSXaXfjM5DrX+lvSKThvbdHfMwLcMNHFnYsMXkGBF9MHOHU7xqidtM2UfRZUyUTp591Knn
PlvBqt0BTav8YytZi19DL4i3Auh2cpkNQ0Yo+SzaHD1EMiJu72F+SBo17D66rS+xrxMo04Xm/dRo
7gJmYxwWF9fFoGfjTDSvOrU8k9te29mlyok5i63e/14iW34TFRFrmzZrdX6YSvXYyTDOXpB34kxw
wvEK3e8qJVgWd8vUN/hGayo5ej1+DtpDqRE1Wes/LfkodpnH7rwLu0LuO3jmr4LC+mIEGr8puB/X
vhKHmr/2vFiNvlMqU5/TySnvx9F0z4vKxsjCK7B1UxOCjZmW9i6RTPVqEVMdNLI7TBJVfIty/tpx
GoIAeI+fOqrInZ4mgvwqM98lnHUU5xh2J6vVu77wT4aqhm3Nxf2eZmG4b6WwXl102MdStmoTS4Qb
Ba1efBp1esgSe9i29YqMykqPr7dLx69FiNcdU+2NPaXhO+6cm4F3QjdQWJGyrPlImHpDKdUnl+jA
AjhB6Ix2PDfNXoWTu2tm8g4rHkqxwXuMtC4u0x2ajpTbiCG/0MRWmzr0y6ORxTZmP06SavQqJN2F
7sAMG3Pk5La9r2MHBWPoGzfaXuZ7NabHfiLUbZJ9FbnYT1oqcKPYFXOaflPKc67iOMvYaJvkGNck
JcqOjb9XxMIVaREtLQzHlo47h84436VahNfDlMhdXmXeUXqZuyMelg2zq+tzJszbICgxy3SgRiEZ
YRv2qxxT8cw0S5lNcC2RpkfQxeXOLGJnkxeh/fLByrfHlbBXQo58MVT3gvmbnAaQ+g50SLGp1fAu
oJceA2Swp7mEjGxy8Vwx7Lpnepus+ACb7oOfeGSjFa+kcKa7YQ3PtqrpM8zVizQBBLo071VefO5y
xgsERYh61+sKLN5k2zsPO9YG4U58Rn5JhgFO/02ZCC+iZiaozKggt+xWlFOPQr+5xKNb8bR0/sEU
0o+sFjp7kSTylv6DENvemfpgNygxXHeaejsXBFI0a/tnCjp1CpumIFuS+KckD8S3seKKlpNueIS/
TFSd0Vh4Puk3S9W+6XTSZ7/MCECAr3amr7VN01nR6vTARSFQOFt+OZAukib7JGu+cl+jFJsrpqjO
kpenqlcDQcGIqZ4xUHcb+j1Xtl3GT5RSj5nRNJHfav8iJaAwaqaFwrFOT/G4NNAqeqPdVkP/JTQb
9MOzvUlz66ky2PLyATeD8sBhgpMMnrFBlBvI+LijRDCg3Indx6WWgPAWaV1Uc3qZGdWLVn53nLv0
ofWwkbGT7seZ6qhKVPWQ1hZQTLM42UPlvHc4sYl0QiamjPJp8gP7u1Il44KkCjy89bjcI0ivPZ4f
r7wnZZIZT53kACdVEH8ZRC8hpg0DCsxwHu8bvOw189Q4pu2kx3HvdghTKP5LkzvOhHG2t8N7SMJI
IpXtkiCRwzLoN0GbaoOVUO48IduzRRN5XLJk4qoTb/mqlH8lmZ3fDJ5Dk4DM+RUzKjNz41mAE5DC
MBDe9SJV16jngxP/wv8lq+C7lVj3Tl6zeQQZHE0l5Hl2OVxNe3yLpSJcRxoy2YGaArjhg/5yi+m8
ZL5kqZtPLUdSVJigLHpr7QWqKkHL2vugu7yVVaip8lbLGToQJ0o6iy3Bm1oAjhiKjv7QfEmC5Yxu
DKJ/psRJJsZVHHbUOgWMK4zhZ2WCcBlt6e986RVn5dL+w63bRRWlPu5n5ESx01y2yXAHE/BdlBlP
fDy7TMGru8bBgUtjxj9VDlgD39DpgbsLDcSlNG4Y1j0zrukudGyQ6tx6iL4KuzqkQiW7rC5NCElc
zlq37wAiJ4LOha6JAnDfFUKlu55swGMeY2FO6/mLTEw6Z3q298x3UPBr+2vsDubDGLgSvR+MBASC
9fjN7fzhgb0Pu7EHqt0XTX9uG5pRmPBITDKcq6INDPosZKruWiHlMfSqK0cXeL8W20Exm41hv/MR
0vmbXKTy3HA+mhDF9jKb1SsR0/XLqtArt9JYljfGkPEUmbM0Xmvccze+KIxjzoHXQuHwp2Mg85aR
FFckZK95ugVJe24BOu7scp6/UmextBJVvma5GdzUox1jrUn7NyPzvictaI5NCHD93NCGvlsmRoRu
5o9VpDIxktzj9reWlTrL9aq3g4bql/WBLmgJdkGTyADwgeDUOjP9rSezaausrCKDZ5kVeAzGp46I
jWsTtdMQuRwGR/KwH+fE/USF4D40cYI9qpn1kXUw77y2I7cyDJ7GwGOHTyvrIRGFirrUvgnMLn4t
JxTieRkHEZZcQokKLunGxYhjyb4kwqPbNHpIL6gh9LRPvLbGhpB5/dmp2H82HlPM/JDECI1oEmFS
G+mFUdOUnrmpuNxQ3o21chkP1+1Tq5zmgtlnADyi9kOBII0e36xytN7sCwB1p9C+HjNXPOJdNL1t
0PTLc49MjhhhhrwbmwY1MSDV3F3Zveov/ZWwQZTOCBagqTLM+Uq1Ww4sLE1AHamYZlRhpqUhzbV6
rYTYZV5K6flfwOIFLO0+10cVYJVtjKmhaA3IHt8kRjEgObWnB7dXmuaTkAr5+gwwEsV6+FTAR353
U1gd2yqJGeXRU5vvZ4kwLrJZaLulWQkMfsfFe7I4oilBS7UdbPV9pLzeMSK4I2o03yy4ws5Kenrr
qn48JFnc3E3JYD3n63x66zps2EvrmrddU+OpLJohuO/wOlDxtkl9WwDIeTawipxtjL/9piSf46qd
Df0MoFdci3Ik2VShF+Py2tl3HTLn+5CUINB8ZhxeGEZqfZ2LTJ51FwwPlrVKlyDksUqJ3WtTcvcC
jP9BlwL9cZkAk/eKZ2LbkwcDH69FlXVNh39124atXSCKtmZ3r73R5Zsuc8xtbZJvJ9ndLklHwggh
HxbWX9C0YvGTc06KEgHL6fy9wGb2EpsdhdriEUBCp6NFgRcCgU7yrHnuPbfejwanblI7HGY8Ulsu
O9lOJF1+UAbISIiN5UUbT/5pGIXeKWJULpVZwaSU6Ekva4Ron3Re6YldFrZeaoxO5LVOzHaijTsl
G3WNADI4luCrdt2wqAOuECeyleQpMVrkUQF63c90bw0OsVE9Cuq7y7Zuxn2vqf5pZ/p0aYz0fk7z
IQrCBOMfs4woUV151evwzRhMsqXMEuBN6uqtMS/mFcJPgMc5csmssU91aga3uGvg+s7ugDjNR6gI
jghMEreOnooxot/cnrs07K9gVsjLwAu/Erho7oYYEXoezK/JXGI2dHB8x0FOW9GMS3pl7fwEqine
+zjHd8rC2GjwoB9SYNHRgBzgJDtY1lEtq9nahMGyTe3J3KKbZiDrIrszxNK+ZAhiI64KyxEXNNpR
3+z628Cv6QObYVFsK9caivvJTck1SzlsclfWkn7WIC8NH2WCy/iGHiuKiLlO96ZEFBgCEnblwp+L
+K6zp/lm1BV94EE+hZ312U7YrIlc2mXI/LZ0Sl7DCqMQrLJsO8LLhCRciC0I2npvmRJxvAPNMclB
aiuuCmSHILsCZ5Ukyw1oHPKW8uZZdU1+6yU9uXIWJsxGH4bFGb4YE2MQC2KGLUyxFwsV8oSc76AG
Duop6F/LMG/uxr6562urmDeiDjjazfUimBbGDbGGcxQLKz01mDQv8UC8O4bfX304jVv2f6whC4I7
B4uMHt01+ni6ZKA+YaJqnj9msf8dW//T2JrDG33qvx9bP792KRmL+kf6BIr89cd+m10jj/oF6Syt
wN90XEyhf59dQ5/4FUjB+PhfY2uHgFxBX3gNMvAQJdv8Xb8ruNxfwMGhw8Uj6aOq4mX+g7H1j/JI
pGB0ChBK4MNkZv0RoPODJB1MQ9MbXc9AYSjKJaqyqb8DdKeJMh+b7ssfPpi/8Nf8qE3/eDEUxKvd
JXRQp/8stU7cySn8VDt3qTGrl8qprccZNc4TgloWoGcJfBkEaLyGQ94e/xcvjUtUrBkYhEr/ZH7J
DGlOmv7CHYGYvHQImW03zCNUb7/3zEeb7Y5RqGhBS+FqhA/69y//o4B6/c1RBVhYDMKAQdCquvvh
Y7bsjHD0vLDvCohPdPqNAfu70P2izlm9vtxUkmv1969p8Yz8QY/w24vyqDj0Iz3w5T8r21UV9wk4
nztw0BZyt8A+Wcxwmz2MlPBJafoYTmavLFSzBy0CH1W/ewoAeQFKyo4ar2an8hNwXB1opni3LGCj
PQYmK4hwEObFoGJaexlAHsR2ysQUPzFTt6O//z1WCeH/l1X8+mt4KI9cD1cNqvCfHBrBGNj95KfW
ndlTJckeu8tU9HLaBx0OfHyU9cW08tr//lV/dEv99qr4Ajzmqbxw+NM35hkIJCa3Ne/yFQxOf4Zo
Nr9Kv4t8oswyCU5xHWVeM8FBBPCB0/371//zwvRtM+AmDFmG5+bntTKEYQXLZTLhDa2ZBuuC4aIH
zmxozOu/f6mf9PYfvyt8UVZWIHjBP3mJ4tnXlRC9eedkIdEUVPNyD5sKglps2907IBbndRDeujpF
WUZQplksRu4jaSdB9R++7r/6xTFus1vCPWVO+tNTazlGHTYiFnc9WsAmcoAk1pfU2mLYIH4P/xeL
xMeMzrrkv/B3fvLkmConW8serLu2o0akXQGK/yOE4iOShNGvQ1uiq7lgZDzlIYjv63IIJ67duYne
zMyX+sLwQP4nDGORTAoruNRyAGGuEVWnKaJF/tacVUbZS6ppiBSw2P/DF/gX24tv8f3B8XCB5Pxs
YsqLJO4DZCN3Mem5zX7xIap/PDeTLtVL22KXg+/BvjfzAX4A1uFUYQbr5rA54u0BA5FB8SkOy7jQ
fTGJIXj/iC35+/f5V28TBjKCK4yijvuz69HgFjCAhTPvXGxXZIusxGFTwR42BZkKcOD/6cleT9Af
9g5PuDzVaKeRKSMO+/kVS51YuZBzdzcCwr9wdem+QvVZ/8cGS9ILe7ptbQ+SfZzFwJjFkKfkQzLg
fcj6NY/Urmb9btcDT7pgBxAGiyCzHTbO9Zn4+IgAkXB4ESQJy3/w64uPCCkD+PjJojCGc9HX/2CQ
+dUu+cctkcNa8D3bPLkWGv2fk4eWQIZ+AyLnDo4L0z01L+029438hkRbbugV08AR3MvA5MdyQdKQ
8glbdB9C/sk3uMNsEc2TQnCaW8zFS+3vhw8+Tep1IM0qM6HfRygsAzxEVQzCRToaAMvLRG+FX9ct
EZor8sYJ/RSBtyVYGXkHD4cjYEXjrHIJJ1DVHbTS9CLoyvwSkF59PeQxJXsAR45pv1UAkpt9eWPW
c/EmZGdu0S1xP7Rgnire35C+z/gWvLOeUyT4mvP7LEIXf2Nj5+q2+eD50HPHHQoLDyK+nwbNBsq/
oZ76qiA9xY59/yHEUCWwcUDSwjgxNHBL3AR0TuiRQBN52gq+YtSgm1mVnZbHBS87Kre+dxCXwsk3
TnFgOpdW0jM8U0N8FtDCHuZxMJl6wsNt7/AJmjS0XV25DHUtQrhBqCt16ydlQcs7dNJ4G+Tk4iRp
z7EreUZ8FFPAXWqUcg1GjWRHaRDufPSqvLvadV+Rx1AmVAG7DSUgG/GwJtt02cyPzX5H1kFs01/B
zlvQtDcBF13SIZY9J7PJfU8x7+gFuCX7g73k2XVzCRUJIlMyf+CZVDYFJ3R76TX5SfotQD6Fvgey
PzzJvN0CrUiuW8tp9y129bpBMjcKsXw2uwDwAsO/LXQPbvm6rulANd0BUHS85wZYfyFV1P1MfC3a
WU+l7zwo07ekj3O9WdKk2oqerydKY10d2kS5uFP8IeLBKoVNOk41TchVyBndYHd/dxp68BMcJvVo
uEEmEZQHnXTOVYV/69EfIA6FjNoBSvjb0i9JjcO07vhrQwrLRGzxT1QBFg4nSGIGnIFsRppU4rcy
Q/XZSAc0yWUoc25bczOXwZ6gNIqfBfQ8s3c+6WolPogkoBhiB3deGyg50LSKUc0MCOLiE0E0fGNz
rDkU5hmE++CvOR5cQElxmXkqQViZHKYOIm07ApWiXkJyrombMhe+VPRXRiQQ+G/HcOTxqhLGD4TO
smVnDjoDP4DfuMxkJ8XuOMIWFNSrwHXZjUpynz6S20bL6t47cl9OXg8zyXDYh3ynJPasBVuwaVih
AYxtm79+blzeHDcOoraIpf8f7s6kuW1k2cJ/xfH2ZGAeFu9GPFETbVl2y2rf8IoBizRGEiNJgL/+
fQVANkFRvt1dWiAuu8MLky4WilWZWZknz/m6teinjpt1+iHexNpjTq80H0oT966qdthnzBkok8Rw
1/6lqlb8jX+gFEObE4GPBlIILkab2/i1Y7I4hYanvoCukk8UgRrdk4/CxACycO46wSc7rR964qcJ
FrW1kcRwzt3CxInaUV5QiHLKZe6KpXSFllVJ38SWgIPZrqmgRRQajPpzStipXWzNsPmct7FInJCG
/7ShZgdjCLJj0BaodDcRGTbaXn0EQOFeaRpdBduQ64aeRBq9URruuapRLWnVfhqNtVfXDQ/FkeSb
4mBXLoGo1g/0vpVLEhokLX1oO+dKvEPVSxDQ0vReLrMEb5u7fv4N7lSi3zosm4c2UDjEOSomLe+/
VhPfg1rnp82ZDKrE0RJ1TRsSLKH2kyLSdw9RJrXgdIGQL3DC9I5txG+nidnCCIPjKdFqKRfMSIkU
gvA0zd0rU42zb+Ar8eZNrCGlttBcovTyAEvsLoX1Yo7IATMHB0sEBdVSU9/lk4KSWxvgUC1xERmN
qmV3+WlVAJrIFZojZmMAxwHZBN1cRj3i495snLsAGKUX2NBb3eB2mGCm1ajxOpPNProi5bb4DkMF
X75pj5C6MKP6elcXIgzC88Bttv/DMfboi7klv1EGeS/gwXLpghYtrjaGiW1LxVUlDtbhjdqoBAag
recWv/T9ptTtOY+TfgC2Yj2APAEsRa8GswUkV9zu93hc0K3E5cCg7xWgJmCf4HcprsAL1dDERs32
Y7aHH5ecHAwhNJdCjHUBR4ujX8EQyWQWcMZd0CLDmlWq4wLJDe3HKIbK/aqCdv6m0/KhRGp6cBWz
prTv8PytEaDXvX5oQrjtZgmK4XdwCerzHEaAD5klvn69r5xZJE59AqruW0Tx4IPr86sS7ue3+ULn
Vw21EpY2HDnrsEcVzxVqb6iG1J/rxrc8QCmcV9r811daCBj10jc58UVRMpN2Jxp1pFJYDzEBpkqM
fqUCaYQX2M+Birv1Aq41JxU/UJTDP3KtpYv8dl0gKR0CJyHDzXW0hIcFhnqQkyAYYU3211/QRzM9
PYrUR23icAcgb4Vrqh31cQ+TLhTjGknMC+w80mug/rJvlk8P1SxX92jniSfEExEjl+C5L4qUxs/2
wntAg+rbAXGBRzjoKUliupWLPVfax23OX5LN52epRJR2gFUSpQ4RMbZuszko7KgsgYJJdwKe/WBm
dFdqzoTOHm19WWy33GTEqhXZrnYvo72aHC4LMZ3A4inicGF4GYgHHcocBE+SeMOxOjTAmW39oF+D
8VIhki19zBEMsyHZT6GMEZQF3PIBWx6OlRjxvCAUyp17uAZvm9CkXGjSk2k+1AXU+NTphdLPpFBM
z6iFZeHT7tdNrXBtTbYG+nkp+GoXWasEZLbFv062gZZ/UWkKZ4ssYhYaIiD1Poxa21dr0eQm9VWM
PKGIL67kVKqgEVyzJ9oF6GyRuLjvIg27IAwrrMp4nHbvUlXArdVVVtzWdth8L3BDf7T706BuexOR
CLhBHNiIP9pbhy3iKJACIfG2ex/4DbLf3YYAn+P8yGxgDrN1gRTVJIIaLwHJ4fkWuZR2V1h1zKEA
UYj6FFwQN2q+QWLVFNmGuJyE6QyeZxWSGXODJYJAaTKzc40kBK32CCKF4oEm+zW7j3IU5FNwN5c3
DYFQAd2+pt6rBo/AllMfzcBK4e9OfE6WvcjxMDaCWtdpxqZB7wVrr4fqJ9PWDn9wU2dTK9B6b2cV
/Q1gezhfdBVCZJ0ubBabyqRw31XEKungZ0gG4YBA5Pt6Ax/jrsIopH6xW1znEwelsE0r2BVt6Zu9
0vOG7wWtXj90oocZVzXallD78k1yy+C7d1QU9rQsTi4jo6jBiBALHb7sVCesb6vtbhN8UstISedo
MKv3QFiZhelUrAeNAOx2RV0cisfK3BKE+JPY/arsMyGBB4bhmqOy/2xQFP6yder1JzhmUWZeIGtG
lfbWhOv1whaqL/vYj3744B8vbMHio4Prj2e7VOcAo1X9gIYiHqkJKbFXpDxdIpTG+hpHDescZvyg
qUnHCGIdkX6tbJxmd+HnKRQRu3o9D7Ms+qgbparO8JrrOTf7+nZDLhsWiCzbgDvV0x9unRAvWFqN
MSTIhJWz1EBE1nVZKe9zYfzfg2kiEekGATHV1oAmClnpZD5JNbIwZNmQyUkW+8kXP6KyNCvWGX/m
rsoi6eah/kwGEBY2fY/BgdcMTY0dMc5ahHR54NQPsY/8WUIOfraFI/9De1GOUbz6sNddjqob5BDR
K0hMfV4cbJJNQFaRp1vsmWndOpNFgN0+mGEa00Eg9IpiN0PnU/hwFTjW1wVEBT7oAWHsFDiWYNSJ
MqE0gk1LrdpewMVfC8W1FJEl1zfm+8xV7/3adFHxqsqldqBPBQSdMecOxu+6sTT8J7VRduvax1od
wFA+7vjmWWs33SjGOKI4rF81+YYzkYh4M1u4zt26ADZ2CYcoNro2sm/0Xu4v0gq7V+QcoQpBuZtw
AYgEDbRrS3TaXBwOYOVm3O2CW42Ky8rYWUoJ2HjLiasmoGTMOHfvJl2EkSMeNcEzr4E1oHBrHxR7
zoWtrkSrPQgKGhhuUhpfr+kSAuPtlJXpKfFBfaSPgZSd6WKVyPOwJDasmuSaFho3ibWFY7Foi3yk
hdQCGmvr81Yotjj4why0IbOprH8gB1eDut+slWs/XtvOldVU2jXfHDwGxbb+Ez6tw10A2ONPwJzx
ZckJwTpz2zlc4xAFZMJaA9FqjGzyGZktmE0RQoblVC909Ad8c/K0zXRzGbnbwwp4z462mrr8utf2
iOMSVyGJkZXKnSooUxNBniqawhBkbTlVc/jK8qscWeD3pl6H95DxoQoYWeG/11nlf7GI8evZdp00
ELvB1No4ZnPv6tniz2Bix08pqjQgEltSV7AzELweWrLXBGo9VUBtaR4o3F2vZ/xfU+HpH0Q00l+1
HJd/bFdF87AqtwDdnksg4t1W9PsRNH0VVs3f/dDvB3q3agftakZPKfkLMQPM7wn1OFnEQcWonVI7
ld+NkHjMeLuEVkB3aXbUyV3pFEvEC/qnJIUZuHt74lIfIjtME7/R0rIIYSi+8GiJXluE3z9ft5q/
/8zgCV7lPxAZqr+2CCdDHC2Chii9hXHQKAkcP71jTckh6jrUo93Tk7wf19PDN9LNqaPY+bkrX26B
15/entJPalkUzLotQHnneBFU1UXPy9bIAXbUPKNbBICs5GP/yjl4fRGMKe09uAf6s9rXyU5QVXXK
FqE8gxiPeLFI49oJuqm/YNp9xRq8vgr21IQIydUtu1sFCqvHW8F2phbKBXDc9O93J29E1oDip07d
TmovGMrUUE1T1I/ProKDuRCadNC5dQdmdKtgc1+VXQR1atqmasIe2T3kiVWwWQRIHumD747eiPaA
StVH8uktY6oaUNtRUui2AG7v+CCopjYVfKGgC0ZoDYWCotQJ0A04tTnoAAjOngAXch/d5YxAmda+
RrcHNMO0ZFfB0KfcZyxHkI53r5NNoClTVkBVTANvMS5vAPSEoqjcJnAQnnFMEzKLsxaA5wYgBCze
Gp39cxyBY5J7egGMEk1Ven8EOOfHFsA2kfmBLxjsRLc3xncEdEuADKRWwbCnhmFBZgcM7OwRUPCV
lgic+tBwdNYQQVuB7JBaBcwhmCpRBO9iv9NLEhfuKdAZGCudbtuNyRmCZJJ9fs2Zmi4BEayGZy0B
AZHhEA5pTv+B0RkEQX8texZ0bQoJnuagbXp+FXTOCvdoQ+md4vhWQef2InkW2ssghlER/uXYIBIN
TE2AomKl2/UZ3VGgUVwg0uRMAQ8JIhbAWB8YntwTbXeqOnSjwZffbZJuvcdkEAxb7XbmP08ZGMZU
R+wEqGlv9k/uibS8Ti0aIAGIjc4togUjYGtyu4B7MuUdxzL7vNDJ8zvmVIN5G2BlbxDHtwosgvQV
UZmq7AACwD5nchIiOZwF1HdAqP8KoVj2UZ0FoJiSe8FAZghZRlKondk7DQ5cQSenCNh7//4ILQJM
dpKrQB6Z/CHk5s83QkzMsXcgk0qugKwRudT2Nb4TQaOAtHdwCIQMofzZZ4YY8HgVXAe7ST6djHsX
TY/u3qiR7ZUNEfAOjm3YwIPPeweso437ZDP074/vRKBnIOsjdWUKzpGDT4ro3NXJFbplqkPK+VeK
aWTWkfyWrKeEIBqydhLnRzv++ERY7pS+dNqC7LHWlzSFu42sdSSVQsDAGgztgW2RSYZJ9Gd1bXRX
Bqi2DdmTgIekfMTFiFPfvk6sIgp+wOcps/XrPKIAAUD1C3L1v1tUwRwa3DwMk6x8+zq5MmAjphQt
uFb29ZsRPT+NekKDQypYNixMAJ1/MMSf/fldcu3A60hTdN80pscXZWHZx2d3a47m0pDZvU7uCux+
Ey1hCPb7mGB8NoCWFtlNQPKExiHH/nkVOLGE3BXITWBrtT4+HF1MoKEnJr0KxH/Iy6H93qeQGPDY
G4q6CrdGm0i02yuji5LJKUvfG3WqyIZmEh72t+cTg+go4A0or7r0qrevEZ4IhLxk7YI9xeWJKvP5
e6OqcCRAIGswfLdfNSa7SOpD+vmxe2BKIKPpM2WnZ8GdEj6LDuHR1hjxWd0B/eeZNO7NfeP9eayB
aOi3TBKKNi5CvLor6pj2grjKyZ4FfWo5FGyRnmkf8jSHInwk+0RzkYFpX50hHtEq6J2EgFSgpKvU
0mA9ddTe7p3EyWDxQOKK5MKvrOO4bowU24Qwj9QqgL6h2Eh/pX7eR9qklgkjNNS7u9f4rKPOjVZ2
FTSwB65mCOxh+8IHHkcKlJ/xxEiNPePVxhcvoUshe3PUqbYgO0V2tVsEYf2OV8ElD0/dVUHttd8M
o/OUBLWyq8CJcFzwmb0fbH3A8SrYNvoi9J6TdOxWoUvsj8k6co2UzSTpoHHoRacQ/ysqPF4FokYH
IUiM51izirqu9GA5iXgBLRkOFkiDfjecRE3k2XUEYwRetzsyo4sXdKulEZDzEfgAACkgXvsd//I2
SdcPkAX4GJ6t57g8JUlRTTbPLmJH0mrERb15PNkLLWbZJsOsWaPzDgR6fbrnn58FEmsKRCr8d+oc
QWqwvDBO9ail8V2jz5B9/e28ItgsFI25R7+SV2zhiaLa3WcbRmgKXNFxIWcKCJRchLesV6CqXCEB
aQLm5Yx03vGvhwh/wYP+7AeaBWGybDuBwlV5rhfotQ8898C8fL/vf5kv//d/YGj7Sb7WflA0BnXf
/atR6F8DXH9bZz9687nufvzP+wd8+dVnJ/X8l7fhqvCKp6BpH7fpp3nvrekn+r/E++6tvWN1Ndw1
5/PXTF5omf78/f/DwGV8Mq6oTkmPW0AbthkO3LaTyA8ce5tyKDSnugKaLTvyzEvCH2mxCQez7jqB
pMdOk7TwlunzLMXm67DE8iNvNqunKnzaVoPB21YF2cEvV4m394rV8cgdCFh65LCsivCpepf+eIe6
ynb9fbjssC2+wS68ZtXD5eD3JMwVwE3Z+d+s0sIfTrkHQ8qOfMuKh+HzDMVGUTt8oezA86UXDDYg
0qoCsiY9LtwkmzQsn0dqp9zhoKSH3ixD78SKQAf2Br/fPN0Pt4XRQpZkJ/zhpW3q8C/SAzPA9ilu
BovcQe5kh75Ltwgini5zB9WQHfujF24G1oOS5Fu4l49e0STeZnm8HD2iQH7KZek9BdtyVVWDPd3X
7KXHD5+C0PeGDccdPEh+aHwBnMyDnd3XmuXHLsuQ/1FuGSx6V8R8i9FTKMRPhhaVQemh0011srk1
ta0zyY58v/peQOc1XO2uhCM/9M4b+i2gDKIqIj/w/t2tt85KdLwHB5PxRb3hLcZ/vyrK1cBS9Qns
txj846oOnwZurG9FeYvBv6VF/LwG7f2gSzlLD50WVfBu5hUotw69WY+df5svuPTi07Pf9SrJDv8p
CIcr3nUDSw8bJ0Qkw1sNjcYivS09dLHyTzkd2s5F2YE/r1AHaJKdd3JNgPdOJKRlh38I0uXq3bx8
4ds6xIzs8F/S7SsbUSCy3iDg7r7g5UbsAV+y839k9VdluRpYrj7/Kz/2K/LlR4whg0zAUYbldzfs
PysveN4Ywqb0KUrZ6X5dFWs822DkLvknPXLIzeZke/csCLJD/55rX3Kh/70qq3dfz02+A9dITz4s
n9JNGQ4itz7tLj02tK2IEAx+TavN4v1+5HOZpp+tIC/zT8/0MOf+2TC5Jj7xlKy84l//DwAA//8=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13</xdr:col>
      <xdr:colOff>266700</xdr:colOff>
      <xdr:row>26</xdr:row>
      <xdr:rowOff>76200</xdr:rowOff>
    </xdr:from>
    <xdr:ext cx="781050" cy="3409950"/>
    <xdr:pic>
      <xdr:nvPicPr>
        <xdr:cNvPr id="631869744" name="Chart1" title="Chart">
          <a:extLst>
            <a:ext uri="{FF2B5EF4-FFF2-40B4-BE49-F238E27FC236}">
              <a16:creationId xmlns:a16="http://schemas.microsoft.com/office/drawing/2014/main" id="{00000000-0008-0000-0100-00003091A925}"/>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xdr:spPr>
        <a:xfrm flipH="1">
          <a:off x="12753975" y="7505700"/>
          <a:ext cx="781050" cy="3409950"/>
        </a:xfrm>
        <a:prstGeom prst="rect">
          <a:avLst/>
        </a:prstGeom>
        <a:noFill/>
      </xdr:spPr>
    </xdr:pic>
    <xdr:clientData fLocksWithSheet="0"/>
  </xdr:oneCellAnchor>
  <xdr:oneCellAnchor>
    <xdr:from>
      <xdr:col>4</xdr:col>
      <xdr:colOff>952500</xdr:colOff>
      <xdr:row>0</xdr:row>
      <xdr:rowOff>0</xdr:rowOff>
    </xdr:from>
    <xdr:ext cx="9705975" cy="7277100"/>
    <xdr:graphicFrame macro="">
      <xdr:nvGraphicFramePr>
        <xdr:cNvPr id="2" name="Chart 2"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4</xdr:col>
      <xdr:colOff>666750</xdr:colOff>
      <xdr:row>26</xdr:row>
      <xdr:rowOff>142875</xdr:rowOff>
    </xdr:from>
    <xdr:to>
      <xdr:col>10</xdr:col>
      <xdr:colOff>209550</xdr:colOff>
      <xdr:row>36</xdr:row>
      <xdr:rowOff>28575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5005BCDC-9248-961A-5E0F-35A02CEF77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10225" y="75723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0" y="0"/>
    <xdr:ext cx="8610600" cy="6276975"/>
    <xdr:pic>
      <xdr:nvPicPr>
        <xdr:cNvPr id="1156793524" name="Chart3" title="Chart">
          <a:extLst>
            <a:ext uri="{FF2B5EF4-FFF2-40B4-BE49-F238E27FC236}">
              <a16:creationId xmlns:a16="http://schemas.microsoft.com/office/drawing/2014/main" id="{00000000-0008-0000-0200-0000B444F344}"/>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xdr:spPr>
        <a:prstGeom prst="rect">
          <a:avLst/>
        </a:prstGeom>
        <a:noFill/>
      </xdr:spPr>
    </xdr:pic>
    <xdr:clientData fLocksWithSheet="0"/>
  </xdr:absoluteAnchor>
</xdr:wsDr>
</file>

<file path=xl/drawings/drawing3.xml><?xml version="1.0" encoding="utf-8"?>
<xdr:wsDr xmlns:xdr="http://schemas.openxmlformats.org/drawingml/2006/spreadsheetDrawing" xmlns:a="http://schemas.openxmlformats.org/drawingml/2006/main">
  <xdr:absoluteAnchor>
    <xdr:pos x="0" y="0"/>
    <xdr:ext cx="8610600" cy="6276975"/>
    <xdr:graphicFrame macro="">
      <xdr:nvGraphicFramePr>
        <xdr:cNvPr id="4" name="Chart 4" title="Chart">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te_HUB_Data" displayName="State_HUB_Data" ref="A1:I51">
  <tableColumns count="9">
    <tableColumn id="1" xr3:uid="{00000000-0010-0000-0000-000001000000}" name="States "/>
    <tableColumn id="2" xr3:uid="{00000000-0010-0000-0000-000002000000}" name="Targeted Business Defintion "/>
    <tableColumn id="3" xr3:uid="{00000000-0010-0000-0000-000003000000}" name="State Agency(s) for Program(s)"/>
    <tableColumn id="4" xr3:uid="{00000000-0010-0000-0000-000004000000}" name="Year"/>
    <tableColumn id="5" xr3:uid="{00000000-0010-0000-0000-000005000000}" name="Total HUB Goal "/>
    <tableColumn id="6" xr3:uid="{00000000-0010-0000-0000-000006000000}" name="Goal Type (spending or participation)"/>
    <tableColumn id="7" xr3:uid="{00000000-0010-0000-0000-000007000000}" name="Total HUB Spending Utilization "/>
    <tableColumn id="8" xr3:uid="{00000000-0010-0000-0000-000008000000}" name="Total Annual Spending (if available)"/>
    <tableColumn id="9" xr3:uid="{00000000-0010-0000-0000-000009000000}" name="Success (%)"/>
  </tableColumns>
  <tableStyleInfo name="Full Spreadshee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C51">
  <tableColumns count="3">
    <tableColumn id="1" xr3:uid="{00000000-0010-0000-0100-000001000000}" name="States"/>
    <tableColumn id="2" xr3:uid="{00000000-0010-0000-0100-000002000000}" name="Success (%)"/>
    <tableColumn id="3" xr3:uid="{00000000-0010-0000-0100-000003000000}" name="Spending ($)"/>
  </tableColumns>
  <tableStyleInfo name="Data Visualization-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klahoma" displayName="Oklahoma" ref="A1:G313" totalsRowCount="1">
  <tableColumns count="7">
    <tableColumn id="1" xr3:uid="{00000000-0010-0000-0200-000001000000}" name="Total Spending" totalsRowFunction="custom">
      <totalsRowFormula>SUM(A2:A312)</totalsRowFormula>
    </tableColumn>
    <tableColumn id="2" xr3:uid="{00000000-0010-0000-0200-000002000000}" name="DBE Spending" totalsRowFunction="custom">
      <totalsRowFormula>SUM(B2:B312)</totalsRowFormula>
    </tableColumn>
    <tableColumn id="3" xr3:uid="{00000000-0010-0000-0200-000003000000}" name="Goal"/>
    <tableColumn id="4" xr3:uid="{00000000-0010-0000-0200-000004000000}" name="Attainment"/>
    <tableColumn id="5" xr3:uid="{00000000-0010-0000-0200-000005000000}" name="Proportion"/>
    <tableColumn id="6" xr3:uid="{00000000-0010-0000-0200-000006000000}" name="Goal (weighted)" totalsRowFunction="custom">
      <totalsRowFormula>SUM(Oklahoma[Goal (weighted)])</totalsRowFormula>
    </tableColumn>
    <tableColumn id="7" xr3:uid="{00000000-0010-0000-0200-000007000000}" name="Attainment (weighted)" totalsRowFunction="custom">
      <totalsRowFormula>SUM(Oklahoma[Attainment (weighted)])</totalsRowFormula>
    </tableColumn>
  </tableColumns>
  <tableStyleInfo name="Oklahom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hyperlink" Target="https://state.1keydata.com/alabama.php"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3" Type="http://schemas.openxmlformats.org/officeDocument/2006/relationships/hyperlink" Target="https://www.codot.gov/business/civilrights/assets/federal-highway-administration-overall-annual-dbe-goal.pdf" TargetMode="External"/><Relationship Id="rId18" Type="http://schemas.openxmlformats.org/officeDocument/2006/relationships/hyperlink" Target="http://doas.ga.gov/state-purchasing" TargetMode="External"/><Relationship Id="rId26" Type="http://schemas.openxmlformats.org/officeDocument/2006/relationships/hyperlink" Target="https://mgaleg.maryland.gov/2024RS/bills/sb/sb0154f.pdf" TargetMode="External"/><Relationship Id="rId39" Type="http://schemas.openxmlformats.org/officeDocument/2006/relationships/hyperlink" Target="https://www.dot.nd.gov/sites/www/files/documents/civil-rights/DBE-Program-Guide.pdf" TargetMode="External"/><Relationship Id="rId21" Type="http://schemas.openxmlformats.org/officeDocument/2006/relationships/hyperlink" Target="https://www.kcata.org/documents/uploads/KCATA1827DBEProgram.pdf?" TargetMode="External"/><Relationship Id="rId34" Type="http://schemas.openxmlformats.org/officeDocument/2006/relationships/hyperlink" Target="https://www.nvsilverflume.gov/home/nevadaDisadvantagedBusinessResources" TargetMode="External"/><Relationship Id="rId42" Type="http://schemas.openxmlformats.org/officeDocument/2006/relationships/hyperlink" Target="https://www.okcommerce.gov/wp-content/uploads/Minority-Business-Certification-Programs.pdf" TargetMode="External"/><Relationship Id="rId47" Type="http://schemas.openxmlformats.org/officeDocument/2006/relationships/hyperlink" Target="https://publish-p131054-e1276845.adobeaemcloud.com/content/dam/scdot-legacy/business/pdf/businessdevelop/FFY_21-2023_Goal_Setting_Methodology.pdf" TargetMode="External"/><Relationship Id="rId50" Type="http://schemas.openxmlformats.org/officeDocument/2006/relationships/hyperlink" Target="https://comptroller.texas.gov/purchasing/vendor/hub/disparity/" TargetMode="External"/><Relationship Id="rId55" Type="http://schemas.openxmlformats.org/officeDocument/2006/relationships/hyperlink" Target="https://wvdbesupport.com/faq" TargetMode="External"/><Relationship Id="rId7" Type="http://schemas.openxmlformats.org/officeDocument/2006/relationships/hyperlink" Target="https://www.census.gov/quickfacts/fact/table/AK/PST045223" TargetMode="External"/><Relationship Id="rId2" Type="http://schemas.openxmlformats.org/officeDocument/2006/relationships/hyperlink" Target="https://www.urban.org/policy-centers/cross-center-initiatives/state-and-local-finance-initiative/projects/state-fiscal-briefs/alabama" TargetMode="External"/><Relationship Id="rId16" Type="http://schemas.openxmlformats.org/officeDocument/2006/relationships/hyperlink" Target="https://www.urban.org/policy-centers/cross-center-initiatives/state-and-local-finance-initiative/projects/state-fiscal-briefs/florida" TargetMode="External"/><Relationship Id="rId29" Type="http://schemas.openxmlformats.org/officeDocument/2006/relationships/hyperlink" Target="https://mn.gov/admin/business/vendor-info/oep/sbcp/tg/" TargetMode="External"/><Relationship Id="rId11" Type="http://schemas.openxmlformats.org/officeDocument/2006/relationships/hyperlink" Target="https://www.urban.org/policy-centers/cross-center-initiatives/state-and-local-finance-initiative/projects/state-fiscal-briefs/arkansas" TargetMode="External"/><Relationship Id="rId24" Type="http://schemas.openxmlformats.org/officeDocument/2006/relationships/hyperlink" Target="https://www.urban.org/policy-centers/cross-center-initiatives/state-and-local-finance-initiative/projects/state-fiscal-briefs/kansas" TargetMode="External"/><Relationship Id="rId32" Type="http://schemas.openxmlformats.org/officeDocument/2006/relationships/hyperlink" Target="https://www.mdt.mt.gov/business/contracting/civil/certification.aspx" TargetMode="External"/><Relationship Id="rId37" Type="http://schemas.openxmlformats.org/officeDocument/2006/relationships/hyperlink" Target="https://esd.ny.gov/mwbe-certification-eligibility-requirements" TargetMode="External"/><Relationship Id="rId40" Type="http://schemas.openxmlformats.org/officeDocument/2006/relationships/hyperlink" Target="https://codes.ohio.gov/ohio-administrative-code/rule-123:2-14-01" TargetMode="External"/><Relationship Id="rId45" Type="http://schemas.openxmlformats.org/officeDocument/2006/relationships/hyperlink" Target="https://www.pahousegop.com/budget2024?utm_source=chatgpt.com" TargetMode="External"/><Relationship Id="rId53" Type="http://schemas.openxmlformats.org/officeDocument/2006/relationships/hyperlink" Target="https://dashboard.sbsd.virginia.gov/report/swam-spend" TargetMode="External"/><Relationship Id="rId58" Type="http://schemas.openxmlformats.org/officeDocument/2006/relationships/hyperlink" Target="https://www.dot.state.wy.us/files/live/sites/wydot/files/shared/Management_Services/Annual%20Reports/AR_2023_Final%20(24-7-18).pdf" TargetMode="External"/><Relationship Id="rId5" Type="http://schemas.openxmlformats.org/officeDocument/2006/relationships/hyperlink" Target="https://dot.alaska.gov/cvlrts/pdfs/Alaska-DOTPF-FTA-FFY2021-2023-DBE-Goal-Methodology.pdf" TargetMode="External"/><Relationship Id="rId19" Type="http://schemas.openxmlformats.org/officeDocument/2006/relationships/hyperlink" Target="https://defenseeconomy.hawaii.gov/small-business/" TargetMode="External"/><Relationship Id="rId4" Type="http://schemas.openxmlformats.org/officeDocument/2006/relationships/hyperlink" Target="https://www.urban.org/policy-centers/cross-center-initiatives/state-and-local-finance-initiative/projects/state-fiscal-briefs/alaska" TargetMode="External"/><Relationship Id="rId9" Type="http://schemas.openxmlformats.org/officeDocument/2006/relationships/hyperlink" Target="http://www.ahtd.ar.gov/dbe/DBE%20Uniform%20Certification%20Application2.pdf" TargetMode="External"/><Relationship Id="rId14" Type="http://schemas.openxmlformats.org/officeDocument/2006/relationships/hyperlink" Target="https://deldot.gov/Business/dbe/contentFolder/pdfs/dbeProgram.pdf?cache=1739994787952" TargetMode="External"/><Relationship Id="rId22" Type="http://schemas.openxmlformats.org/officeDocument/2006/relationships/hyperlink" Target="https://www.kslegislature.gov/li_2024/b2023_24/measures/documents/sb464_00_0000.pdf" TargetMode="External"/><Relationship Id="rId27" Type="http://schemas.openxmlformats.org/officeDocument/2006/relationships/hyperlink" Target="https://www.mass.gov/doc/dbe-goal-for-fta-assisted-contracts-ffy2022-2024/download" TargetMode="External"/><Relationship Id="rId30" Type="http://schemas.openxmlformats.org/officeDocument/2006/relationships/hyperlink" Target="https://mdot.ms.gov/documents/Civil%20Rights/Programs/DBE/MS%20Unified%20Certification%20Program%20Letter.pdf" TargetMode="External"/><Relationship Id="rId35" Type="http://schemas.openxmlformats.org/officeDocument/2006/relationships/hyperlink" Target="https://business.nj.gov/pages/government-contracting" TargetMode="External"/><Relationship Id="rId43" Type="http://schemas.openxmlformats.org/officeDocument/2006/relationships/hyperlink" Target="https://www.orapexaccelerator.org/hub-zone-small-business" TargetMode="External"/><Relationship Id="rId48" Type="http://schemas.openxmlformats.org/officeDocument/2006/relationships/hyperlink" Target="https://www.tn.gov/generalservices/procurement/central-procurement-office--cpo-/go-dbe.html?utm_source=chatgpt.com" TargetMode="External"/><Relationship Id="rId56" Type="http://schemas.openxmlformats.org/officeDocument/2006/relationships/hyperlink" Target="https://www.dot.state.wy.us/home/business_with_wydot/contractors/Disadvantaged_Business_Enterprise.html?utm_source=chatgpt.com" TargetMode="External"/><Relationship Id="rId8" Type="http://schemas.openxmlformats.org/officeDocument/2006/relationships/hyperlink" Target="https://www.urban.org/policy-centers/cross-center-initiatives/state-and-local-finance-initiative/projects/state-fiscal-briefs/arizona" TargetMode="External"/><Relationship Id="rId51" Type="http://schemas.openxmlformats.org/officeDocument/2006/relationships/hyperlink" Target="https://comptroller.texas.gov/data/purchasing/hub/fy24/hubreportfy24a.pdf" TargetMode="External"/><Relationship Id="rId3" Type="http://schemas.openxmlformats.org/officeDocument/2006/relationships/hyperlink" Target="https://dot.alaska.gov/cvlrts/aucp.shtml" TargetMode="External"/><Relationship Id="rId12" Type="http://schemas.openxmlformats.org/officeDocument/2006/relationships/hyperlink" Target="https://supplier.coupa.com/certifications/dbe-certifications-in-california/%20https:/dot.ca.gov/programs/local-assistance/local-civil-compliance/disadvantaged-business-enterprise-dbe" TargetMode="External"/><Relationship Id="rId17" Type="http://schemas.openxmlformats.org/officeDocument/2006/relationships/hyperlink" Target="https://www.fdot.gov/equalopportunity/civilrightsprograms.shtm" TargetMode="External"/><Relationship Id="rId25" Type="http://schemas.openxmlformats.org/officeDocument/2006/relationships/hyperlink" Target="https://www.mainedbe.com/become-certified/" TargetMode="External"/><Relationship Id="rId33" Type="http://schemas.openxmlformats.org/officeDocument/2006/relationships/hyperlink" Target="https://nebraskalegislature.gov/FloorDocs/106/PDF/Intro/LB1218.pdf" TargetMode="External"/><Relationship Id="rId38" Type="http://schemas.openxmlformats.org/officeDocument/2006/relationships/hyperlink" Target="https://www.doa.nc.gov/divisions/historically-underutilized-businesses-hub/certifications/swuc" TargetMode="External"/><Relationship Id="rId46" Type="http://schemas.openxmlformats.org/officeDocument/2006/relationships/hyperlink" Target="https://dedi.ri.gov/media/1001/download?language=en" TargetMode="External"/><Relationship Id="rId20" Type="http://schemas.openxmlformats.org/officeDocument/2006/relationships/hyperlink" Target="https://apps.itd.idaho.gov/apps/ocr/documents/DBE_Goal_Methodology_Proposed.pdf" TargetMode="External"/><Relationship Id="rId41" Type="http://schemas.openxmlformats.org/officeDocument/2006/relationships/hyperlink" Target="https://ohiombe.com/archives/15728?utm_source=chatgpt.com" TargetMode="External"/><Relationship Id="rId54" Type="http://schemas.openxmlformats.org/officeDocument/2006/relationships/hyperlink" Target="https://omwbe.wa.gov/sites/default/files/public/spend-reports/annual-reports/OMWBE-FY-2022-Annual-Report.pdf" TargetMode="External"/><Relationship Id="rId1" Type="http://schemas.openxmlformats.org/officeDocument/2006/relationships/hyperlink" Target="https://www.aamu.edu/about/administrative-offices/bulldog-transportation-service/_documents/aamu-dbe-goal-methodology-document.pdf" TargetMode="External"/><Relationship Id="rId6" Type="http://schemas.openxmlformats.org/officeDocument/2006/relationships/hyperlink" Target="https://dot.alaska.gov/cvlrts/pdfs/Alaska-DOTPF-FHWA-Disadvantaged-Business-Enterprise-Program-Plan-2024.pdf" TargetMode="External"/><Relationship Id="rId15" Type="http://schemas.openxmlformats.org/officeDocument/2006/relationships/hyperlink" Target="https://www.fdot.gov/equalopportunity/dbecertification.shtm" TargetMode="External"/><Relationship Id="rId23" Type="http://schemas.openxmlformats.org/officeDocument/2006/relationships/hyperlink" Target="https://www.kslegislature.gov/li_2024/b2023_24/measures/hb2184/" TargetMode="External"/><Relationship Id="rId28" Type="http://schemas.openxmlformats.org/officeDocument/2006/relationships/hyperlink" Target="https://www.michigan.gov/whitmer/news/state-orders-and-directives/2019/01/04/executive-directive-2019-8" TargetMode="External"/><Relationship Id="rId36" Type="http://schemas.openxmlformats.org/officeDocument/2006/relationships/hyperlink" Target="https://www.nmlegis.gov/Sessions/22%20Regular/bills/house/HB0160.HTML" TargetMode="External"/><Relationship Id="rId49" Type="http://schemas.openxmlformats.org/officeDocument/2006/relationships/hyperlink" Target="https://www.tn.gov/content/dam/tn/generalservices/documents/cpo/godbe/events-and-publications/publications/annual-report/Annual_Report_from_FY20-21_FINAL_on_12-22-21.pdf?utm_source=chatgpt.com" TargetMode="External"/><Relationship Id="rId57" Type="http://schemas.openxmlformats.org/officeDocument/2006/relationships/hyperlink" Target="https://www.dot.state.wy.us/files/live/sites/wydot/files/shared/Civil_Rights_Coordinator/DBE/Program%20Plan%20FY19%20Revision%2001-12-21.pdf?utm_source=chatgpt.com" TargetMode="External"/><Relationship Id="rId10" Type="http://schemas.openxmlformats.org/officeDocument/2006/relationships/hyperlink" Target="https://www.ardot.gov/wp-content/uploads/2022/06/2023-2025-Draft-DBE-Goal-Report.pdf" TargetMode="External"/><Relationship Id="rId31" Type="http://schemas.openxmlformats.org/officeDocument/2006/relationships/hyperlink" Target="https://www.modot.org/dbe-frequently-asked-questions" TargetMode="External"/><Relationship Id="rId44" Type="http://schemas.openxmlformats.org/officeDocument/2006/relationships/hyperlink" Target="https://www.oregon.gov/ohcs/homeownership/Documents/HO%20MWESB%20SDVBE%20FAQs%209.2024.pdf?utm_source=chatgpt.com" TargetMode="External"/><Relationship Id="rId52" Type="http://schemas.openxmlformats.org/officeDocument/2006/relationships/hyperlink" Target="https://le.utah.gov/xcode/title63g/chapter6a/C63G-6a_1800010118000101.pdf?utm_source=chatgp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F1000"/>
  <sheetViews>
    <sheetView workbookViewId="0">
      <pane ySplit="1" topLeftCell="A2" activePane="bottomLeft" state="frozen"/>
      <selection pane="bottomLeft" activeCell="C2" sqref="C2"/>
    </sheetView>
  </sheetViews>
  <sheetFormatPr defaultColWidth="12.5703125" defaultRowHeight="54.95" customHeight="1" x14ac:dyDescent="0.2"/>
  <cols>
    <col min="1" max="1" width="24.42578125" customWidth="1"/>
    <col min="2" max="2" width="140.42578125" customWidth="1"/>
    <col min="3" max="3" width="38.7109375" customWidth="1"/>
    <col min="4" max="4" width="25" customWidth="1"/>
    <col min="5" max="5" width="43.28515625" customWidth="1"/>
    <col min="6" max="6" width="28.7109375" customWidth="1"/>
    <col min="7" max="7" width="31.42578125" customWidth="1"/>
    <col min="8" max="8" width="25.42578125" customWidth="1"/>
    <col min="9" max="9" width="24.42578125" customWidth="1"/>
  </cols>
  <sheetData>
    <row r="1" spans="1:32" ht="54.95" customHeight="1" x14ac:dyDescent="0.2">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c r="AB1" s="2"/>
      <c r="AC1" s="2"/>
      <c r="AD1" s="2"/>
      <c r="AE1" s="2"/>
      <c r="AF1" s="2"/>
    </row>
    <row r="2" spans="1:32" ht="54.95" customHeight="1" x14ac:dyDescent="0.2">
      <c r="A2" s="3" t="s">
        <v>9</v>
      </c>
      <c r="B2" s="4" t="s">
        <v>10</v>
      </c>
      <c r="C2" s="4" t="s">
        <v>11</v>
      </c>
      <c r="D2" s="4" t="s">
        <v>12</v>
      </c>
      <c r="E2" s="5">
        <v>8.6499999999999994E-2</v>
      </c>
      <c r="F2" s="4" t="s">
        <v>13</v>
      </c>
      <c r="G2" s="5">
        <v>7.6100000000000001E-2</v>
      </c>
      <c r="H2" s="6"/>
      <c r="I2" s="7">
        <f t="shared" ref="I2:I4" si="0">G2/E2</f>
        <v>0.87976878612716769</v>
      </c>
      <c r="J2" s="8"/>
      <c r="K2" s="8"/>
      <c r="L2" s="8"/>
      <c r="M2" s="8"/>
      <c r="N2" s="8"/>
      <c r="O2" s="9"/>
      <c r="P2" s="9"/>
      <c r="Q2" s="9"/>
      <c r="R2" s="9"/>
      <c r="S2" s="9"/>
      <c r="T2" s="9"/>
      <c r="U2" s="9"/>
      <c r="V2" s="9"/>
      <c r="W2" s="9"/>
      <c r="X2" s="9"/>
      <c r="Y2" s="9"/>
      <c r="Z2" s="9"/>
      <c r="AA2" s="9"/>
      <c r="AB2" s="9"/>
      <c r="AC2" s="9"/>
      <c r="AD2" s="9"/>
      <c r="AE2" s="9"/>
      <c r="AF2" s="9"/>
    </row>
    <row r="3" spans="1:32" ht="54.95" customHeight="1" x14ac:dyDescent="0.2">
      <c r="A3" s="3" t="s">
        <v>14</v>
      </c>
      <c r="B3" s="4" t="s">
        <v>15</v>
      </c>
      <c r="C3" s="4" t="s">
        <v>16</v>
      </c>
      <c r="D3" s="4" t="s">
        <v>17</v>
      </c>
      <c r="E3" s="5">
        <v>5.2499999999999998E-2</v>
      </c>
      <c r="F3" s="10" t="s">
        <v>18</v>
      </c>
      <c r="G3" s="5">
        <v>0.1603</v>
      </c>
      <c r="H3" s="10"/>
      <c r="I3" s="7">
        <f t="shared" si="0"/>
        <v>3.0533333333333332</v>
      </c>
      <c r="J3" s="8"/>
      <c r="K3" s="8"/>
      <c r="L3" s="8"/>
      <c r="M3" s="8"/>
      <c r="N3" s="8"/>
      <c r="O3" s="9"/>
      <c r="P3" s="9"/>
      <c r="Q3" s="9"/>
      <c r="R3" s="9"/>
      <c r="S3" s="9"/>
      <c r="T3" s="9"/>
      <c r="U3" s="9"/>
      <c r="V3" s="9"/>
      <c r="W3" s="9"/>
      <c r="X3" s="9"/>
      <c r="Y3" s="9"/>
      <c r="Z3" s="9"/>
      <c r="AA3" s="9"/>
      <c r="AB3" s="9"/>
      <c r="AC3" s="9"/>
      <c r="AD3" s="9"/>
      <c r="AE3" s="9"/>
      <c r="AF3" s="9"/>
    </row>
    <row r="4" spans="1:32" ht="54.95" customHeight="1" x14ac:dyDescent="0.2">
      <c r="A4" s="3" t="s">
        <v>19</v>
      </c>
      <c r="B4" s="4" t="s">
        <v>20</v>
      </c>
      <c r="C4" s="4" t="s">
        <v>21</v>
      </c>
      <c r="D4" s="11" t="s">
        <v>22</v>
      </c>
      <c r="E4" s="5">
        <v>0.1255</v>
      </c>
      <c r="F4" s="10" t="s">
        <v>18</v>
      </c>
      <c r="G4" s="5">
        <v>7.9000000000000001E-2</v>
      </c>
      <c r="H4" s="10"/>
      <c r="I4" s="7">
        <f t="shared" si="0"/>
        <v>0.62948207171314741</v>
      </c>
      <c r="J4" s="8"/>
      <c r="K4" s="8"/>
      <c r="L4" s="8"/>
      <c r="M4" s="8"/>
      <c r="N4" s="8"/>
      <c r="O4" s="9"/>
      <c r="P4" s="9"/>
      <c r="Q4" s="9"/>
      <c r="R4" s="9"/>
      <c r="S4" s="9"/>
      <c r="T4" s="9"/>
      <c r="U4" s="9"/>
      <c r="V4" s="9"/>
      <c r="W4" s="9"/>
      <c r="X4" s="9"/>
      <c r="Y4" s="9"/>
      <c r="Z4" s="9"/>
      <c r="AA4" s="9"/>
      <c r="AB4" s="9"/>
      <c r="AC4" s="9"/>
      <c r="AD4" s="9"/>
      <c r="AE4" s="9"/>
      <c r="AF4" s="9"/>
    </row>
    <row r="5" spans="1:32" ht="54.95" customHeight="1" x14ac:dyDescent="0.2">
      <c r="A5" s="3" t="s">
        <v>23</v>
      </c>
      <c r="B5" s="4" t="s">
        <v>24</v>
      </c>
      <c r="C5" s="4" t="s">
        <v>25</v>
      </c>
      <c r="D5" s="4" t="s">
        <v>26</v>
      </c>
      <c r="E5" s="5">
        <v>8.5999999999999993E-2</v>
      </c>
      <c r="F5" s="10" t="s">
        <v>13</v>
      </c>
      <c r="G5" s="5">
        <v>7.7200000000000005E-2</v>
      </c>
      <c r="H5" s="10"/>
      <c r="I5" s="7">
        <v>7.7200000000000005E-2</v>
      </c>
      <c r="J5" s="8"/>
      <c r="K5" s="8"/>
      <c r="L5" s="8"/>
      <c r="M5" s="8"/>
      <c r="N5" s="8"/>
      <c r="O5" s="9"/>
      <c r="P5" s="9"/>
      <c r="Q5" s="9"/>
      <c r="R5" s="9"/>
      <c r="S5" s="9"/>
      <c r="T5" s="9"/>
      <c r="U5" s="9"/>
      <c r="V5" s="9"/>
      <c r="W5" s="9"/>
      <c r="X5" s="9"/>
      <c r="Y5" s="9"/>
      <c r="Z5" s="9"/>
      <c r="AA5" s="9"/>
      <c r="AB5" s="9"/>
      <c r="AC5" s="9"/>
      <c r="AD5" s="9"/>
      <c r="AE5" s="9"/>
      <c r="AF5" s="9"/>
    </row>
    <row r="6" spans="1:32" ht="54.95" customHeight="1" x14ac:dyDescent="0.2">
      <c r="A6" s="3" t="s">
        <v>27</v>
      </c>
      <c r="B6" s="4" t="s">
        <v>28</v>
      </c>
      <c r="C6" s="4" t="s">
        <v>29</v>
      </c>
      <c r="D6" s="4" t="s">
        <v>30</v>
      </c>
      <c r="E6" s="5">
        <v>0.17599999999999999</v>
      </c>
      <c r="F6" s="10" t="s">
        <v>13</v>
      </c>
      <c r="G6" s="12">
        <v>0.17499999999999999</v>
      </c>
      <c r="H6" s="6"/>
      <c r="I6" s="7">
        <f t="shared" ref="I6:I12" si="1">G6/E6</f>
        <v>0.99431818181818177</v>
      </c>
      <c r="J6" s="8"/>
      <c r="K6" s="8"/>
      <c r="L6" s="8"/>
      <c r="M6" s="8"/>
      <c r="N6" s="8"/>
      <c r="O6" s="9"/>
      <c r="P6" s="9"/>
      <c r="Q6" s="9"/>
      <c r="R6" s="9"/>
      <c r="S6" s="9"/>
      <c r="T6" s="9"/>
      <c r="U6" s="9"/>
      <c r="V6" s="9"/>
      <c r="W6" s="9"/>
      <c r="X6" s="9"/>
      <c r="Y6" s="9"/>
      <c r="Z6" s="9"/>
      <c r="AA6" s="9"/>
      <c r="AB6" s="9"/>
      <c r="AC6" s="9"/>
      <c r="AD6" s="9"/>
      <c r="AE6" s="9"/>
      <c r="AF6" s="9"/>
    </row>
    <row r="7" spans="1:32" ht="54.95" customHeight="1" x14ac:dyDescent="0.2">
      <c r="A7" s="3" t="s">
        <v>31</v>
      </c>
      <c r="B7" s="4" t="s">
        <v>32</v>
      </c>
      <c r="C7" s="4" t="s">
        <v>33</v>
      </c>
      <c r="D7" s="4" t="s">
        <v>26</v>
      </c>
      <c r="E7" s="5">
        <v>0.1188</v>
      </c>
      <c r="F7" s="10" t="s">
        <v>13</v>
      </c>
      <c r="G7" s="5">
        <v>0.11840000000000001</v>
      </c>
      <c r="H7" s="13">
        <f>(457623760)+(424399)</f>
        <v>458048159</v>
      </c>
      <c r="I7" s="7">
        <f t="shared" si="1"/>
        <v>0.99663299663299665</v>
      </c>
      <c r="J7" s="8"/>
      <c r="K7" s="8"/>
      <c r="L7" s="8"/>
      <c r="M7" s="8"/>
      <c r="N7" s="8"/>
      <c r="O7" s="9"/>
      <c r="P7" s="9"/>
      <c r="Q7" s="9"/>
      <c r="R7" s="9"/>
      <c r="S7" s="9"/>
      <c r="T7" s="9"/>
      <c r="U7" s="9"/>
      <c r="V7" s="9"/>
      <c r="W7" s="9"/>
      <c r="X7" s="9"/>
      <c r="Y7" s="9"/>
      <c r="Z7" s="9"/>
      <c r="AA7" s="9"/>
      <c r="AB7" s="9"/>
      <c r="AC7" s="9"/>
      <c r="AD7" s="9"/>
      <c r="AE7" s="9"/>
      <c r="AF7" s="9"/>
    </row>
    <row r="8" spans="1:32" ht="54.95" customHeight="1" x14ac:dyDescent="0.2">
      <c r="A8" s="3" t="s">
        <v>34</v>
      </c>
      <c r="B8" s="4" t="s">
        <v>35</v>
      </c>
      <c r="C8" s="4" t="s">
        <v>36</v>
      </c>
      <c r="D8" s="4" t="s">
        <v>37</v>
      </c>
      <c r="E8" s="5">
        <v>0.107</v>
      </c>
      <c r="F8" s="10" t="s">
        <v>13</v>
      </c>
      <c r="G8" s="5">
        <v>0.13300000000000001</v>
      </c>
      <c r="H8" s="10">
        <v>315029145</v>
      </c>
      <c r="I8" s="14">
        <f t="shared" si="1"/>
        <v>1.2429906542056075</v>
      </c>
      <c r="J8" s="8"/>
      <c r="K8" s="8"/>
      <c r="L8" s="8"/>
      <c r="M8" s="8"/>
      <c r="N8" s="8"/>
      <c r="O8" s="9"/>
      <c r="P8" s="9"/>
      <c r="Q8" s="9"/>
      <c r="R8" s="9"/>
      <c r="S8" s="9"/>
      <c r="T8" s="9"/>
      <c r="U8" s="9"/>
      <c r="V8" s="9"/>
      <c r="W8" s="9"/>
      <c r="X8" s="9"/>
      <c r="Y8" s="9"/>
      <c r="Z8" s="9"/>
      <c r="AA8" s="9"/>
      <c r="AB8" s="9"/>
      <c r="AC8" s="9"/>
      <c r="AD8" s="9"/>
      <c r="AE8" s="9"/>
      <c r="AF8" s="9"/>
    </row>
    <row r="9" spans="1:32" ht="54.95" customHeight="1" x14ac:dyDescent="0.2">
      <c r="A9" s="3" t="s">
        <v>38</v>
      </c>
      <c r="B9" s="4" t="s">
        <v>39</v>
      </c>
      <c r="C9" s="4" t="s">
        <v>40</v>
      </c>
      <c r="D9" s="4" t="s">
        <v>41</v>
      </c>
      <c r="E9" s="5">
        <v>0.13400000000000001</v>
      </c>
      <c r="F9" s="10" t="s">
        <v>13</v>
      </c>
      <c r="G9" s="5">
        <v>9.6100000000000005E-2</v>
      </c>
      <c r="H9" s="10"/>
      <c r="I9" s="7">
        <f t="shared" si="1"/>
        <v>0.71716417910447761</v>
      </c>
      <c r="J9" s="8"/>
      <c r="K9" s="8"/>
      <c r="L9" s="8"/>
      <c r="M9" s="8"/>
      <c r="N9" s="8"/>
      <c r="O9" s="9"/>
      <c r="P9" s="9"/>
      <c r="Q9" s="9"/>
      <c r="R9" s="9"/>
      <c r="S9" s="9"/>
      <c r="T9" s="9"/>
      <c r="U9" s="9"/>
      <c r="V9" s="9"/>
      <c r="W9" s="9"/>
      <c r="X9" s="9"/>
      <c r="Y9" s="9"/>
      <c r="Z9" s="9"/>
      <c r="AA9" s="9"/>
      <c r="AB9" s="9"/>
      <c r="AC9" s="9"/>
      <c r="AD9" s="9"/>
      <c r="AE9" s="9"/>
      <c r="AF9" s="9"/>
    </row>
    <row r="10" spans="1:32" ht="54.95" customHeight="1" x14ac:dyDescent="0.2">
      <c r="A10" s="3" t="s">
        <v>42</v>
      </c>
      <c r="B10" s="4" t="s">
        <v>43</v>
      </c>
      <c r="C10" s="4" t="s">
        <v>44</v>
      </c>
      <c r="D10" s="4" t="s">
        <v>45</v>
      </c>
      <c r="E10" s="5">
        <v>0.1065</v>
      </c>
      <c r="F10" s="10" t="s">
        <v>13</v>
      </c>
      <c r="G10" s="5">
        <v>0.12659999999999999</v>
      </c>
      <c r="H10" s="10"/>
      <c r="I10" s="7">
        <f t="shared" si="1"/>
        <v>1.1887323943661972</v>
      </c>
      <c r="J10" s="8"/>
      <c r="K10" s="8"/>
      <c r="L10" s="8"/>
      <c r="M10" s="8"/>
      <c r="N10" s="8"/>
      <c r="O10" s="9"/>
      <c r="P10" s="9"/>
      <c r="Q10" s="9"/>
      <c r="R10" s="9"/>
      <c r="S10" s="9"/>
      <c r="T10" s="9"/>
      <c r="U10" s="9"/>
      <c r="V10" s="9"/>
      <c r="W10" s="9"/>
      <c r="X10" s="9"/>
      <c r="Y10" s="9"/>
      <c r="Z10" s="9"/>
      <c r="AA10" s="9"/>
      <c r="AB10" s="9"/>
      <c r="AC10" s="9"/>
      <c r="AD10" s="9"/>
      <c r="AE10" s="9"/>
      <c r="AF10" s="9"/>
    </row>
    <row r="11" spans="1:32" ht="54.95" customHeight="1" x14ac:dyDescent="0.2">
      <c r="A11" s="3" t="s">
        <v>46</v>
      </c>
      <c r="B11" s="4" t="s">
        <v>47</v>
      </c>
      <c r="C11" s="4" t="s">
        <v>48</v>
      </c>
      <c r="D11" s="4" t="s">
        <v>49</v>
      </c>
      <c r="E11" s="15">
        <v>0.23</v>
      </c>
      <c r="F11" s="4" t="s">
        <v>50</v>
      </c>
      <c r="G11" s="5">
        <v>5.6399999999999999E-2</v>
      </c>
      <c r="H11" s="10"/>
      <c r="I11" s="7">
        <f t="shared" si="1"/>
        <v>0.2452173913043478</v>
      </c>
      <c r="J11" s="8"/>
      <c r="K11" s="8"/>
      <c r="L11" s="8"/>
      <c r="M11" s="8"/>
      <c r="N11" s="8"/>
      <c r="O11" s="9"/>
      <c r="P11" s="9"/>
      <c r="Q11" s="9"/>
      <c r="R11" s="9"/>
      <c r="S11" s="9"/>
      <c r="T11" s="9"/>
      <c r="U11" s="9"/>
      <c r="V11" s="9"/>
      <c r="W11" s="9"/>
      <c r="X11" s="9"/>
      <c r="Y11" s="9"/>
      <c r="Z11" s="9"/>
      <c r="AA11" s="9"/>
      <c r="AB11" s="9"/>
      <c r="AC11" s="9"/>
      <c r="AD11" s="9"/>
      <c r="AE11" s="9"/>
      <c r="AF11" s="9"/>
    </row>
    <row r="12" spans="1:32" ht="54.95" customHeight="1" x14ac:dyDescent="0.2">
      <c r="A12" s="3" t="s">
        <v>51</v>
      </c>
      <c r="B12" s="16" t="s">
        <v>52</v>
      </c>
      <c r="C12" s="4" t="s">
        <v>53</v>
      </c>
      <c r="D12" s="17" t="s">
        <v>54</v>
      </c>
      <c r="E12" s="5">
        <v>0.23</v>
      </c>
      <c r="F12" s="4" t="s">
        <v>50</v>
      </c>
      <c r="G12" s="5">
        <v>0.1726</v>
      </c>
      <c r="H12" s="10"/>
      <c r="I12" s="7">
        <f t="shared" si="1"/>
        <v>0.75043478260869567</v>
      </c>
      <c r="J12" s="8"/>
      <c r="K12" s="8"/>
      <c r="L12" s="8"/>
      <c r="M12" s="8"/>
      <c r="N12" s="8"/>
      <c r="O12" s="9"/>
      <c r="P12" s="9"/>
      <c r="Q12" s="9"/>
      <c r="R12" s="9"/>
      <c r="S12" s="9"/>
      <c r="T12" s="9"/>
      <c r="U12" s="9"/>
      <c r="V12" s="9"/>
      <c r="W12" s="9"/>
      <c r="X12" s="9"/>
      <c r="Y12" s="9"/>
      <c r="Z12" s="9"/>
      <c r="AA12" s="9"/>
      <c r="AB12" s="9"/>
      <c r="AC12" s="9"/>
      <c r="AD12" s="9"/>
      <c r="AE12" s="9"/>
      <c r="AF12" s="9"/>
    </row>
    <row r="13" spans="1:32" ht="54.95" customHeight="1" x14ac:dyDescent="0.2">
      <c r="A13" s="3" t="s">
        <v>55</v>
      </c>
      <c r="B13" s="18" t="s">
        <v>56</v>
      </c>
      <c r="C13" s="4" t="s">
        <v>57</v>
      </c>
      <c r="D13" s="4" t="s">
        <v>58</v>
      </c>
      <c r="E13" s="5">
        <v>0.1011</v>
      </c>
      <c r="F13" s="10"/>
      <c r="G13" s="5">
        <v>7.1900000000000006E-2</v>
      </c>
      <c r="H13" s="10"/>
      <c r="I13" s="7">
        <v>0.71109999999999995</v>
      </c>
      <c r="J13" s="8"/>
      <c r="K13" s="8"/>
      <c r="L13" s="8"/>
      <c r="M13" s="8"/>
      <c r="N13" s="8"/>
      <c r="O13" s="9"/>
      <c r="P13" s="9"/>
      <c r="Q13" s="9"/>
      <c r="R13" s="9"/>
      <c r="S13" s="9"/>
      <c r="T13" s="9"/>
      <c r="U13" s="9"/>
      <c r="V13" s="9"/>
      <c r="W13" s="9"/>
      <c r="X13" s="9"/>
      <c r="Y13" s="9"/>
      <c r="Z13" s="9"/>
      <c r="AA13" s="9"/>
      <c r="AB13" s="9"/>
      <c r="AC13" s="9"/>
      <c r="AD13" s="9"/>
      <c r="AE13" s="9"/>
      <c r="AF13" s="9"/>
    </row>
    <row r="14" spans="1:32" ht="54.95" customHeight="1" x14ac:dyDescent="0.2">
      <c r="A14" s="3" t="s">
        <v>59</v>
      </c>
      <c r="B14" s="4" t="s">
        <v>60</v>
      </c>
      <c r="C14" s="4" t="s">
        <v>61</v>
      </c>
      <c r="D14" s="4" t="s">
        <v>54</v>
      </c>
      <c r="E14" s="15">
        <v>0.3</v>
      </c>
      <c r="F14" s="4" t="s">
        <v>62</v>
      </c>
      <c r="G14" s="5">
        <v>5.5E-2</v>
      </c>
      <c r="H14" s="10"/>
      <c r="I14" s="7">
        <f t="shared" ref="I14:I15" si="2">G14/E14</f>
        <v>0.18333333333333335</v>
      </c>
      <c r="J14" s="8"/>
      <c r="K14" s="8"/>
      <c r="L14" s="8"/>
      <c r="M14" s="8"/>
      <c r="N14" s="8"/>
      <c r="O14" s="9"/>
      <c r="P14" s="9"/>
      <c r="Q14" s="9"/>
      <c r="R14" s="9"/>
      <c r="S14" s="9"/>
      <c r="T14" s="9"/>
      <c r="U14" s="9"/>
      <c r="V14" s="9"/>
      <c r="W14" s="9"/>
      <c r="X14" s="9"/>
      <c r="Y14" s="9"/>
      <c r="Z14" s="9"/>
      <c r="AA14" s="9"/>
      <c r="AB14" s="9"/>
      <c r="AC14" s="9"/>
      <c r="AD14" s="9"/>
      <c r="AE14" s="9"/>
      <c r="AF14" s="9"/>
    </row>
    <row r="15" spans="1:32" ht="54.95" customHeight="1" x14ac:dyDescent="0.2">
      <c r="A15" s="3" t="s">
        <v>63</v>
      </c>
      <c r="B15" s="4" t="s">
        <v>64</v>
      </c>
      <c r="C15" s="4" t="s">
        <v>65</v>
      </c>
      <c r="D15" s="4" t="s">
        <v>66</v>
      </c>
      <c r="E15" s="15">
        <v>0.15</v>
      </c>
      <c r="F15" s="4" t="s">
        <v>62</v>
      </c>
      <c r="G15" s="15">
        <v>7.0000000000000007E-2</v>
      </c>
      <c r="H15" s="10"/>
      <c r="I15" s="7">
        <f t="shared" si="2"/>
        <v>0.46666666666666673</v>
      </c>
      <c r="J15" s="8"/>
      <c r="K15" s="8"/>
      <c r="L15" s="8"/>
      <c r="M15" s="8"/>
      <c r="N15" s="8"/>
      <c r="O15" s="9"/>
      <c r="P15" s="9"/>
      <c r="Q15" s="9"/>
      <c r="R15" s="9"/>
      <c r="S15" s="9"/>
      <c r="T15" s="9"/>
      <c r="U15" s="9"/>
      <c r="V15" s="9"/>
      <c r="W15" s="9"/>
      <c r="X15" s="9"/>
      <c r="Y15" s="9"/>
      <c r="Z15" s="9"/>
      <c r="AA15" s="9"/>
      <c r="AB15" s="9"/>
      <c r="AC15" s="9"/>
      <c r="AD15" s="9"/>
      <c r="AE15" s="9"/>
      <c r="AF15" s="9"/>
    </row>
    <row r="16" spans="1:32" ht="54.95" customHeight="1" x14ac:dyDescent="0.2">
      <c r="A16" s="3" t="s">
        <v>67</v>
      </c>
      <c r="B16" s="4" t="s">
        <v>68</v>
      </c>
      <c r="C16" s="4" t="s">
        <v>69</v>
      </c>
      <c r="D16" s="4" t="s">
        <v>49</v>
      </c>
      <c r="E16" s="5">
        <v>5.7200000000000001E-2</v>
      </c>
      <c r="F16" s="10" t="s">
        <v>70</v>
      </c>
      <c r="G16" s="5">
        <v>5.0999999999999997E-2</v>
      </c>
      <c r="H16" s="10"/>
      <c r="I16" s="7">
        <v>0.97699999999999998</v>
      </c>
      <c r="J16" s="8"/>
      <c r="K16" s="8"/>
      <c r="L16" s="8"/>
      <c r="M16" s="8"/>
      <c r="N16" s="8"/>
      <c r="O16" s="9"/>
      <c r="P16" s="9"/>
      <c r="Q16" s="9"/>
      <c r="R16" s="9"/>
      <c r="S16" s="9"/>
      <c r="T16" s="9"/>
      <c r="U16" s="9"/>
      <c r="V16" s="9"/>
      <c r="W16" s="9"/>
      <c r="X16" s="9"/>
      <c r="Y16" s="9"/>
      <c r="Z16" s="9"/>
      <c r="AA16" s="9"/>
      <c r="AB16" s="9"/>
      <c r="AC16" s="9"/>
      <c r="AD16" s="9"/>
      <c r="AE16" s="9"/>
      <c r="AF16" s="9"/>
    </row>
    <row r="17" spans="1:32" ht="54.95" customHeight="1" x14ac:dyDescent="0.2">
      <c r="A17" s="3" t="s">
        <v>71</v>
      </c>
      <c r="B17" s="4" t="s">
        <v>72</v>
      </c>
      <c r="C17" s="4" t="s">
        <v>73</v>
      </c>
      <c r="D17" s="4" t="s">
        <v>74</v>
      </c>
      <c r="E17" s="15">
        <v>0.23</v>
      </c>
      <c r="F17" s="10" t="s">
        <v>50</v>
      </c>
      <c r="G17" s="15">
        <v>0.2</v>
      </c>
      <c r="H17" s="19">
        <v>23800000</v>
      </c>
      <c r="I17" s="20">
        <v>0.86960000000000004</v>
      </c>
      <c r="J17" s="8"/>
      <c r="K17" s="8"/>
      <c r="L17" s="8"/>
      <c r="M17" s="8"/>
      <c r="N17" s="8"/>
      <c r="O17" s="9"/>
      <c r="P17" s="9"/>
      <c r="Q17" s="9"/>
      <c r="R17" s="9"/>
      <c r="S17" s="9"/>
      <c r="T17" s="9"/>
      <c r="U17" s="9"/>
      <c r="V17" s="9"/>
      <c r="W17" s="9"/>
      <c r="X17" s="9"/>
      <c r="Y17" s="9"/>
      <c r="Z17" s="9"/>
      <c r="AA17" s="9"/>
      <c r="AB17" s="9"/>
      <c r="AC17" s="9"/>
      <c r="AD17" s="9"/>
      <c r="AE17" s="9"/>
      <c r="AF17" s="9"/>
    </row>
    <row r="18" spans="1:32" ht="54.95" customHeight="1" x14ac:dyDescent="0.2">
      <c r="A18" s="3" t="s">
        <v>75</v>
      </c>
      <c r="B18" s="21" t="s">
        <v>76</v>
      </c>
      <c r="C18" s="22" t="s">
        <v>77</v>
      </c>
      <c r="D18" s="4" t="s">
        <v>78</v>
      </c>
      <c r="E18" s="23">
        <v>0.111</v>
      </c>
      <c r="F18" s="4" t="s">
        <v>18</v>
      </c>
      <c r="G18" s="5">
        <v>0.1171</v>
      </c>
      <c r="H18" s="10">
        <v>83234716</v>
      </c>
      <c r="I18" s="7">
        <f t="shared" ref="I18:I19" si="3">G18/E18</f>
        <v>1.0549549549549548</v>
      </c>
      <c r="J18" s="8"/>
      <c r="K18" s="8"/>
      <c r="L18" s="8"/>
      <c r="M18" s="8"/>
      <c r="N18" s="8"/>
      <c r="O18" s="9"/>
      <c r="P18" s="9"/>
      <c r="Q18" s="9"/>
      <c r="R18" s="9"/>
      <c r="S18" s="9"/>
      <c r="T18" s="9"/>
      <c r="U18" s="9"/>
      <c r="V18" s="9"/>
      <c r="W18" s="9"/>
      <c r="X18" s="9"/>
      <c r="Y18" s="9"/>
      <c r="Z18" s="9"/>
      <c r="AA18" s="9"/>
      <c r="AB18" s="9"/>
      <c r="AC18" s="9"/>
      <c r="AD18" s="9"/>
      <c r="AE18" s="9"/>
      <c r="AF18" s="9"/>
    </row>
    <row r="19" spans="1:32" ht="54.95" customHeight="1" x14ac:dyDescent="0.2">
      <c r="A19" s="24" t="s">
        <v>79</v>
      </c>
      <c r="B19" s="25" t="s">
        <v>80</v>
      </c>
      <c r="C19" s="25" t="s">
        <v>81</v>
      </c>
      <c r="D19" s="26" t="s">
        <v>45</v>
      </c>
      <c r="E19" s="27">
        <v>0.1</v>
      </c>
      <c r="F19" s="26" t="s">
        <v>50</v>
      </c>
      <c r="G19" s="28">
        <v>8.4000000000000005E-2</v>
      </c>
      <c r="H19" s="29"/>
      <c r="I19" s="30">
        <f t="shared" si="3"/>
        <v>0.84</v>
      </c>
      <c r="J19" s="31"/>
      <c r="K19" s="31"/>
      <c r="L19" s="31"/>
      <c r="M19" s="31"/>
      <c r="N19" s="31"/>
      <c r="O19" s="32"/>
      <c r="P19" s="32"/>
      <c r="Q19" s="32"/>
      <c r="R19" s="32"/>
      <c r="S19" s="32"/>
      <c r="T19" s="32"/>
      <c r="U19" s="32"/>
      <c r="V19" s="32"/>
      <c r="W19" s="32"/>
      <c r="X19" s="32"/>
      <c r="Y19" s="32"/>
      <c r="Z19" s="32"/>
      <c r="AA19" s="32"/>
      <c r="AB19" s="32"/>
      <c r="AC19" s="32"/>
      <c r="AD19" s="32"/>
      <c r="AE19" s="32"/>
      <c r="AF19" s="32"/>
    </row>
    <row r="20" spans="1:32" ht="54.95" customHeight="1" x14ac:dyDescent="0.2">
      <c r="A20" s="3" t="s">
        <v>82</v>
      </c>
      <c r="B20" s="4" t="s">
        <v>83</v>
      </c>
      <c r="C20" s="4" t="s">
        <v>84</v>
      </c>
      <c r="D20" s="4" t="s">
        <v>45</v>
      </c>
      <c r="E20" s="5">
        <v>1.43E-2</v>
      </c>
      <c r="F20" s="4" t="s">
        <v>13</v>
      </c>
      <c r="G20" s="5">
        <v>1.01E-2</v>
      </c>
      <c r="H20" s="10"/>
      <c r="I20" s="7">
        <v>0.70620000000000005</v>
      </c>
      <c r="J20" s="8"/>
      <c r="K20" s="8"/>
      <c r="L20" s="8"/>
      <c r="M20" s="8"/>
      <c r="N20" s="8"/>
      <c r="O20" s="9"/>
      <c r="P20" s="9"/>
      <c r="Q20" s="9"/>
      <c r="R20" s="9"/>
      <c r="S20" s="9"/>
      <c r="T20" s="9"/>
      <c r="U20" s="9"/>
      <c r="V20" s="9"/>
      <c r="W20" s="9"/>
      <c r="X20" s="9"/>
      <c r="Y20" s="9"/>
      <c r="Z20" s="9"/>
      <c r="AA20" s="9"/>
      <c r="AB20" s="9"/>
      <c r="AC20" s="9"/>
      <c r="AD20" s="9"/>
      <c r="AE20" s="9"/>
      <c r="AF20" s="9"/>
    </row>
    <row r="21" spans="1:32" ht="54.95" customHeight="1" x14ac:dyDescent="0.2">
      <c r="A21" s="3" t="s">
        <v>85</v>
      </c>
      <c r="B21" s="4" t="s">
        <v>86</v>
      </c>
      <c r="C21" s="4" t="s">
        <v>87</v>
      </c>
      <c r="D21" s="4" t="s">
        <v>12</v>
      </c>
      <c r="E21" s="5">
        <v>0.26040000000000002</v>
      </c>
      <c r="F21" s="4" t="s">
        <v>50</v>
      </c>
      <c r="G21" s="5">
        <v>0.29599999999999999</v>
      </c>
      <c r="H21" s="10">
        <v>18700000</v>
      </c>
      <c r="I21" s="7">
        <v>1.1367</v>
      </c>
      <c r="J21" s="8"/>
      <c r="K21" s="8"/>
      <c r="L21" s="8"/>
      <c r="M21" s="8"/>
      <c r="N21" s="8"/>
      <c r="O21" s="9"/>
      <c r="P21" s="9"/>
      <c r="Q21" s="9"/>
      <c r="R21" s="9"/>
      <c r="S21" s="9"/>
      <c r="T21" s="9"/>
      <c r="U21" s="9"/>
      <c r="V21" s="9"/>
      <c r="W21" s="9"/>
      <c r="X21" s="9"/>
      <c r="Y21" s="9"/>
      <c r="Z21" s="9"/>
      <c r="AA21" s="9"/>
      <c r="AB21" s="9"/>
      <c r="AC21" s="9"/>
      <c r="AD21" s="9"/>
      <c r="AE21" s="9"/>
      <c r="AF21" s="9"/>
    </row>
    <row r="22" spans="1:32" ht="54.95" customHeight="1" x14ac:dyDescent="0.2">
      <c r="A22" s="3" t="s">
        <v>88</v>
      </c>
      <c r="B22" s="18" t="s">
        <v>89</v>
      </c>
      <c r="C22" s="4" t="s">
        <v>90</v>
      </c>
      <c r="D22" s="4" t="s">
        <v>12</v>
      </c>
      <c r="E22" s="5">
        <v>5.3999999999999999E-2</v>
      </c>
      <c r="F22" s="4" t="s">
        <v>50</v>
      </c>
      <c r="G22" s="15">
        <v>7.0000000000000007E-2</v>
      </c>
      <c r="H22" s="10"/>
      <c r="I22" s="7">
        <f>G22/E22</f>
        <v>1.2962962962962965</v>
      </c>
      <c r="J22" s="8"/>
      <c r="K22" s="8"/>
      <c r="L22" s="8"/>
      <c r="M22" s="8"/>
      <c r="N22" s="8"/>
      <c r="O22" s="9"/>
      <c r="P22" s="9"/>
      <c r="Q22" s="9"/>
      <c r="R22" s="9"/>
      <c r="S22" s="9"/>
      <c r="T22" s="9"/>
      <c r="U22" s="9"/>
      <c r="V22" s="9"/>
      <c r="W22" s="9"/>
      <c r="X22" s="9"/>
      <c r="Y22" s="9"/>
      <c r="Z22" s="9"/>
      <c r="AA22" s="9"/>
      <c r="AB22" s="9"/>
      <c r="AC22" s="9"/>
      <c r="AD22" s="9"/>
      <c r="AE22" s="9"/>
      <c r="AF22" s="9"/>
    </row>
    <row r="23" spans="1:32" ht="54.95" customHeight="1" x14ac:dyDescent="0.2">
      <c r="A23" s="3" t="s">
        <v>91</v>
      </c>
      <c r="B23" s="18" t="s">
        <v>92</v>
      </c>
      <c r="C23" s="18" t="s">
        <v>93</v>
      </c>
      <c r="D23" s="4" t="s">
        <v>12</v>
      </c>
      <c r="E23" s="5">
        <v>9.5600000000000004E-2</v>
      </c>
      <c r="F23" s="4" t="s">
        <v>13</v>
      </c>
      <c r="G23" s="5">
        <v>7.4999999999999997E-2</v>
      </c>
      <c r="H23" s="10"/>
      <c r="I23" s="7">
        <v>0.78449999999999998</v>
      </c>
      <c r="J23" s="8"/>
      <c r="K23" s="8"/>
      <c r="L23" s="8"/>
      <c r="M23" s="8"/>
      <c r="N23" s="8"/>
      <c r="O23" s="9"/>
      <c r="P23" s="9"/>
      <c r="Q23" s="9"/>
      <c r="R23" s="9"/>
      <c r="S23" s="9"/>
      <c r="T23" s="9"/>
      <c r="U23" s="9"/>
      <c r="V23" s="9"/>
      <c r="W23" s="9"/>
      <c r="X23" s="9"/>
      <c r="Y23" s="9"/>
      <c r="Z23" s="9"/>
      <c r="AA23" s="9"/>
      <c r="AB23" s="9"/>
      <c r="AC23" s="9"/>
      <c r="AD23" s="9"/>
      <c r="AE23" s="9"/>
      <c r="AF23" s="9"/>
    </row>
    <row r="24" spans="1:32" ht="54.95" customHeight="1" x14ac:dyDescent="0.2">
      <c r="A24" s="3" t="s">
        <v>94</v>
      </c>
      <c r="B24" s="4" t="s">
        <v>95</v>
      </c>
      <c r="C24" s="4" t="s">
        <v>96</v>
      </c>
      <c r="D24" s="4" t="s">
        <v>45</v>
      </c>
      <c r="E24" s="15">
        <v>0.126</v>
      </c>
      <c r="F24" s="4" t="s">
        <v>13</v>
      </c>
      <c r="G24" s="5">
        <v>8.2000000000000003E-2</v>
      </c>
      <c r="H24" s="10"/>
      <c r="I24" s="7">
        <v>0.68330000000000002</v>
      </c>
      <c r="J24" s="8"/>
      <c r="K24" s="8"/>
      <c r="L24" s="8"/>
      <c r="M24" s="8"/>
      <c r="N24" s="8"/>
      <c r="O24" s="9"/>
      <c r="P24" s="9"/>
      <c r="Q24" s="9"/>
      <c r="R24" s="9"/>
      <c r="S24" s="9"/>
      <c r="T24" s="9"/>
      <c r="U24" s="9"/>
      <c r="V24" s="9"/>
      <c r="W24" s="9"/>
      <c r="X24" s="9"/>
      <c r="Y24" s="9"/>
      <c r="Z24" s="9"/>
      <c r="AA24" s="9"/>
      <c r="AB24" s="9"/>
      <c r="AC24" s="9"/>
      <c r="AD24" s="9"/>
      <c r="AE24" s="9"/>
      <c r="AF24" s="9"/>
    </row>
    <row r="25" spans="1:32" ht="54.95" customHeight="1" x14ac:dyDescent="0.2">
      <c r="A25" s="3" t="s">
        <v>97</v>
      </c>
      <c r="B25" s="4" t="s">
        <v>98</v>
      </c>
      <c r="C25" s="4" t="s">
        <v>99</v>
      </c>
      <c r="D25" s="4" t="s">
        <v>12</v>
      </c>
      <c r="E25" s="15">
        <v>0.1</v>
      </c>
      <c r="F25" s="10" t="s">
        <v>13</v>
      </c>
      <c r="G25" s="15">
        <v>0.08</v>
      </c>
      <c r="H25" s="10"/>
      <c r="I25" s="7">
        <v>0.8</v>
      </c>
      <c r="J25" s="8"/>
      <c r="K25" s="8"/>
      <c r="L25" s="8"/>
      <c r="M25" s="8"/>
      <c r="N25" s="8"/>
      <c r="O25" s="9"/>
      <c r="P25" s="9"/>
      <c r="Q25" s="9"/>
      <c r="R25" s="9"/>
      <c r="S25" s="9"/>
      <c r="T25" s="9"/>
      <c r="U25" s="9"/>
      <c r="V25" s="9"/>
      <c r="W25" s="9"/>
      <c r="X25" s="9"/>
      <c r="Y25" s="9"/>
      <c r="Z25" s="9"/>
      <c r="AA25" s="9"/>
      <c r="AB25" s="9"/>
      <c r="AC25" s="9"/>
      <c r="AD25" s="9"/>
      <c r="AE25" s="9"/>
      <c r="AF25" s="9"/>
    </row>
    <row r="26" spans="1:32" ht="54.95" customHeight="1" x14ac:dyDescent="0.2">
      <c r="A26" s="3" t="s">
        <v>100</v>
      </c>
      <c r="B26" s="33" t="s">
        <v>101</v>
      </c>
      <c r="C26" s="33" t="s">
        <v>102</v>
      </c>
      <c r="D26" s="4" t="s">
        <v>103</v>
      </c>
      <c r="E26" s="15">
        <v>0.15</v>
      </c>
      <c r="F26" s="10" t="s">
        <v>13</v>
      </c>
      <c r="G26" s="15">
        <v>0.12</v>
      </c>
      <c r="H26" s="10"/>
      <c r="I26" s="7">
        <v>0.75</v>
      </c>
      <c r="J26" s="8"/>
      <c r="K26" s="8"/>
      <c r="L26" s="8"/>
      <c r="M26" s="8"/>
      <c r="N26" s="8"/>
      <c r="O26" s="9"/>
      <c r="P26" s="9"/>
      <c r="Q26" s="9"/>
      <c r="R26" s="9"/>
      <c r="S26" s="9"/>
      <c r="T26" s="9"/>
      <c r="U26" s="9"/>
      <c r="V26" s="9"/>
      <c r="W26" s="9"/>
      <c r="X26" s="9"/>
      <c r="Y26" s="9"/>
      <c r="Z26" s="9"/>
      <c r="AA26" s="9"/>
      <c r="AB26" s="9"/>
      <c r="AC26" s="9"/>
      <c r="AD26" s="9"/>
      <c r="AE26" s="9"/>
      <c r="AF26" s="9"/>
    </row>
    <row r="27" spans="1:32" ht="54.95" customHeight="1" x14ac:dyDescent="0.2">
      <c r="A27" s="3" t="s">
        <v>104</v>
      </c>
      <c r="B27" s="4" t="s">
        <v>105</v>
      </c>
      <c r="C27" s="4" t="s">
        <v>106</v>
      </c>
      <c r="D27" s="4" t="s">
        <v>30</v>
      </c>
      <c r="E27" s="5">
        <v>6.5000000000000002E-2</v>
      </c>
      <c r="F27" s="10" t="s">
        <v>13</v>
      </c>
      <c r="G27" s="5">
        <v>8.1000000000000003E-2</v>
      </c>
      <c r="H27" s="10"/>
      <c r="I27" s="7">
        <f t="shared" ref="I27:I35" si="4">G27/E27</f>
        <v>1.2461538461538462</v>
      </c>
      <c r="J27" s="8"/>
      <c r="K27" s="8"/>
      <c r="L27" s="8"/>
      <c r="M27" s="8"/>
      <c r="N27" s="8"/>
      <c r="O27" s="9"/>
      <c r="P27" s="9"/>
      <c r="Q27" s="9"/>
      <c r="R27" s="9"/>
      <c r="S27" s="9"/>
      <c r="T27" s="9"/>
      <c r="U27" s="9"/>
      <c r="V27" s="9"/>
      <c r="W27" s="9"/>
      <c r="X27" s="9"/>
      <c r="Y27" s="9"/>
      <c r="Z27" s="9"/>
      <c r="AA27" s="9"/>
      <c r="AB27" s="9"/>
      <c r="AC27" s="9"/>
      <c r="AD27" s="9"/>
      <c r="AE27" s="9"/>
      <c r="AF27" s="9"/>
    </row>
    <row r="28" spans="1:32" ht="54.95" customHeight="1" x14ac:dyDescent="0.2">
      <c r="A28" s="3" t="s">
        <v>107</v>
      </c>
      <c r="B28" s="4" t="s">
        <v>108</v>
      </c>
      <c r="C28" s="4" t="s">
        <v>109</v>
      </c>
      <c r="D28" s="4" t="s">
        <v>41</v>
      </c>
      <c r="E28" s="5">
        <v>5.8099999999999999E-2</v>
      </c>
      <c r="F28" s="10" t="s">
        <v>110</v>
      </c>
      <c r="G28" s="5">
        <v>4.5999999999999999E-2</v>
      </c>
      <c r="H28" s="10"/>
      <c r="I28" s="7">
        <f t="shared" si="4"/>
        <v>0.79173838209982783</v>
      </c>
      <c r="J28" s="8"/>
      <c r="K28" s="8"/>
      <c r="L28" s="8"/>
      <c r="M28" s="8"/>
      <c r="N28" s="8"/>
      <c r="O28" s="9"/>
      <c r="P28" s="9"/>
      <c r="Q28" s="9"/>
      <c r="R28" s="9"/>
      <c r="S28" s="9"/>
      <c r="T28" s="9"/>
      <c r="U28" s="9"/>
      <c r="V28" s="9"/>
      <c r="W28" s="9"/>
      <c r="X28" s="9"/>
      <c r="Y28" s="9"/>
      <c r="Z28" s="9"/>
      <c r="AA28" s="9"/>
      <c r="AB28" s="9"/>
      <c r="AC28" s="9"/>
      <c r="AD28" s="9"/>
      <c r="AE28" s="9"/>
      <c r="AF28" s="9"/>
    </row>
    <row r="29" spans="1:32" ht="54.95" customHeight="1" x14ac:dyDescent="0.2">
      <c r="A29" s="3" t="s">
        <v>111</v>
      </c>
      <c r="B29" s="4" t="s">
        <v>112</v>
      </c>
      <c r="C29" s="4" t="s">
        <v>113</v>
      </c>
      <c r="D29" s="4" t="s">
        <v>78</v>
      </c>
      <c r="E29" s="5">
        <v>0.222</v>
      </c>
      <c r="F29" s="10" t="s">
        <v>110</v>
      </c>
      <c r="G29" s="5">
        <v>8.2199999999999995E-2</v>
      </c>
      <c r="H29" s="6">
        <f>0.0822*272700000</f>
        <v>22415940</v>
      </c>
      <c r="I29" s="14">
        <f t="shared" si="4"/>
        <v>0.37027027027027026</v>
      </c>
      <c r="J29" s="8"/>
      <c r="K29" s="8"/>
      <c r="L29" s="8"/>
      <c r="M29" s="8"/>
      <c r="N29" s="8"/>
      <c r="O29" s="9"/>
      <c r="P29" s="9"/>
      <c r="Q29" s="9"/>
      <c r="R29" s="9"/>
      <c r="S29" s="9"/>
      <c r="T29" s="9"/>
      <c r="U29" s="9"/>
      <c r="V29" s="9"/>
      <c r="W29" s="9"/>
      <c r="X29" s="9"/>
      <c r="Y29" s="9"/>
      <c r="Z29" s="9"/>
      <c r="AA29" s="9"/>
      <c r="AB29" s="9"/>
      <c r="AC29" s="9"/>
      <c r="AD29" s="9"/>
      <c r="AE29" s="9"/>
      <c r="AF29" s="9"/>
    </row>
    <row r="30" spans="1:32" ht="54.95" customHeight="1" x14ac:dyDescent="0.2">
      <c r="A30" s="3" t="s">
        <v>114</v>
      </c>
      <c r="B30" s="4" t="s">
        <v>115</v>
      </c>
      <c r="C30" s="4" t="s">
        <v>116</v>
      </c>
      <c r="D30" s="4" t="s">
        <v>41</v>
      </c>
      <c r="E30" s="12">
        <v>4.82E-2</v>
      </c>
      <c r="F30" s="10" t="s">
        <v>13</v>
      </c>
      <c r="G30" s="34">
        <v>2.5499999999999998E-2</v>
      </c>
      <c r="H30" s="35"/>
      <c r="I30" s="7">
        <f t="shared" si="4"/>
        <v>0.52904564315352698</v>
      </c>
      <c r="J30" s="8"/>
      <c r="K30" s="8"/>
      <c r="L30" s="8"/>
      <c r="M30" s="8"/>
      <c r="N30" s="8"/>
      <c r="O30" s="9"/>
      <c r="P30" s="9"/>
      <c r="Q30" s="9"/>
      <c r="R30" s="9"/>
      <c r="S30" s="9"/>
      <c r="T30" s="9"/>
      <c r="U30" s="9"/>
      <c r="V30" s="9"/>
      <c r="W30" s="9"/>
      <c r="X30" s="9"/>
      <c r="Y30" s="9"/>
      <c r="Z30" s="9"/>
      <c r="AA30" s="9"/>
      <c r="AB30" s="9"/>
      <c r="AC30" s="9"/>
      <c r="AD30" s="9"/>
      <c r="AE30" s="9"/>
      <c r="AF30" s="9"/>
    </row>
    <row r="31" spans="1:32" ht="54.95" customHeight="1" x14ac:dyDescent="0.2">
      <c r="A31" s="3" t="s">
        <v>117</v>
      </c>
      <c r="B31" s="4" t="s">
        <v>118</v>
      </c>
      <c r="C31" s="4" t="s">
        <v>119</v>
      </c>
      <c r="D31" s="4" t="s">
        <v>41</v>
      </c>
      <c r="E31" s="5">
        <v>0.1323</v>
      </c>
      <c r="F31" s="10" t="s">
        <v>13</v>
      </c>
      <c r="G31" s="5">
        <v>0.12130000000000001</v>
      </c>
      <c r="H31" s="10"/>
      <c r="I31" s="7">
        <f t="shared" si="4"/>
        <v>0.9168556311413455</v>
      </c>
      <c r="J31" s="8"/>
      <c r="K31" s="8"/>
      <c r="L31" s="8"/>
      <c r="M31" s="8"/>
      <c r="N31" s="8"/>
      <c r="O31" s="9"/>
      <c r="P31" s="9"/>
      <c r="Q31" s="9"/>
      <c r="R31" s="9"/>
      <c r="S31" s="9"/>
      <c r="T31" s="9"/>
      <c r="U31" s="9"/>
      <c r="V31" s="9"/>
      <c r="W31" s="9"/>
      <c r="X31" s="9"/>
      <c r="Y31" s="9"/>
      <c r="Z31" s="9"/>
      <c r="AA31" s="9"/>
      <c r="AB31" s="9"/>
      <c r="AC31" s="9"/>
      <c r="AD31" s="9"/>
      <c r="AE31" s="9"/>
      <c r="AF31" s="9"/>
    </row>
    <row r="32" spans="1:32" ht="54.95" customHeight="1" x14ac:dyDescent="0.2">
      <c r="A32" s="3" t="s">
        <v>120</v>
      </c>
      <c r="B32" s="4" t="s">
        <v>121</v>
      </c>
      <c r="C32" s="4" t="s">
        <v>122</v>
      </c>
      <c r="D32" s="4" t="s">
        <v>123</v>
      </c>
      <c r="E32" s="5">
        <v>0.123</v>
      </c>
      <c r="F32" s="4" t="s">
        <v>13</v>
      </c>
      <c r="G32" s="5">
        <v>0.22559999999999999</v>
      </c>
      <c r="H32" s="10"/>
      <c r="I32" s="7">
        <f t="shared" si="4"/>
        <v>1.8341463414634147</v>
      </c>
      <c r="J32" s="8"/>
      <c r="K32" s="8"/>
      <c r="L32" s="8"/>
      <c r="M32" s="8"/>
      <c r="N32" s="8"/>
      <c r="O32" s="9"/>
      <c r="P32" s="9"/>
      <c r="Q32" s="9"/>
      <c r="R32" s="9"/>
      <c r="S32" s="9"/>
      <c r="T32" s="9"/>
      <c r="U32" s="9"/>
      <c r="V32" s="9"/>
      <c r="W32" s="9"/>
      <c r="X32" s="9"/>
      <c r="Y32" s="9"/>
      <c r="Z32" s="9"/>
      <c r="AA32" s="9"/>
      <c r="AB32" s="9"/>
      <c r="AC32" s="9"/>
      <c r="AD32" s="9"/>
      <c r="AE32" s="9"/>
      <c r="AF32" s="9"/>
    </row>
    <row r="33" spans="1:32" ht="54.95" customHeight="1" x14ac:dyDescent="0.2">
      <c r="A33" s="3" t="s">
        <v>124</v>
      </c>
      <c r="B33" s="4" t="s">
        <v>125</v>
      </c>
      <c r="C33" s="18" t="s">
        <v>126</v>
      </c>
      <c r="D33" s="4" t="s">
        <v>74</v>
      </c>
      <c r="E33" s="5">
        <v>0.3</v>
      </c>
      <c r="F33" s="4" t="s">
        <v>18</v>
      </c>
      <c r="G33" s="5">
        <v>0.3221</v>
      </c>
      <c r="H33" s="36">
        <v>2822296207</v>
      </c>
      <c r="I33" s="7">
        <f t="shared" si="4"/>
        <v>1.0736666666666668</v>
      </c>
      <c r="J33" s="8"/>
      <c r="K33" s="8"/>
      <c r="L33" s="8"/>
      <c r="M33" s="8"/>
      <c r="N33" s="8"/>
      <c r="O33" s="9"/>
      <c r="P33" s="9"/>
      <c r="Q33" s="9"/>
      <c r="R33" s="9"/>
      <c r="S33" s="9"/>
      <c r="T33" s="9"/>
      <c r="U33" s="9"/>
      <c r="V33" s="9"/>
      <c r="W33" s="9"/>
      <c r="X33" s="9"/>
      <c r="Y33" s="9"/>
      <c r="Z33" s="9"/>
      <c r="AA33" s="9"/>
      <c r="AB33" s="9"/>
      <c r="AC33" s="9"/>
      <c r="AD33" s="9"/>
      <c r="AE33" s="9"/>
      <c r="AF33" s="9"/>
    </row>
    <row r="34" spans="1:32" ht="54.95" customHeight="1" x14ac:dyDescent="0.2">
      <c r="A34" s="3" t="s">
        <v>127</v>
      </c>
      <c r="B34" s="4" t="s">
        <v>128</v>
      </c>
      <c r="C34" s="4" t="s">
        <v>129</v>
      </c>
      <c r="D34" s="4" t="s">
        <v>41</v>
      </c>
      <c r="E34" s="5">
        <v>0.1</v>
      </c>
      <c r="F34" s="4" t="s">
        <v>18</v>
      </c>
      <c r="G34" s="5">
        <v>8.5900000000000004E-2</v>
      </c>
      <c r="H34" s="36">
        <v>1050846150</v>
      </c>
      <c r="I34" s="7">
        <f t="shared" si="4"/>
        <v>0.85899999999999999</v>
      </c>
      <c r="J34" s="8"/>
      <c r="K34" s="8"/>
      <c r="L34" s="8"/>
      <c r="M34" s="8"/>
      <c r="N34" s="8"/>
      <c r="O34" s="9"/>
      <c r="P34" s="9"/>
      <c r="Q34" s="9"/>
      <c r="R34" s="9"/>
      <c r="S34" s="9"/>
      <c r="T34" s="9"/>
      <c r="U34" s="9"/>
      <c r="V34" s="9"/>
      <c r="W34" s="9"/>
      <c r="X34" s="9"/>
      <c r="Y34" s="9"/>
      <c r="Z34" s="9"/>
      <c r="AA34" s="9"/>
      <c r="AB34" s="9"/>
      <c r="AC34" s="9"/>
      <c r="AD34" s="9"/>
      <c r="AE34" s="9"/>
      <c r="AF34" s="9"/>
    </row>
    <row r="35" spans="1:32" ht="54.95" customHeight="1" x14ac:dyDescent="0.2">
      <c r="A35" s="3" t="s">
        <v>130</v>
      </c>
      <c r="B35" s="4" t="s">
        <v>131</v>
      </c>
      <c r="C35" s="4" t="s">
        <v>132</v>
      </c>
      <c r="D35" s="4" t="s">
        <v>41</v>
      </c>
      <c r="E35" s="37">
        <v>4.6600000000000003E-2</v>
      </c>
      <c r="F35" s="38" t="s">
        <v>13</v>
      </c>
      <c r="G35" s="5">
        <v>6.4100000000000004E-2</v>
      </c>
      <c r="H35" s="4"/>
      <c r="I35" s="7">
        <f t="shared" si="4"/>
        <v>1.3755364806866952</v>
      </c>
      <c r="J35" s="8"/>
      <c r="K35" s="8"/>
      <c r="L35" s="8"/>
      <c r="M35" s="8"/>
      <c r="N35" s="8"/>
      <c r="O35" s="9"/>
      <c r="P35" s="9"/>
      <c r="Q35" s="9"/>
      <c r="R35" s="9"/>
      <c r="S35" s="9"/>
      <c r="T35" s="9"/>
      <c r="U35" s="9"/>
      <c r="V35" s="9"/>
      <c r="W35" s="9"/>
      <c r="X35" s="9"/>
      <c r="Y35" s="9"/>
      <c r="Z35" s="9"/>
      <c r="AA35" s="9"/>
      <c r="AB35" s="9"/>
      <c r="AC35" s="9"/>
      <c r="AD35" s="9"/>
      <c r="AE35" s="9"/>
      <c r="AF35" s="9"/>
    </row>
    <row r="36" spans="1:32" ht="54.95" customHeight="1" x14ac:dyDescent="0.2">
      <c r="A36" s="3" t="s">
        <v>133</v>
      </c>
      <c r="B36" s="39" t="s">
        <v>134</v>
      </c>
      <c r="C36" s="39" t="s">
        <v>135</v>
      </c>
      <c r="D36" s="39" t="s">
        <v>136</v>
      </c>
      <c r="E36" s="5">
        <v>0.15</v>
      </c>
      <c r="F36" s="38" t="s">
        <v>13</v>
      </c>
      <c r="G36" s="5">
        <v>0.215</v>
      </c>
      <c r="H36" s="40">
        <v>298800000</v>
      </c>
      <c r="I36" s="7">
        <v>1.4333</v>
      </c>
      <c r="J36" s="8"/>
      <c r="K36" s="8"/>
      <c r="L36" s="8"/>
      <c r="M36" s="8"/>
      <c r="N36" s="8"/>
      <c r="O36" s="9"/>
      <c r="P36" s="9"/>
      <c r="Q36" s="9"/>
      <c r="R36" s="9"/>
      <c r="S36" s="9"/>
      <c r="T36" s="9"/>
      <c r="U36" s="9"/>
      <c r="V36" s="9"/>
      <c r="W36" s="9"/>
      <c r="X36" s="9"/>
      <c r="Y36" s="9"/>
      <c r="Z36" s="9"/>
      <c r="AA36" s="9"/>
      <c r="AB36" s="9"/>
      <c r="AC36" s="9"/>
      <c r="AD36" s="9"/>
      <c r="AE36" s="9"/>
      <c r="AF36" s="9"/>
    </row>
    <row r="37" spans="1:32" ht="54.95" customHeight="1" x14ac:dyDescent="0.2">
      <c r="A37" s="3" t="s">
        <v>137</v>
      </c>
      <c r="B37" s="4" t="s">
        <v>138</v>
      </c>
      <c r="C37" s="3" t="s">
        <v>139</v>
      </c>
      <c r="D37" s="39" t="s">
        <v>49</v>
      </c>
      <c r="E37" s="5">
        <v>8.0500000000000002E-2</v>
      </c>
      <c r="F37" s="38" t="s">
        <v>18</v>
      </c>
      <c r="G37" s="5">
        <v>0.18759999999999999</v>
      </c>
      <c r="H37" s="10">
        <v>90371156.180000007</v>
      </c>
      <c r="I37" s="7">
        <f t="shared" ref="I37:I43" si="5">G37/E37</f>
        <v>2.3304347826086955</v>
      </c>
      <c r="J37" s="8"/>
      <c r="K37" s="8"/>
      <c r="L37" s="8"/>
      <c r="M37" s="8"/>
      <c r="N37" s="8"/>
      <c r="O37" s="9"/>
      <c r="P37" s="9"/>
      <c r="Q37" s="9"/>
      <c r="R37" s="9"/>
      <c r="S37" s="9"/>
      <c r="T37" s="9"/>
      <c r="U37" s="9"/>
      <c r="V37" s="9"/>
      <c r="W37" s="9"/>
      <c r="X37" s="9"/>
      <c r="Y37" s="9"/>
      <c r="Z37" s="9"/>
      <c r="AA37" s="9"/>
      <c r="AB37" s="9"/>
      <c r="AC37" s="9"/>
      <c r="AD37" s="9"/>
      <c r="AE37" s="9"/>
      <c r="AF37" s="9"/>
    </row>
    <row r="38" spans="1:32" ht="54.95" customHeight="1" x14ac:dyDescent="0.2">
      <c r="A38" s="3" t="s">
        <v>140</v>
      </c>
      <c r="B38" s="41" t="s">
        <v>141</v>
      </c>
      <c r="C38" s="42" t="s">
        <v>142</v>
      </c>
      <c r="D38" s="39" t="s">
        <v>78</v>
      </c>
      <c r="E38" s="5">
        <v>0.154</v>
      </c>
      <c r="F38" s="38" t="s">
        <v>13</v>
      </c>
      <c r="G38" s="34">
        <v>0.12520000000000001</v>
      </c>
      <c r="H38" s="35"/>
      <c r="I38" s="7">
        <f t="shared" si="5"/>
        <v>0.81298701298701304</v>
      </c>
      <c r="J38" s="8"/>
      <c r="K38" s="8"/>
      <c r="L38" s="8"/>
      <c r="M38" s="8"/>
      <c r="N38" s="8"/>
      <c r="O38" s="9"/>
      <c r="P38" s="9"/>
      <c r="Q38" s="9"/>
      <c r="R38" s="9"/>
      <c r="S38" s="9"/>
      <c r="T38" s="9"/>
      <c r="U38" s="9"/>
      <c r="V38" s="9"/>
      <c r="W38" s="9"/>
      <c r="X38" s="9"/>
      <c r="Y38" s="9"/>
      <c r="Z38" s="9"/>
      <c r="AA38" s="9"/>
      <c r="AB38" s="9"/>
      <c r="AC38" s="9"/>
      <c r="AD38" s="9"/>
      <c r="AE38" s="9"/>
      <c r="AF38" s="9"/>
    </row>
    <row r="39" spans="1:32" ht="54.95" customHeight="1" x14ac:dyDescent="0.2">
      <c r="A39" s="3" t="s">
        <v>143</v>
      </c>
      <c r="B39" s="4" t="s">
        <v>144</v>
      </c>
      <c r="C39" s="3" t="s">
        <v>145</v>
      </c>
      <c r="D39" s="39" t="s">
        <v>146</v>
      </c>
      <c r="E39" s="5">
        <v>0.1101</v>
      </c>
      <c r="F39" s="10" t="s">
        <v>147</v>
      </c>
      <c r="G39" s="5">
        <v>0.112</v>
      </c>
      <c r="H39" s="10">
        <v>275090953</v>
      </c>
      <c r="I39" s="7">
        <f t="shared" si="5"/>
        <v>1.0172570390554041</v>
      </c>
      <c r="J39" s="8"/>
      <c r="K39" s="8"/>
      <c r="L39" s="8"/>
      <c r="M39" s="8"/>
      <c r="N39" s="8"/>
      <c r="O39" s="9"/>
      <c r="P39" s="9"/>
      <c r="Q39" s="9"/>
      <c r="R39" s="9"/>
      <c r="S39" s="9"/>
      <c r="T39" s="9"/>
      <c r="U39" s="9"/>
      <c r="V39" s="9"/>
      <c r="W39" s="9"/>
      <c r="X39" s="9"/>
      <c r="Y39" s="9"/>
      <c r="Z39" s="9"/>
      <c r="AA39" s="9"/>
      <c r="AB39" s="9"/>
      <c r="AC39" s="9"/>
      <c r="AD39" s="9"/>
      <c r="AE39" s="9"/>
      <c r="AF39" s="9"/>
    </row>
    <row r="40" spans="1:32" ht="54.95" customHeight="1" x14ac:dyDescent="0.2">
      <c r="A40" s="3" t="s">
        <v>148</v>
      </c>
      <c r="B40" s="3" t="s">
        <v>149</v>
      </c>
      <c r="C40" s="17" t="s">
        <v>150</v>
      </c>
      <c r="D40" s="39" t="s">
        <v>49</v>
      </c>
      <c r="E40" s="5">
        <v>0.15</v>
      </c>
      <c r="F40" s="10" t="s">
        <v>13</v>
      </c>
      <c r="G40" s="5">
        <v>0.104</v>
      </c>
      <c r="H40" s="10"/>
      <c r="I40" s="7">
        <f t="shared" si="5"/>
        <v>0.69333333333333336</v>
      </c>
      <c r="J40" s="8"/>
      <c r="K40" s="8"/>
      <c r="L40" s="8"/>
      <c r="M40" s="8"/>
      <c r="N40" s="8"/>
      <c r="O40" s="9"/>
      <c r="P40" s="9"/>
      <c r="Q40" s="9"/>
      <c r="R40" s="9"/>
      <c r="S40" s="9"/>
      <c r="T40" s="9"/>
      <c r="U40" s="9"/>
      <c r="V40" s="9"/>
      <c r="W40" s="9"/>
      <c r="X40" s="9"/>
      <c r="Y40" s="9"/>
      <c r="Z40" s="9"/>
      <c r="AA40" s="9"/>
      <c r="AB40" s="9"/>
      <c r="AC40" s="9"/>
      <c r="AD40" s="9"/>
      <c r="AE40" s="9"/>
      <c r="AF40" s="9"/>
    </row>
    <row r="41" spans="1:32" ht="54.95" customHeight="1" x14ac:dyDescent="0.2">
      <c r="A41" s="3" t="s">
        <v>151</v>
      </c>
      <c r="B41" s="41" t="s">
        <v>152</v>
      </c>
      <c r="C41" s="41" t="s">
        <v>153</v>
      </c>
      <c r="D41" s="4" t="s">
        <v>154</v>
      </c>
      <c r="E41" s="5">
        <v>0.1168</v>
      </c>
      <c r="F41" s="10" t="s">
        <v>18</v>
      </c>
      <c r="G41" s="5">
        <v>0.105</v>
      </c>
      <c r="H41" s="10">
        <v>58991000</v>
      </c>
      <c r="I41" s="7">
        <f t="shared" si="5"/>
        <v>0.89897260273972601</v>
      </c>
      <c r="J41" s="8"/>
      <c r="K41" s="8"/>
      <c r="L41" s="8"/>
      <c r="M41" s="8"/>
      <c r="N41" s="8"/>
      <c r="O41" s="9"/>
      <c r="P41" s="9"/>
      <c r="Q41" s="9"/>
      <c r="R41" s="9"/>
      <c r="S41" s="9"/>
      <c r="T41" s="9"/>
      <c r="U41" s="9"/>
      <c r="V41" s="9"/>
      <c r="W41" s="9"/>
      <c r="X41" s="9"/>
      <c r="Y41" s="9"/>
      <c r="Z41" s="9"/>
      <c r="AA41" s="9"/>
      <c r="AB41" s="9"/>
      <c r="AC41" s="9"/>
      <c r="AD41" s="9"/>
      <c r="AE41" s="9"/>
      <c r="AF41" s="9"/>
    </row>
    <row r="42" spans="1:32" ht="54.95" customHeight="1" x14ac:dyDescent="0.2">
      <c r="A42" s="3" t="s">
        <v>155</v>
      </c>
      <c r="B42" s="4" t="s">
        <v>156</v>
      </c>
      <c r="C42" s="42" t="s">
        <v>157</v>
      </c>
      <c r="D42" s="4" t="s">
        <v>74</v>
      </c>
      <c r="E42" s="43">
        <v>9.0499999999999997E-2</v>
      </c>
      <c r="F42" s="10" t="s">
        <v>13</v>
      </c>
      <c r="G42" s="5">
        <v>4.3299999999999998E-2</v>
      </c>
      <c r="H42" s="10">
        <v>21442758</v>
      </c>
      <c r="I42" s="7">
        <f t="shared" si="5"/>
        <v>0.47845303867403316</v>
      </c>
      <c r="J42" s="8"/>
      <c r="K42" s="8"/>
      <c r="L42" s="8"/>
      <c r="M42" s="8"/>
      <c r="N42" s="8"/>
      <c r="O42" s="9"/>
      <c r="P42" s="9"/>
      <c r="Q42" s="9"/>
      <c r="R42" s="9"/>
      <c r="S42" s="9"/>
      <c r="T42" s="9"/>
      <c r="U42" s="9"/>
      <c r="V42" s="9"/>
      <c r="W42" s="9"/>
      <c r="X42" s="9"/>
      <c r="Y42" s="9"/>
      <c r="Z42" s="9"/>
      <c r="AA42" s="9"/>
      <c r="AB42" s="9"/>
      <c r="AC42" s="9"/>
      <c r="AD42" s="9"/>
      <c r="AE42" s="9"/>
      <c r="AF42" s="9"/>
    </row>
    <row r="43" spans="1:32" ht="54.95" customHeight="1" x14ac:dyDescent="0.2">
      <c r="A43" s="3" t="s">
        <v>158</v>
      </c>
      <c r="B43" s="3" t="s">
        <v>159</v>
      </c>
      <c r="C43" s="4" t="s">
        <v>160</v>
      </c>
      <c r="D43" s="4" t="s">
        <v>78</v>
      </c>
      <c r="E43" s="5">
        <v>9.6100000000000005E-2</v>
      </c>
      <c r="F43" s="10" t="s">
        <v>18</v>
      </c>
      <c r="G43" s="5">
        <v>0.14199999999999999</v>
      </c>
      <c r="H43" s="44">
        <v>766000000</v>
      </c>
      <c r="I43" s="7">
        <f t="shared" si="5"/>
        <v>1.4776274713839748</v>
      </c>
      <c r="J43" s="8"/>
      <c r="K43" s="8"/>
      <c r="L43" s="8"/>
      <c r="M43" s="8"/>
      <c r="N43" s="8"/>
      <c r="O43" s="9"/>
      <c r="P43" s="9"/>
      <c r="Q43" s="9"/>
      <c r="R43" s="9"/>
      <c r="S43" s="9"/>
      <c r="T43" s="9"/>
      <c r="U43" s="9"/>
      <c r="V43" s="9"/>
      <c r="W43" s="9"/>
      <c r="X43" s="9"/>
      <c r="Y43" s="9"/>
      <c r="Z43" s="9"/>
      <c r="AA43" s="9"/>
      <c r="AB43" s="9"/>
      <c r="AC43" s="9"/>
      <c r="AD43" s="9"/>
      <c r="AE43" s="9"/>
      <c r="AF43" s="9"/>
    </row>
    <row r="44" spans="1:32" ht="54.95" customHeight="1" x14ac:dyDescent="0.2">
      <c r="A44" s="3" t="s">
        <v>161</v>
      </c>
      <c r="B44" s="4" t="s">
        <v>162</v>
      </c>
      <c r="C44" s="4" t="s">
        <v>163</v>
      </c>
      <c r="D44" s="4" t="s">
        <v>49</v>
      </c>
      <c r="E44" s="5">
        <f>G44/I44</f>
        <v>0.22168628207601776</v>
      </c>
      <c r="F44" s="10" t="s">
        <v>18</v>
      </c>
      <c r="G44" s="5">
        <v>0.1149</v>
      </c>
      <c r="H44" s="10">
        <v>4116141798</v>
      </c>
      <c r="I44" s="7">
        <v>0.51829999999999998</v>
      </c>
      <c r="J44" s="8"/>
      <c r="K44" s="8"/>
      <c r="L44" s="8"/>
      <c r="M44" s="8"/>
      <c r="N44" s="8"/>
      <c r="O44" s="9"/>
      <c r="P44" s="9"/>
      <c r="Q44" s="9"/>
      <c r="R44" s="9"/>
      <c r="S44" s="9"/>
      <c r="T44" s="9"/>
      <c r="U44" s="9"/>
      <c r="V44" s="9"/>
      <c r="W44" s="9"/>
      <c r="X44" s="9"/>
      <c r="Y44" s="9"/>
      <c r="Z44" s="9"/>
      <c r="AA44" s="9"/>
      <c r="AB44" s="9"/>
      <c r="AC44" s="9"/>
      <c r="AD44" s="9"/>
      <c r="AE44" s="9"/>
      <c r="AF44" s="9"/>
    </row>
    <row r="45" spans="1:32" ht="54.95" customHeight="1" x14ac:dyDescent="0.2">
      <c r="A45" s="3" t="s">
        <v>164</v>
      </c>
      <c r="B45" s="45" t="s">
        <v>165</v>
      </c>
      <c r="C45" s="45" t="s">
        <v>166</v>
      </c>
      <c r="D45" s="45" t="s">
        <v>74</v>
      </c>
      <c r="E45" s="46">
        <v>6.2979999999999994E-2</v>
      </c>
      <c r="F45" s="47" t="s">
        <v>13</v>
      </c>
      <c r="G45" s="46">
        <v>0.10369</v>
      </c>
      <c r="H45" s="47">
        <v>124464346</v>
      </c>
      <c r="I45" s="48">
        <f t="shared" ref="I45:I48" si="6">G45/E45</f>
        <v>1.6463956811686251</v>
      </c>
      <c r="J45" s="8"/>
      <c r="K45" s="8"/>
      <c r="L45" s="8"/>
      <c r="M45" s="8"/>
      <c r="N45" s="8"/>
      <c r="O45" s="9"/>
      <c r="P45" s="9"/>
      <c r="Q45" s="9"/>
      <c r="R45" s="9"/>
      <c r="S45" s="9"/>
      <c r="T45" s="9"/>
      <c r="U45" s="9"/>
      <c r="V45" s="9"/>
      <c r="W45" s="9"/>
      <c r="X45" s="9"/>
      <c r="Y45" s="9"/>
      <c r="Z45" s="9"/>
      <c r="AA45" s="9"/>
      <c r="AB45" s="9"/>
      <c r="AC45" s="9"/>
      <c r="AD45" s="9"/>
      <c r="AE45" s="9"/>
      <c r="AF45" s="9"/>
    </row>
    <row r="46" spans="1:32" ht="54.95" customHeight="1" x14ac:dyDescent="0.2">
      <c r="A46" s="3" t="s">
        <v>167</v>
      </c>
      <c r="B46" s="45" t="s">
        <v>168</v>
      </c>
      <c r="C46" s="45" t="s">
        <v>169</v>
      </c>
      <c r="D46" s="45" t="s">
        <v>41</v>
      </c>
      <c r="E46" s="46">
        <v>7.0499999999999993E-2</v>
      </c>
      <c r="F46" s="47" t="s">
        <v>18</v>
      </c>
      <c r="G46" s="46">
        <v>4.1000000000000003E-3</v>
      </c>
      <c r="H46" s="47">
        <v>1273093</v>
      </c>
      <c r="I46" s="48">
        <f t="shared" si="6"/>
        <v>5.8156028368794334E-2</v>
      </c>
      <c r="J46" s="8"/>
      <c r="K46" s="8"/>
      <c r="L46" s="8"/>
      <c r="M46" s="8"/>
      <c r="N46" s="8"/>
      <c r="O46" s="9"/>
      <c r="P46" s="9"/>
      <c r="Q46" s="9"/>
      <c r="R46" s="9"/>
      <c r="S46" s="9"/>
      <c r="T46" s="9"/>
      <c r="U46" s="9"/>
      <c r="V46" s="9"/>
      <c r="W46" s="9"/>
      <c r="X46" s="9"/>
      <c r="Y46" s="9"/>
      <c r="Z46" s="9"/>
      <c r="AA46" s="9"/>
      <c r="AB46" s="9"/>
      <c r="AC46" s="9"/>
      <c r="AD46" s="9"/>
      <c r="AE46" s="9"/>
      <c r="AF46" s="9"/>
    </row>
    <row r="47" spans="1:32" ht="54.95" customHeight="1" x14ac:dyDescent="0.2">
      <c r="A47" s="3" t="s">
        <v>170</v>
      </c>
      <c r="B47" s="4" t="s">
        <v>171</v>
      </c>
      <c r="C47" s="4" t="s">
        <v>172</v>
      </c>
      <c r="D47" s="4" t="s">
        <v>49</v>
      </c>
      <c r="E47" s="15">
        <v>0.42</v>
      </c>
      <c r="F47" s="10" t="s">
        <v>18</v>
      </c>
      <c r="G47" s="15">
        <v>0.32</v>
      </c>
      <c r="H47" s="10">
        <v>3136561443.0700002</v>
      </c>
      <c r="I47" s="7">
        <f t="shared" si="6"/>
        <v>0.76190476190476197</v>
      </c>
      <c r="J47" s="8"/>
      <c r="K47" s="8"/>
      <c r="L47" s="8"/>
      <c r="M47" s="8"/>
      <c r="N47" s="8"/>
      <c r="O47" s="9"/>
      <c r="P47" s="9"/>
      <c r="Q47" s="9"/>
      <c r="R47" s="9"/>
      <c r="S47" s="9"/>
      <c r="T47" s="9"/>
      <c r="U47" s="9"/>
      <c r="V47" s="9"/>
      <c r="W47" s="9"/>
      <c r="X47" s="9"/>
      <c r="Y47" s="9"/>
      <c r="Z47" s="9"/>
      <c r="AA47" s="9"/>
      <c r="AB47" s="9"/>
      <c r="AC47" s="9"/>
      <c r="AD47" s="9"/>
      <c r="AE47" s="9"/>
      <c r="AF47" s="9"/>
    </row>
    <row r="48" spans="1:32" ht="54.95" customHeight="1" x14ac:dyDescent="0.2">
      <c r="A48" s="3" t="s">
        <v>173</v>
      </c>
      <c r="B48" s="4" t="s">
        <v>174</v>
      </c>
      <c r="C48" s="4" t="s">
        <v>175</v>
      </c>
      <c r="D48" s="4" t="s">
        <v>41</v>
      </c>
      <c r="E48" s="5">
        <v>0.1</v>
      </c>
      <c r="F48" s="10" t="s">
        <v>18</v>
      </c>
      <c r="G48" s="5">
        <v>2.9600000000000001E-2</v>
      </c>
      <c r="H48" s="10">
        <v>178172216</v>
      </c>
      <c r="I48" s="7">
        <f t="shared" si="6"/>
        <v>0.29599999999999999</v>
      </c>
      <c r="J48" s="8"/>
      <c r="K48" s="8"/>
      <c r="L48" s="8"/>
      <c r="M48" s="8"/>
      <c r="N48" s="8"/>
      <c r="O48" s="9"/>
      <c r="P48" s="9"/>
      <c r="Q48" s="9"/>
      <c r="R48" s="9"/>
      <c r="S48" s="9"/>
      <c r="T48" s="9"/>
      <c r="U48" s="9"/>
      <c r="V48" s="9"/>
      <c r="W48" s="9"/>
      <c r="X48" s="9"/>
      <c r="Y48" s="9"/>
      <c r="Z48" s="9"/>
      <c r="AA48" s="9"/>
      <c r="AB48" s="9"/>
      <c r="AC48" s="9"/>
      <c r="AD48" s="9"/>
      <c r="AE48" s="9"/>
      <c r="AF48" s="9"/>
    </row>
    <row r="49" spans="1:32" ht="54.95" customHeight="1" x14ac:dyDescent="0.2">
      <c r="A49" s="3" t="s">
        <v>176</v>
      </c>
      <c r="B49" s="4" t="s">
        <v>177</v>
      </c>
      <c r="C49" s="4" t="s">
        <v>178</v>
      </c>
      <c r="D49" s="4" t="s">
        <v>179</v>
      </c>
      <c r="E49" s="5">
        <v>6.5000000000000002E-2</v>
      </c>
      <c r="F49" s="10" t="s">
        <v>13</v>
      </c>
      <c r="G49" s="10" t="s">
        <v>180</v>
      </c>
      <c r="H49" s="10" t="s">
        <v>180</v>
      </c>
      <c r="I49" s="49" t="s">
        <v>180</v>
      </c>
      <c r="J49" s="8"/>
      <c r="K49" s="8"/>
      <c r="L49" s="8"/>
      <c r="M49" s="8"/>
      <c r="N49" s="8"/>
      <c r="O49" s="9"/>
      <c r="P49" s="9"/>
      <c r="Q49" s="9"/>
      <c r="R49" s="9"/>
      <c r="S49" s="9"/>
      <c r="T49" s="9"/>
      <c r="U49" s="9"/>
      <c r="V49" s="9"/>
      <c r="W49" s="9"/>
      <c r="X49" s="9"/>
      <c r="Y49" s="9"/>
      <c r="Z49" s="9"/>
      <c r="AA49" s="9"/>
      <c r="AB49" s="9"/>
      <c r="AC49" s="9"/>
      <c r="AD49" s="9"/>
      <c r="AE49" s="9"/>
      <c r="AF49" s="9"/>
    </row>
    <row r="50" spans="1:32" ht="54.95" customHeight="1" x14ac:dyDescent="0.2">
      <c r="A50" s="3" t="s">
        <v>181</v>
      </c>
      <c r="B50" s="4" t="s">
        <v>182</v>
      </c>
      <c r="C50" s="4" t="s">
        <v>183</v>
      </c>
      <c r="D50" s="4" t="s">
        <v>74</v>
      </c>
      <c r="E50" s="15">
        <v>0.05</v>
      </c>
      <c r="F50" s="10" t="s">
        <v>18</v>
      </c>
      <c r="G50" s="5">
        <v>6.0999999999999999E-2</v>
      </c>
      <c r="H50" s="10">
        <v>205387642</v>
      </c>
      <c r="I50" s="7">
        <f>G50/E50</f>
        <v>1.22</v>
      </c>
      <c r="J50" s="8"/>
      <c r="K50" s="8"/>
      <c r="L50" s="8"/>
      <c r="M50" s="8"/>
      <c r="N50" s="8"/>
      <c r="O50" s="9"/>
      <c r="P50" s="9"/>
      <c r="Q50" s="9"/>
      <c r="R50" s="9"/>
      <c r="S50" s="9"/>
      <c r="T50" s="9"/>
      <c r="U50" s="9"/>
      <c r="V50" s="9"/>
      <c r="W50" s="9"/>
      <c r="X50" s="9"/>
      <c r="Y50" s="9"/>
      <c r="Z50" s="9"/>
      <c r="AA50" s="9"/>
      <c r="AB50" s="9"/>
      <c r="AC50" s="9"/>
      <c r="AD50" s="9"/>
      <c r="AE50" s="9"/>
      <c r="AF50" s="9"/>
    </row>
    <row r="51" spans="1:32" ht="54.95" customHeight="1" x14ac:dyDescent="0.2">
      <c r="A51" s="50" t="s">
        <v>184</v>
      </c>
      <c r="B51" s="51" t="s">
        <v>185</v>
      </c>
      <c r="C51" s="51" t="s">
        <v>186</v>
      </c>
      <c r="D51" s="51" t="s">
        <v>74</v>
      </c>
      <c r="E51" s="52">
        <v>5.0900000000000001E-2</v>
      </c>
      <c r="F51" s="53" t="s">
        <v>18</v>
      </c>
      <c r="G51" s="52">
        <v>6.3E-2</v>
      </c>
      <c r="H51" s="54">
        <v>874740692</v>
      </c>
      <c r="I51" s="55">
        <v>1.1890000000000001</v>
      </c>
      <c r="J51" s="8"/>
      <c r="K51" s="8"/>
      <c r="L51" s="8"/>
      <c r="M51" s="8"/>
      <c r="N51" s="8"/>
      <c r="O51" s="9"/>
      <c r="P51" s="9"/>
      <c r="Q51" s="9"/>
      <c r="R51" s="9"/>
      <c r="S51" s="9"/>
      <c r="T51" s="9"/>
      <c r="U51" s="9"/>
      <c r="V51" s="9"/>
      <c r="W51" s="9"/>
      <c r="X51" s="9"/>
      <c r="Y51" s="9"/>
      <c r="Z51" s="9"/>
      <c r="AA51" s="9"/>
      <c r="AB51" s="9"/>
      <c r="AC51" s="9"/>
      <c r="AD51" s="9"/>
      <c r="AE51" s="9"/>
      <c r="AF51" s="9"/>
    </row>
    <row r="52" spans="1:32" ht="54.95" customHeight="1" x14ac:dyDescent="0.2">
      <c r="A52" s="56"/>
      <c r="B52" s="9"/>
      <c r="C52" s="9"/>
      <c r="D52" s="57"/>
      <c r="E52" s="9"/>
      <c r="F52" s="9"/>
      <c r="G52" s="9"/>
      <c r="H52" s="9"/>
      <c r="I52" s="58"/>
      <c r="J52" s="9"/>
      <c r="K52" s="8"/>
      <c r="L52" s="9"/>
      <c r="M52" s="9"/>
      <c r="N52" s="9"/>
      <c r="O52" s="9"/>
      <c r="P52" s="9"/>
      <c r="Q52" s="9"/>
      <c r="R52" s="9"/>
      <c r="S52" s="9"/>
      <c r="T52" s="9"/>
      <c r="U52" s="9"/>
      <c r="V52" s="9"/>
      <c r="W52" s="9"/>
      <c r="X52" s="9"/>
      <c r="Y52" s="9"/>
      <c r="Z52" s="9"/>
      <c r="AA52" s="9"/>
      <c r="AB52" s="9"/>
      <c r="AC52" s="9"/>
      <c r="AD52" s="9"/>
      <c r="AE52" s="9"/>
      <c r="AF52" s="9"/>
    </row>
    <row r="53" spans="1:32" ht="54.95" customHeight="1" x14ac:dyDescent="0.2">
      <c r="A53" s="56"/>
      <c r="B53" s="9"/>
      <c r="C53" s="9"/>
      <c r="D53" s="57"/>
      <c r="E53" s="9"/>
      <c r="F53" s="9"/>
      <c r="G53" s="9"/>
      <c r="H53" s="9"/>
      <c r="I53" s="58"/>
      <c r="J53" s="9"/>
      <c r="K53" s="8"/>
      <c r="L53" s="9"/>
      <c r="M53" s="9"/>
      <c r="N53" s="9"/>
      <c r="O53" s="9"/>
      <c r="P53" s="9"/>
      <c r="Q53" s="9"/>
      <c r="R53" s="9"/>
      <c r="S53" s="9"/>
      <c r="T53" s="9"/>
      <c r="U53" s="9"/>
      <c r="V53" s="9"/>
      <c r="W53" s="9"/>
      <c r="X53" s="9"/>
      <c r="Y53" s="9"/>
      <c r="Z53" s="9"/>
      <c r="AA53" s="9"/>
      <c r="AB53" s="9"/>
      <c r="AC53" s="9"/>
      <c r="AD53" s="9"/>
      <c r="AE53" s="9"/>
      <c r="AF53" s="9"/>
    </row>
    <row r="54" spans="1:32" ht="54.95" customHeight="1" x14ac:dyDescent="0.2">
      <c r="A54" s="56"/>
      <c r="B54" s="9"/>
      <c r="C54" s="9"/>
      <c r="D54" s="57"/>
      <c r="E54" s="9"/>
      <c r="F54" s="9"/>
      <c r="G54" s="9"/>
      <c r="H54" s="9"/>
      <c r="I54" s="58"/>
      <c r="J54" s="9"/>
      <c r="K54" s="8"/>
      <c r="L54" s="9"/>
      <c r="M54" s="9"/>
      <c r="N54" s="9"/>
      <c r="O54" s="9"/>
      <c r="P54" s="9"/>
      <c r="Q54" s="9"/>
      <c r="R54" s="9"/>
      <c r="S54" s="9"/>
      <c r="T54" s="9"/>
      <c r="U54" s="9"/>
      <c r="V54" s="9"/>
      <c r="W54" s="9"/>
      <c r="X54" s="9"/>
      <c r="Y54" s="9"/>
      <c r="Z54" s="9"/>
      <c r="AA54" s="9"/>
      <c r="AB54" s="9"/>
      <c r="AC54" s="9"/>
      <c r="AD54" s="9"/>
      <c r="AE54" s="9"/>
      <c r="AF54" s="9"/>
    </row>
    <row r="55" spans="1:32" ht="54.95" customHeight="1" x14ac:dyDescent="0.2">
      <c r="A55" s="56"/>
      <c r="B55" s="9"/>
      <c r="C55" s="9"/>
      <c r="D55" s="59"/>
      <c r="E55" s="9"/>
      <c r="F55" s="9"/>
      <c r="G55" s="9"/>
      <c r="H55" s="9"/>
      <c r="I55" s="58"/>
      <c r="J55" s="9"/>
      <c r="K55" s="8"/>
      <c r="L55" s="9"/>
      <c r="M55" s="9"/>
      <c r="N55" s="9"/>
      <c r="O55" s="9"/>
      <c r="P55" s="9"/>
      <c r="Q55" s="9"/>
      <c r="R55" s="9"/>
      <c r="S55" s="9"/>
      <c r="T55" s="9"/>
      <c r="U55" s="9"/>
      <c r="V55" s="9"/>
      <c r="W55" s="9"/>
      <c r="X55" s="9"/>
      <c r="Y55" s="9"/>
      <c r="Z55" s="9"/>
      <c r="AA55" s="9"/>
      <c r="AB55" s="9"/>
      <c r="AC55" s="9"/>
      <c r="AD55" s="9"/>
      <c r="AE55" s="9"/>
      <c r="AF55" s="9"/>
    </row>
    <row r="56" spans="1:32" ht="54.95" customHeight="1" x14ac:dyDescent="0.2">
      <c r="A56" s="56"/>
      <c r="B56" s="9"/>
      <c r="C56" s="9"/>
      <c r="D56" s="59"/>
      <c r="E56" s="9"/>
      <c r="F56" s="9"/>
      <c r="G56" s="9"/>
      <c r="H56" s="9"/>
      <c r="I56" s="58"/>
      <c r="J56" s="9"/>
      <c r="K56" s="8"/>
      <c r="L56" s="9"/>
      <c r="M56" s="9"/>
      <c r="N56" s="9"/>
      <c r="O56" s="9"/>
      <c r="P56" s="9"/>
      <c r="Q56" s="9"/>
      <c r="R56" s="9"/>
      <c r="S56" s="9"/>
      <c r="T56" s="9"/>
      <c r="U56" s="9"/>
      <c r="V56" s="9"/>
      <c r="W56" s="9"/>
      <c r="X56" s="9"/>
      <c r="Y56" s="9"/>
      <c r="Z56" s="9"/>
      <c r="AA56" s="9"/>
      <c r="AB56" s="9"/>
      <c r="AC56" s="9"/>
      <c r="AD56" s="9"/>
      <c r="AE56" s="9"/>
      <c r="AF56" s="9"/>
    </row>
    <row r="57" spans="1:32" ht="54.95" customHeight="1" x14ac:dyDescent="0.2">
      <c r="A57" s="56"/>
      <c r="B57" s="9"/>
      <c r="C57" s="9"/>
      <c r="D57" s="59"/>
      <c r="E57" s="9"/>
      <c r="F57" s="9"/>
      <c r="G57" s="9"/>
      <c r="H57" s="9"/>
      <c r="I57" s="58"/>
      <c r="J57" s="9"/>
      <c r="K57" s="8"/>
      <c r="L57" s="9"/>
      <c r="M57" s="9"/>
      <c r="N57" s="9"/>
      <c r="O57" s="9"/>
      <c r="P57" s="9"/>
      <c r="Q57" s="9"/>
      <c r="R57" s="9"/>
      <c r="S57" s="9"/>
      <c r="T57" s="9"/>
      <c r="U57" s="9"/>
      <c r="V57" s="9"/>
      <c r="W57" s="9"/>
      <c r="X57" s="9"/>
      <c r="Y57" s="9"/>
      <c r="Z57" s="9"/>
      <c r="AA57" s="9"/>
      <c r="AB57" s="9"/>
      <c r="AC57" s="9"/>
      <c r="AD57" s="9"/>
      <c r="AE57" s="9"/>
      <c r="AF57" s="9"/>
    </row>
    <row r="58" spans="1:32" ht="54.95" customHeight="1" x14ac:dyDescent="0.2">
      <c r="A58" s="56"/>
      <c r="B58" s="9"/>
      <c r="C58" s="9"/>
      <c r="D58" s="9"/>
      <c r="E58" s="9"/>
      <c r="F58" s="9"/>
      <c r="G58" s="9"/>
      <c r="H58" s="9"/>
      <c r="I58" s="58"/>
      <c r="J58" s="9"/>
      <c r="K58" s="8"/>
      <c r="L58" s="9"/>
      <c r="M58" s="9"/>
      <c r="N58" s="9"/>
      <c r="O58" s="9"/>
      <c r="P58" s="9"/>
      <c r="Q58" s="9"/>
      <c r="R58" s="9"/>
      <c r="S58" s="9"/>
      <c r="T58" s="9"/>
      <c r="U58" s="9"/>
      <c r="V58" s="9"/>
      <c r="W58" s="9"/>
      <c r="X58" s="9"/>
      <c r="Y58" s="9"/>
      <c r="Z58" s="9"/>
      <c r="AA58" s="9"/>
      <c r="AB58" s="9"/>
      <c r="AC58" s="9"/>
      <c r="AD58" s="9"/>
      <c r="AE58" s="9"/>
      <c r="AF58" s="9"/>
    </row>
    <row r="59" spans="1:32" ht="54.95" customHeight="1" x14ac:dyDescent="0.2">
      <c r="A59" s="56"/>
      <c r="B59" s="9"/>
      <c r="C59" s="9"/>
      <c r="D59" s="9"/>
      <c r="E59" s="9"/>
      <c r="F59" s="9"/>
      <c r="G59" s="9"/>
      <c r="H59" s="9"/>
      <c r="I59" s="58"/>
      <c r="J59" s="9"/>
      <c r="K59" s="8"/>
      <c r="L59" s="9"/>
      <c r="M59" s="9"/>
      <c r="N59" s="9"/>
      <c r="O59" s="9"/>
      <c r="P59" s="9"/>
      <c r="Q59" s="9"/>
      <c r="R59" s="9"/>
      <c r="S59" s="9"/>
      <c r="T59" s="9"/>
      <c r="U59" s="9"/>
      <c r="V59" s="9"/>
      <c r="W59" s="9"/>
      <c r="X59" s="9"/>
      <c r="Y59" s="9"/>
      <c r="Z59" s="9"/>
      <c r="AA59" s="9"/>
      <c r="AB59" s="9"/>
      <c r="AC59" s="9"/>
      <c r="AD59" s="9"/>
      <c r="AE59" s="9"/>
      <c r="AF59" s="9"/>
    </row>
    <row r="60" spans="1:32" ht="54.95" customHeight="1" x14ac:dyDescent="0.2">
      <c r="A60" s="56"/>
      <c r="B60" s="9"/>
      <c r="C60" s="9"/>
      <c r="D60" s="9"/>
      <c r="E60" s="9"/>
      <c r="F60" s="9"/>
      <c r="G60" s="9"/>
      <c r="H60" s="9"/>
      <c r="I60" s="58"/>
      <c r="J60" s="9"/>
      <c r="K60" s="8"/>
      <c r="L60" s="9"/>
      <c r="M60" s="9"/>
      <c r="N60" s="9"/>
      <c r="O60" s="9"/>
      <c r="P60" s="9"/>
      <c r="Q60" s="9"/>
      <c r="R60" s="9"/>
      <c r="S60" s="9"/>
      <c r="T60" s="9"/>
      <c r="U60" s="9"/>
      <c r="V60" s="9"/>
      <c r="W60" s="9"/>
      <c r="X60" s="9"/>
      <c r="Y60" s="9"/>
      <c r="Z60" s="9"/>
      <c r="AA60" s="9"/>
      <c r="AB60" s="9"/>
      <c r="AC60" s="9"/>
      <c r="AD60" s="9"/>
      <c r="AE60" s="9"/>
      <c r="AF60" s="9"/>
    </row>
    <row r="61" spans="1:32" ht="54.95" customHeight="1" x14ac:dyDescent="0.2">
      <c r="A61" s="56"/>
      <c r="B61" s="9"/>
      <c r="C61" s="9"/>
      <c r="D61" s="9"/>
      <c r="E61" s="9"/>
      <c r="F61" s="9"/>
      <c r="G61" s="9"/>
      <c r="H61" s="9"/>
      <c r="I61" s="58"/>
      <c r="J61" s="9"/>
      <c r="K61" s="8"/>
      <c r="L61" s="9"/>
      <c r="M61" s="9"/>
      <c r="N61" s="9"/>
      <c r="O61" s="9"/>
      <c r="P61" s="9"/>
      <c r="Q61" s="9"/>
      <c r="R61" s="9"/>
      <c r="S61" s="9"/>
      <c r="T61" s="9"/>
      <c r="U61" s="9"/>
      <c r="V61" s="9"/>
      <c r="W61" s="9"/>
      <c r="X61" s="9"/>
      <c r="Y61" s="9"/>
      <c r="Z61" s="9"/>
      <c r="AA61" s="9"/>
      <c r="AB61" s="9"/>
      <c r="AC61" s="9"/>
      <c r="AD61" s="9"/>
      <c r="AE61" s="9"/>
      <c r="AF61" s="9"/>
    </row>
    <row r="62" spans="1:32" ht="54.95" customHeight="1" x14ac:dyDescent="0.2">
      <c r="A62" s="56"/>
      <c r="B62" s="9"/>
      <c r="C62" s="9"/>
      <c r="D62" s="9"/>
      <c r="E62" s="9"/>
      <c r="F62" s="9"/>
      <c r="G62" s="9"/>
      <c r="H62" s="9"/>
      <c r="I62" s="58"/>
      <c r="J62" s="9"/>
      <c r="K62" s="8"/>
      <c r="L62" s="9"/>
      <c r="M62" s="9"/>
      <c r="N62" s="9"/>
      <c r="O62" s="9"/>
      <c r="P62" s="9"/>
      <c r="Q62" s="9"/>
      <c r="R62" s="9"/>
      <c r="S62" s="9"/>
      <c r="T62" s="9"/>
      <c r="U62" s="9"/>
      <c r="V62" s="9"/>
      <c r="W62" s="9"/>
      <c r="X62" s="9"/>
      <c r="Y62" s="9"/>
      <c r="Z62" s="9"/>
      <c r="AA62" s="9"/>
      <c r="AB62" s="9"/>
      <c r="AC62" s="9"/>
      <c r="AD62" s="9"/>
      <c r="AE62" s="9"/>
      <c r="AF62" s="9"/>
    </row>
    <row r="63" spans="1:32" ht="54.95" customHeight="1" x14ac:dyDescent="0.2">
      <c r="A63" s="56"/>
      <c r="B63" s="9"/>
      <c r="C63" s="9"/>
      <c r="D63" s="9"/>
      <c r="E63" s="9"/>
      <c r="F63" s="9"/>
      <c r="G63" s="9"/>
      <c r="H63" s="9"/>
      <c r="I63" s="58"/>
      <c r="J63" s="9"/>
      <c r="K63" s="8"/>
      <c r="L63" s="9"/>
      <c r="M63" s="9"/>
      <c r="N63" s="9"/>
      <c r="O63" s="9"/>
      <c r="P63" s="9"/>
      <c r="Q63" s="9"/>
      <c r="R63" s="9"/>
      <c r="S63" s="9"/>
      <c r="T63" s="9"/>
      <c r="U63" s="9"/>
      <c r="V63" s="9"/>
      <c r="W63" s="9"/>
      <c r="X63" s="9"/>
      <c r="Y63" s="9"/>
      <c r="Z63" s="9"/>
      <c r="AA63" s="9"/>
      <c r="AB63" s="9"/>
      <c r="AC63" s="9"/>
      <c r="AD63" s="9"/>
      <c r="AE63" s="9"/>
      <c r="AF63" s="9"/>
    </row>
    <row r="64" spans="1:32" ht="54.95" customHeight="1" x14ac:dyDescent="0.2">
      <c r="A64" s="56"/>
      <c r="B64" s="9"/>
      <c r="C64" s="9"/>
      <c r="D64" s="9"/>
      <c r="E64" s="9"/>
      <c r="F64" s="9"/>
      <c r="G64" s="9"/>
      <c r="H64" s="9"/>
      <c r="I64" s="58"/>
      <c r="J64" s="9"/>
      <c r="K64" s="8"/>
      <c r="L64" s="9"/>
      <c r="M64" s="9"/>
      <c r="N64" s="9"/>
      <c r="O64" s="9"/>
      <c r="P64" s="9"/>
      <c r="Q64" s="9"/>
      <c r="R64" s="9"/>
      <c r="S64" s="9"/>
      <c r="T64" s="9"/>
      <c r="U64" s="9"/>
      <c r="V64" s="9"/>
      <c r="W64" s="9"/>
      <c r="X64" s="9"/>
      <c r="Y64" s="9"/>
      <c r="Z64" s="9"/>
      <c r="AA64" s="9"/>
      <c r="AB64" s="9"/>
      <c r="AC64" s="9"/>
      <c r="AD64" s="9"/>
      <c r="AE64" s="9"/>
      <c r="AF64" s="9"/>
    </row>
    <row r="65" spans="1:32" ht="54.95" customHeight="1" x14ac:dyDescent="0.2">
      <c r="A65" s="56"/>
      <c r="B65" s="9"/>
      <c r="C65" s="9"/>
      <c r="D65" s="9"/>
      <c r="E65" s="9"/>
      <c r="F65" s="9"/>
      <c r="G65" s="9"/>
      <c r="H65" s="9"/>
      <c r="I65" s="58"/>
      <c r="J65" s="9"/>
      <c r="K65" s="8"/>
      <c r="L65" s="9"/>
      <c r="M65" s="9"/>
      <c r="N65" s="9"/>
      <c r="O65" s="9"/>
      <c r="P65" s="9"/>
      <c r="Q65" s="9"/>
      <c r="R65" s="9"/>
      <c r="S65" s="9"/>
      <c r="T65" s="9"/>
      <c r="U65" s="9"/>
      <c r="V65" s="9"/>
      <c r="W65" s="9"/>
      <c r="X65" s="9"/>
      <c r="Y65" s="9"/>
      <c r="Z65" s="9"/>
      <c r="AA65" s="9"/>
      <c r="AB65" s="9"/>
      <c r="AC65" s="9"/>
      <c r="AD65" s="9"/>
      <c r="AE65" s="9"/>
      <c r="AF65" s="9"/>
    </row>
    <row r="66" spans="1:32" ht="54.95" customHeight="1" x14ac:dyDescent="0.2">
      <c r="A66" s="56"/>
      <c r="B66" s="9"/>
      <c r="C66" s="9"/>
      <c r="D66" s="9"/>
      <c r="E66" s="9"/>
      <c r="F66" s="9"/>
      <c r="G66" s="9"/>
      <c r="H66" s="9"/>
      <c r="I66" s="58"/>
      <c r="J66" s="9"/>
      <c r="K66" s="8"/>
      <c r="L66" s="9"/>
      <c r="M66" s="9"/>
      <c r="N66" s="9"/>
      <c r="O66" s="9"/>
      <c r="P66" s="9"/>
      <c r="Q66" s="9"/>
      <c r="R66" s="9"/>
      <c r="S66" s="9"/>
      <c r="T66" s="9"/>
      <c r="U66" s="9"/>
      <c r="V66" s="9"/>
      <c r="W66" s="9"/>
      <c r="X66" s="9"/>
      <c r="Y66" s="9"/>
      <c r="Z66" s="9"/>
      <c r="AA66" s="9"/>
      <c r="AB66" s="9"/>
      <c r="AC66" s="9"/>
      <c r="AD66" s="9"/>
      <c r="AE66" s="9"/>
      <c r="AF66" s="9"/>
    </row>
    <row r="67" spans="1:32" ht="54.95" customHeight="1" x14ac:dyDescent="0.2">
      <c r="A67" s="56"/>
      <c r="B67" s="9"/>
      <c r="C67" s="9"/>
      <c r="D67" s="9"/>
      <c r="E67" s="9"/>
      <c r="F67" s="9"/>
      <c r="G67" s="9"/>
      <c r="H67" s="9"/>
      <c r="I67" s="58"/>
      <c r="J67" s="9"/>
      <c r="K67" s="8"/>
      <c r="L67" s="9"/>
      <c r="M67" s="9"/>
      <c r="N67" s="9"/>
      <c r="O67" s="9"/>
      <c r="P67" s="9"/>
      <c r="Q67" s="9"/>
      <c r="R67" s="9"/>
      <c r="S67" s="9"/>
      <c r="T67" s="9"/>
      <c r="U67" s="9"/>
      <c r="V67" s="9"/>
      <c r="W67" s="9"/>
      <c r="X67" s="9"/>
      <c r="Y67" s="9"/>
      <c r="Z67" s="9"/>
      <c r="AA67" s="9"/>
      <c r="AB67" s="9"/>
      <c r="AC67" s="9"/>
      <c r="AD67" s="9"/>
      <c r="AE67" s="9"/>
      <c r="AF67" s="9"/>
    </row>
    <row r="68" spans="1:32" ht="54.95" customHeight="1" x14ac:dyDescent="0.2">
      <c r="A68" s="56"/>
      <c r="B68" s="9"/>
      <c r="C68" s="9"/>
      <c r="D68" s="9"/>
      <c r="E68" s="9"/>
      <c r="F68" s="9"/>
      <c r="G68" s="9"/>
      <c r="H68" s="9"/>
      <c r="I68" s="58"/>
      <c r="J68" s="9"/>
      <c r="K68" s="8"/>
      <c r="L68" s="9"/>
      <c r="M68" s="9"/>
      <c r="N68" s="9"/>
      <c r="O68" s="9"/>
      <c r="P68" s="9"/>
      <c r="Q68" s="9"/>
      <c r="R68" s="9"/>
      <c r="S68" s="9"/>
      <c r="T68" s="9"/>
      <c r="U68" s="9"/>
      <c r="V68" s="9"/>
      <c r="W68" s="9"/>
      <c r="X68" s="9"/>
      <c r="Y68" s="9"/>
      <c r="Z68" s="9"/>
      <c r="AA68" s="9"/>
      <c r="AB68" s="9"/>
      <c r="AC68" s="9"/>
      <c r="AD68" s="9"/>
      <c r="AE68" s="9"/>
      <c r="AF68" s="9"/>
    </row>
    <row r="69" spans="1:32" ht="54.95" customHeight="1" x14ac:dyDescent="0.2">
      <c r="A69" s="56"/>
      <c r="B69" s="9"/>
      <c r="C69" s="9"/>
      <c r="D69" s="9"/>
      <c r="E69" s="9"/>
      <c r="F69" s="9"/>
      <c r="G69" s="9"/>
      <c r="H69" s="9"/>
      <c r="I69" s="58"/>
      <c r="J69" s="9"/>
      <c r="K69" s="8"/>
      <c r="L69" s="9"/>
      <c r="M69" s="9"/>
      <c r="N69" s="9"/>
      <c r="O69" s="9"/>
      <c r="P69" s="9"/>
      <c r="Q69" s="9"/>
      <c r="R69" s="9"/>
      <c r="S69" s="9"/>
      <c r="T69" s="9"/>
      <c r="U69" s="9"/>
      <c r="V69" s="9"/>
      <c r="W69" s="9"/>
      <c r="X69" s="9"/>
      <c r="Y69" s="9"/>
      <c r="Z69" s="9"/>
      <c r="AA69" s="9"/>
      <c r="AB69" s="9"/>
      <c r="AC69" s="9"/>
      <c r="AD69" s="9"/>
      <c r="AE69" s="9"/>
      <c r="AF69" s="9"/>
    </row>
    <row r="70" spans="1:32" ht="54.95" customHeight="1" x14ac:dyDescent="0.2">
      <c r="A70" s="56"/>
      <c r="B70" s="9"/>
      <c r="C70" s="9"/>
      <c r="D70" s="9"/>
      <c r="E70" s="9"/>
      <c r="F70" s="9"/>
      <c r="G70" s="9"/>
      <c r="H70" s="9"/>
      <c r="I70" s="58"/>
      <c r="J70" s="9"/>
      <c r="K70" s="8"/>
      <c r="L70" s="9"/>
      <c r="M70" s="9"/>
      <c r="N70" s="9"/>
      <c r="O70" s="9"/>
      <c r="P70" s="9"/>
      <c r="Q70" s="9"/>
      <c r="R70" s="9"/>
      <c r="S70" s="9"/>
      <c r="T70" s="9"/>
      <c r="U70" s="9"/>
      <c r="V70" s="9"/>
      <c r="W70" s="9"/>
      <c r="X70" s="9"/>
      <c r="Y70" s="9"/>
      <c r="Z70" s="9"/>
      <c r="AA70" s="9"/>
      <c r="AB70" s="9"/>
      <c r="AC70" s="9"/>
      <c r="AD70" s="9"/>
      <c r="AE70" s="9"/>
      <c r="AF70" s="9"/>
    </row>
    <row r="71" spans="1:32" ht="54.95" customHeight="1" x14ac:dyDescent="0.2">
      <c r="A71" s="56"/>
      <c r="B71" s="9"/>
      <c r="C71" s="9"/>
      <c r="D71" s="9"/>
      <c r="E71" s="9"/>
      <c r="F71" s="9"/>
      <c r="G71" s="9"/>
      <c r="H71" s="9"/>
      <c r="I71" s="58"/>
      <c r="J71" s="9"/>
      <c r="K71" s="8"/>
      <c r="L71" s="9"/>
      <c r="M71" s="9"/>
      <c r="N71" s="9"/>
      <c r="O71" s="9"/>
      <c r="P71" s="9"/>
      <c r="Q71" s="9"/>
      <c r="R71" s="9"/>
      <c r="S71" s="9"/>
      <c r="T71" s="9"/>
      <c r="U71" s="9"/>
      <c r="V71" s="9"/>
      <c r="W71" s="9"/>
      <c r="X71" s="9"/>
      <c r="Y71" s="9"/>
      <c r="Z71" s="9"/>
      <c r="AA71" s="9"/>
      <c r="AB71" s="9"/>
      <c r="AC71" s="9"/>
      <c r="AD71" s="9"/>
      <c r="AE71" s="9"/>
      <c r="AF71" s="9"/>
    </row>
    <row r="72" spans="1:32" ht="54.95" customHeight="1" x14ac:dyDescent="0.2">
      <c r="A72" s="56"/>
      <c r="B72" s="9"/>
      <c r="C72" s="9"/>
      <c r="D72" s="9"/>
      <c r="E72" s="9"/>
      <c r="F72" s="9"/>
      <c r="G72" s="9"/>
      <c r="H72" s="9"/>
      <c r="I72" s="58"/>
      <c r="J72" s="9"/>
      <c r="K72" s="8"/>
      <c r="L72" s="9"/>
      <c r="M72" s="9"/>
      <c r="N72" s="9"/>
      <c r="O72" s="9"/>
      <c r="P72" s="9"/>
      <c r="Q72" s="9"/>
      <c r="R72" s="9"/>
      <c r="S72" s="9"/>
      <c r="T72" s="9"/>
      <c r="U72" s="9"/>
      <c r="V72" s="9"/>
      <c r="W72" s="9"/>
      <c r="X72" s="9"/>
      <c r="Y72" s="9"/>
      <c r="Z72" s="9"/>
      <c r="AA72" s="9"/>
      <c r="AB72" s="9"/>
      <c r="AC72" s="9"/>
      <c r="AD72" s="9"/>
      <c r="AE72" s="9"/>
      <c r="AF72" s="9"/>
    </row>
    <row r="73" spans="1:32" ht="54.95" customHeight="1" x14ac:dyDescent="0.2">
      <c r="A73" s="56"/>
      <c r="B73" s="9"/>
      <c r="C73" s="9"/>
      <c r="D73" s="9"/>
      <c r="E73" s="9"/>
      <c r="F73" s="9"/>
      <c r="G73" s="9"/>
      <c r="H73" s="9"/>
      <c r="I73" s="58"/>
      <c r="J73" s="9"/>
      <c r="K73" s="8"/>
      <c r="L73" s="9"/>
      <c r="M73" s="9"/>
      <c r="N73" s="9"/>
      <c r="O73" s="9"/>
      <c r="P73" s="9"/>
      <c r="Q73" s="9"/>
      <c r="R73" s="9"/>
      <c r="S73" s="9"/>
      <c r="T73" s="9"/>
      <c r="U73" s="9"/>
      <c r="V73" s="9"/>
      <c r="W73" s="9"/>
      <c r="X73" s="9"/>
      <c r="Y73" s="9"/>
      <c r="Z73" s="9"/>
      <c r="AA73" s="9"/>
      <c r="AB73" s="9"/>
      <c r="AC73" s="9"/>
      <c r="AD73" s="9"/>
      <c r="AE73" s="9"/>
      <c r="AF73" s="9"/>
    </row>
    <row r="74" spans="1:32" ht="54.95" customHeight="1" x14ac:dyDescent="0.2">
      <c r="A74" s="56"/>
      <c r="B74" s="9"/>
      <c r="C74" s="9"/>
      <c r="D74" s="9"/>
      <c r="E74" s="9"/>
      <c r="F74" s="9"/>
      <c r="G74" s="9"/>
      <c r="H74" s="9"/>
      <c r="I74" s="58"/>
      <c r="J74" s="9"/>
      <c r="K74" s="8"/>
      <c r="L74" s="9"/>
      <c r="M74" s="9"/>
      <c r="N74" s="9"/>
      <c r="O74" s="9"/>
      <c r="P74" s="9"/>
      <c r="Q74" s="9"/>
      <c r="R74" s="9"/>
      <c r="S74" s="9"/>
      <c r="T74" s="9"/>
      <c r="U74" s="9"/>
      <c r="V74" s="9"/>
      <c r="W74" s="9"/>
      <c r="X74" s="9"/>
      <c r="Y74" s="9"/>
      <c r="Z74" s="9"/>
      <c r="AA74" s="9"/>
      <c r="AB74" s="9"/>
      <c r="AC74" s="9"/>
      <c r="AD74" s="9"/>
      <c r="AE74" s="9"/>
      <c r="AF74" s="9"/>
    </row>
    <row r="75" spans="1:32" ht="54.95" customHeight="1" x14ac:dyDescent="0.2">
      <c r="A75" s="56"/>
      <c r="B75" s="9"/>
      <c r="C75" s="9"/>
      <c r="D75" s="9"/>
      <c r="E75" s="9"/>
      <c r="F75" s="9"/>
      <c r="G75" s="9"/>
      <c r="H75" s="9"/>
      <c r="I75" s="58"/>
      <c r="J75" s="9"/>
      <c r="K75" s="8"/>
      <c r="L75" s="9"/>
      <c r="M75" s="9"/>
      <c r="N75" s="9"/>
      <c r="O75" s="9"/>
      <c r="P75" s="9"/>
      <c r="Q75" s="9"/>
      <c r="R75" s="9"/>
      <c r="S75" s="9"/>
      <c r="T75" s="9"/>
      <c r="U75" s="9"/>
      <c r="V75" s="9"/>
      <c r="W75" s="9"/>
      <c r="X75" s="9"/>
      <c r="Y75" s="9"/>
      <c r="Z75" s="9"/>
      <c r="AA75" s="9"/>
      <c r="AB75" s="9"/>
      <c r="AC75" s="9"/>
      <c r="AD75" s="9"/>
      <c r="AE75" s="9"/>
      <c r="AF75" s="9"/>
    </row>
    <row r="76" spans="1:32" ht="54.95" customHeight="1" x14ac:dyDescent="0.2">
      <c r="A76" s="56"/>
      <c r="B76" s="9"/>
      <c r="C76" s="9"/>
      <c r="D76" s="9"/>
      <c r="E76" s="9"/>
      <c r="F76" s="9"/>
      <c r="G76" s="9"/>
      <c r="H76" s="9"/>
      <c r="I76" s="58"/>
      <c r="J76" s="9"/>
      <c r="K76" s="8"/>
      <c r="L76" s="9"/>
      <c r="M76" s="9"/>
      <c r="N76" s="9"/>
      <c r="O76" s="9"/>
      <c r="P76" s="9"/>
      <c r="Q76" s="9"/>
      <c r="R76" s="9"/>
      <c r="S76" s="9"/>
      <c r="T76" s="9"/>
      <c r="U76" s="9"/>
      <c r="V76" s="9"/>
      <c r="W76" s="9"/>
      <c r="X76" s="9"/>
      <c r="Y76" s="9"/>
      <c r="Z76" s="9"/>
      <c r="AA76" s="9"/>
      <c r="AB76" s="9"/>
      <c r="AC76" s="9"/>
      <c r="AD76" s="9"/>
      <c r="AE76" s="9"/>
      <c r="AF76" s="9"/>
    </row>
    <row r="77" spans="1:32" ht="54.95" customHeight="1" x14ac:dyDescent="0.2">
      <c r="A77" s="56"/>
      <c r="B77" s="9"/>
      <c r="C77" s="9"/>
      <c r="D77" s="9"/>
      <c r="E77" s="9"/>
      <c r="F77" s="9"/>
      <c r="G77" s="9"/>
      <c r="H77" s="9"/>
      <c r="I77" s="58"/>
      <c r="J77" s="9"/>
      <c r="K77" s="8"/>
      <c r="L77" s="9"/>
      <c r="M77" s="9"/>
      <c r="N77" s="9"/>
      <c r="O77" s="9"/>
      <c r="P77" s="9"/>
      <c r="Q77" s="9"/>
      <c r="R77" s="9"/>
      <c r="S77" s="9"/>
      <c r="T77" s="9"/>
      <c r="U77" s="9"/>
      <c r="V77" s="9"/>
      <c r="W77" s="9"/>
      <c r="X77" s="9"/>
      <c r="Y77" s="9"/>
      <c r="Z77" s="9"/>
      <c r="AA77" s="9"/>
      <c r="AB77" s="9"/>
      <c r="AC77" s="9"/>
      <c r="AD77" s="9"/>
      <c r="AE77" s="9"/>
      <c r="AF77" s="9"/>
    </row>
    <row r="78" spans="1:32" ht="54.95" customHeight="1" x14ac:dyDescent="0.2">
      <c r="A78" s="56"/>
      <c r="B78" s="9"/>
      <c r="C78" s="9"/>
      <c r="D78" s="9"/>
      <c r="E78" s="9"/>
      <c r="F78" s="9"/>
      <c r="G78" s="9"/>
      <c r="H78" s="9"/>
      <c r="I78" s="58"/>
      <c r="J78" s="9"/>
      <c r="K78" s="8"/>
      <c r="L78" s="9"/>
      <c r="M78" s="9"/>
      <c r="N78" s="9"/>
      <c r="O78" s="9"/>
      <c r="P78" s="9"/>
      <c r="Q78" s="9"/>
      <c r="R78" s="9"/>
      <c r="S78" s="9"/>
      <c r="T78" s="9"/>
      <c r="U78" s="9"/>
      <c r="V78" s="9"/>
      <c r="W78" s="9"/>
      <c r="X78" s="9"/>
      <c r="Y78" s="9"/>
      <c r="Z78" s="9"/>
      <c r="AA78" s="9"/>
      <c r="AB78" s="9"/>
      <c r="AC78" s="9"/>
      <c r="AD78" s="9"/>
      <c r="AE78" s="9"/>
      <c r="AF78" s="9"/>
    </row>
    <row r="79" spans="1:32" ht="54.95" customHeight="1" x14ac:dyDescent="0.2">
      <c r="A79" s="56"/>
      <c r="B79" s="9"/>
      <c r="C79" s="9"/>
      <c r="D79" s="9"/>
      <c r="E79" s="9"/>
      <c r="F79" s="9"/>
      <c r="G79" s="9"/>
      <c r="H79" s="9"/>
      <c r="I79" s="58"/>
      <c r="J79" s="9"/>
      <c r="K79" s="8"/>
      <c r="L79" s="9"/>
      <c r="M79" s="9"/>
      <c r="N79" s="9"/>
      <c r="O79" s="9"/>
      <c r="P79" s="9"/>
      <c r="Q79" s="9"/>
      <c r="R79" s="9"/>
      <c r="S79" s="9"/>
      <c r="T79" s="9"/>
      <c r="U79" s="9"/>
      <c r="V79" s="9"/>
      <c r="W79" s="9"/>
      <c r="X79" s="9"/>
      <c r="Y79" s="9"/>
      <c r="Z79" s="9"/>
      <c r="AA79" s="9"/>
      <c r="AB79" s="9"/>
      <c r="AC79" s="9"/>
      <c r="AD79" s="9"/>
      <c r="AE79" s="9"/>
      <c r="AF79" s="9"/>
    </row>
    <row r="80" spans="1:32" ht="54.95" customHeight="1" x14ac:dyDescent="0.2">
      <c r="A80" s="56"/>
      <c r="B80" s="9"/>
      <c r="C80" s="9"/>
      <c r="D80" s="9"/>
      <c r="E80" s="9"/>
      <c r="F80" s="9"/>
      <c r="G80" s="9"/>
      <c r="H80" s="9"/>
      <c r="I80" s="58"/>
      <c r="J80" s="9"/>
      <c r="K80" s="9"/>
      <c r="L80" s="9"/>
      <c r="M80" s="9"/>
      <c r="N80" s="9"/>
      <c r="O80" s="9"/>
      <c r="P80" s="9"/>
      <c r="Q80" s="9"/>
      <c r="R80" s="9"/>
      <c r="S80" s="9"/>
      <c r="T80" s="9"/>
      <c r="U80" s="9"/>
      <c r="V80" s="9"/>
      <c r="W80" s="9"/>
      <c r="X80" s="9"/>
      <c r="Y80" s="9"/>
      <c r="Z80" s="9"/>
      <c r="AA80" s="9"/>
      <c r="AB80" s="9"/>
      <c r="AC80" s="9"/>
      <c r="AD80" s="9"/>
      <c r="AE80" s="9"/>
      <c r="AF80" s="9"/>
    </row>
    <row r="81" spans="1:32" ht="54.95" customHeight="1" x14ac:dyDescent="0.2">
      <c r="A81" s="56"/>
      <c r="B81" s="9"/>
      <c r="C81" s="9"/>
      <c r="D81" s="9"/>
      <c r="E81" s="9"/>
      <c r="F81" s="9"/>
      <c r="G81" s="9"/>
      <c r="H81" s="9"/>
      <c r="I81" s="58"/>
      <c r="J81" s="9"/>
      <c r="K81" s="9"/>
      <c r="L81" s="9"/>
      <c r="M81" s="9"/>
      <c r="N81" s="9"/>
      <c r="O81" s="9"/>
      <c r="P81" s="9"/>
      <c r="Q81" s="9"/>
      <c r="R81" s="9"/>
      <c r="S81" s="9"/>
      <c r="T81" s="9"/>
      <c r="U81" s="9"/>
      <c r="V81" s="9"/>
      <c r="W81" s="9"/>
      <c r="X81" s="9"/>
      <c r="Y81" s="9"/>
      <c r="Z81" s="9"/>
      <c r="AA81" s="9"/>
      <c r="AB81" s="9"/>
      <c r="AC81" s="9"/>
      <c r="AD81" s="9"/>
      <c r="AE81" s="9"/>
      <c r="AF81" s="9"/>
    </row>
    <row r="82" spans="1:32" ht="54.95" customHeight="1" x14ac:dyDescent="0.2">
      <c r="A82" s="56"/>
      <c r="B82" s="9"/>
      <c r="C82" s="9"/>
      <c r="D82" s="9"/>
      <c r="E82" s="9"/>
      <c r="F82" s="9"/>
      <c r="G82" s="9"/>
      <c r="H82" s="9"/>
      <c r="I82" s="58"/>
      <c r="J82" s="9"/>
      <c r="K82" s="9"/>
      <c r="L82" s="9"/>
      <c r="M82" s="9"/>
      <c r="N82" s="9"/>
      <c r="O82" s="9"/>
      <c r="P82" s="9"/>
      <c r="Q82" s="9"/>
      <c r="R82" s="9"/>
      <c r="S82" s="9"/>
      <c r="T82" s="9"/>
      <c r="U82" s="9"/>
      <c r="V82" s="9"/>
      <c r="W82" s="9"/>
      <c r="X82" s="9"/>
      <c r="Y82" s="9"/>
      <c r="Z82" s="9"/>
      <c r="AA82" s="9"/>
      <c r="AB82" s="9"/>
      <c r="AC82" s="9"/>
      <c r="AD82" s="9"/>
      <c r="AE82" s="9"/>
      <c r="AF82" s="9"/>
    </row>
    <row r="83" spans="1:32" ht="54.95" customHeight="1" x14ac:dyDescent="0.2">
      <c r="A83" s="56"/>
      <c r="B83" s="9"/>
      <c r="C83" s="9"/>
      <c r="D83" s="9"/>
      <c r="E83" s="9"/>
      <c r="F83" s="9"/>
      <c r="G83" s="9"/>
      <c r="H83" s="9"/>
      <c r="I83" s="58"/>
      <c r="J83" s="9"/>
      <c r="K83" s="9"/>
      <c r="L83" s="9"/>
      <c r="M83" s="9"/>
      <c r="N83" s="9"/>
      <c r="O83" s="9"/>
      <c r="P83" s="9"/>
      <c r="Q83" s="9"/>
      <c r="R83" s="9"/>
      <c r="S83" s="9"/>
      <c r="T83" s="9"/>
      <c r="U83" s="9"/>
      <c r="V83" s="9"/>
      <c r="W83" s="9"/>
      <c r="X83" s="9"/>
      <c r="Y83" s="9"/>
      <c r="Z83" s="9"/>
      <c r="AA83" s="9"/>
      <c r="AB83" s="9"/>
      <c r="AC83" s="9"/>
      <c r="AD83" s="9"/>
      <c r="AE83" s="9"/>
      <c r="AF83" s="9"/>
    </row>
    <row r="84" spans="1:32" ht="54.95" customHeight="1" x14ac:dyDescent="0.2">
      <c r="A84" s="56"/>
      <c r="B84" s="9"/>
      <c r="C84" s="9"/>
      <c r="D84" s="9"/>
      <c r="E84" s="9"/>
      <c r="F84" s="9"/>
      <c r="G84" s="9"/>
      <c r="H84" s="9"/>
      <c r="I84" s="58"/>
      <c r="J84" s="9"/>
      <c r="K84" s="9"/>
      <c r="L84" s="9"/>
      <c r="M84" s="9"/>
      <c r="N84" s="9"/>
      <c r="O84" s="9"/>
      <c r="P84" s="9"/>
      <c r="Q84" s="9"/>
      <c r="R84" s="9"/>
      <c r="S84" s="9"/>
      <c r="T84" s="9"/>
      <c r="U84" s="9"/>
      <c r="V84" s="9"/>
      <c r="W84" s="9"/>
      <c r="X84" s="9"/>
      <c r="Y84" s="9"/>
      <c r="Z84" s="9"/>
      <c r="AA84" s="9"/>
      <c r="AB84" s="9"/>
      <c r="AC84" s="9"/>
      <c r="AD84" s="9"/>
      <c r="AE84" s="9"/>
      <c r="AF84" s="9"/>
    </row>
    <row r="85" spans="1:32" ht="54.95" customHeight="1" x14ac:dyDescent="0.2">
      <c r="A85" s="56"/>
      <c r="B85" s="9"/>
      <c r="C85" s="9"/>
      <c r="D85" s="9"/>
      <c r="E85" s="9"/>
      <c r="F85" s="9"/>
      <c r="G85" s="9"/>
      <c r="H85" s="9"/>
      <c r="I85" s="58"/>
      <c r="J85" s="9"/>
      <c r="K85" s="9"/>
      <c r="L85" s="9"/>
      <c r="M85" s="9"/>
      <c r="N85" s="9"/>
      <c r="O85" s="9"/>
      <c r="P85" s="9"/>
      <c r="Q85" s="9"/>
      <c r="R85" s="9"/>
      <c r="S85" s="9"/>
      <c r="T85" s="9"/>
      <c r="U85" s="9"/>
      <c r="V85" s="9"/>
      <c r="W85" s="9"/>
      <c r="X85" s="9"/>
      <c r="Y85" s="9"/>
      <c r="Z85" s="9"/>
      <c r="AA85" s="9"/>
      <c r="AB85" s="9"/>
      <c r="AC85" s="9"/>
      <c r="AD85" s="9"/>
      <c r="AE85" s="9"/>
      <c r="AF85" s="9"/>
    </row>
    <row r="86" spans="1:32" ht="54.95" customHeight="1" x14ac:dyDescent="0.2">
      <c r="A86" s="56"/>
      <c r="B86" s="9"/>
      <c r="C86" s="9"/>
      <c r="D86" s="9"/>
      <c r="E86" s="9"/>
      <c r="F86" s="9"/>
      <c r="G86" s="9"/>
      <c r="H86" s="9"/>
      <c r="I86" s="58"/>
      <c r="J86" s="9"/>
      <c r="K86" s="9"/>
      <c r="L86" s="9"/>
      <c r="M86" s="9"/>
      <c r="N86" s="9"/>
      <c r="O86" s="9"/>
      <c r="P86" s="9"/>
      <c r="Q86" s="9"/>
      <c r="R86" s="9"/>
      <c r="S86" s="9"/>
      <c r="T86" s="9"/>
      <c r="U86" s="9"/>
      <c r="V86" s="9"/>
      <c r="W86" s="9"/>
      <c r="X86" s="9"/>
      <c r="Y86" s="9"/>
      <c r="Z86" s="9"/>
      <c r="AA86" s="9"/>
      <c r="AB86" s="9"/>
      <c r="AC86" s="9"/>
      <c r="AD86" s="9"/>
      <c r="AE86" s="9"/>
      <c r="AF86" s="9"/>
    </row>
    <row r="87" spans="1:32" ht="54.95" customHeight="1" x14ac:dyDescent="0.2">
      <c r="A87" s="56"/>
      <c r="B87" s="9"/>
      <c r="C87" s="9"/>
      <c r="D87" s="9"/>
      <c r="E87" s="9"/>
      <c r="F87" s="9"/>
      <c r="G87" s="9"/>
      <c r="H87" s="9"/>
      <c r="I87" s="58"/>
      <c r="J87" s="9"/>
      <c r="K87" s="9"/>
      <c r="L87" s="9"/>
      <c r="M87" s="9"/>
      <c r="N87" s="9"/>
      <c r="O87" s="9"/>
      <c r="P87" s="9"/>
      <c r="Q87" s="9"/>
      <c r="R87" s="9"/>
      <c r="S87" s="9"/>
      <c r="T87" s="9"/>
      <c r="U87" s="9"/>
      <c r="V87" s="9"/>
      <c r="W87" s="9"/>
      <c r="X87" s="9"/>
      <c r="Y87" s="9"/>
      <c r="Z87" s="9"/>
      <c r="AA87" s="9"/>
      <c r="AB87" s="9"/>
      <c r="AC87" s="9"/>
      <c r="AD87" s="9"/>
      <c r="AE87" s="9"/>
      <c r="AF87" s="9"/>
    </row>
    <row r="88" spans="1:32" ht="54.95" customHeight="1" x14ac:dyDescent="0.2">
      <c r="A88" s="56"/>
      <c r="B88" s="9"/>
      <c r="C88" s="9"/>
      <c r="D88" s="9"/>
      <c r="E88" s="9"/>
      <c r="F88" s="9"/>
      <c r="G88" s="9"/>
      <c r="H88" s="9"/>
      <c r="I88" s="58"/>
      <c r="J88" s="9"/>
      <c r="K88" s="9"/>
      <c r="L88" s="9"/>
      <c r="M88" s="9"/>
      <c r="N88" s="9"/>
      <c r="O88" s="9"/>
      <c r="P88" s="9"/>
      <c r="Q88" s="9"/>
      <c r="R88" s="9"/>
      <c r="S88" s="9"/>
      <c r="T88" s="9"/>
      <c r="U88" s="9"/>
      <c r="V88" s="9"/>
      <c r="W88" s="9"/>
      <c r="X88" s="9"/>
      <c r="Y88" s="9"/>
      <c r="Z88" s="9"/>
      <c r="AA88" s="9"/>
      <c r="AB88" s="9"/>
      <c r="AC88" s="9"/>
      <c r="AD88" s="9"/>
      <c r="AE88" s="9"/>
      <c r="AF88" s="9"/>
    </row>
    <row r="89" spans="1:32" ht="54.95" customHeight="1" x14ac:dyDescent="0.2">
      <c r="A89" s="56"/>
      <c r="B89" s="9"/>
      <c r="C89" s="9"/>
      <c r="D89" s="9"/>
      <c r="E89" s="9"/>
      <c r="F89" s="9"/>
      <c r="G89" s="9"/>
      <c r="H89" s="9"/>
      <c r="I89" s="58"/>
      <c r="J89" s="9"/>
      <c r="K89" s="9"/>
      <c r="L89" s="9"/>
      <c r="M89" s="9"/>
      <c r="N89" s="9"/>
      <c r="O89" s="9"/>
      <c r="P89" s="9"/>
      <c r="Q89" s="9"/>
      <c r="R89" s="9"/>
      <c r="S89" s="9"/>
      <c r="T89" s="9"/>
      <c r="U89" s="9"/>
      <c r="V89" s="9"/>
      <c r="W89" s="9"/>
      <c r="X89" s="9"/>
      <c r="Y89" s="9"/>
      <c r="Z89" s="9"/>
      <c r="AA89" s="9"/>
      <c r="AB89" s="9"/>
      <c r="AC89" s="9"/>
      <c r="AD89" s="9"/>
      <c r="AE89" s="9"/>
      <c r="AF89" s="9"/>
    </row>
    <row r="90" spans="1:32" ht="54.95" customHeight="1" x14ac:dyDescent="0.2">
      <c r="A90" s="56"/>
      <c r="B90" s="9"/>
      <c r="C90" s="9"/>
      <c r="D90" s="9"/>
      <c r="E90" s="9"/>
      <c r="F90" s="9"/>
      <c r="G90" s="9"/>
      <c r="H90" s="9"/>
      <c r="I90" s="58"/>
      <c r="J90" s="9"/>
      <c r="K90" s="9"/>
      <c r="L90" s="9"/>
      <c r="M90" s="9"/>
      <c r="N90" s="9"/>
      <c r="O90" s="9"/>
      <c r="P90" s="9"/>
      <c r="Q90" s="9"/>
      <c r="R90" s="9"/>
      <c r="S90" s="9"/>
      <c r="T90" s="9"/>
      <c r="U90" s="9"/>
      <c r="V90" s="9"/>
      <c r="W90" s="9"/>
      <c r="X90" s="9"/>
      <c r="Y90" s="9"/>
      <c r="Z90" s="9"/>
      <c r="AA90" s="9"/>
      <c r="AB90" s="9"/>
      <c r="AC90" s="9"/>
      <c r="AD90" s="9"/>
      <c r="AE90" s="9"/>
      <c r="AF90" s="9"/>
    </row>
    <row r="91" spans="1:32" ht="54.95" customHeight="1" x14ac:dyDescent="0.2">
      <c r="A91" s="56"/>
      <c r="B91" s="9"/>
      <c r="C91" s="9"/>
      <c r="D91" s="9"/>
      <c r="E91" s="9"/>
      <c r="F91" s="9"/>
      <c r="G91" s="9"/>
      <c r="H91" s="9"/>
      <c r="I91" s="58"/>
      <c r="J91" s="9"/>
      <c r="K91" s="9"/>
      <c r="L91" s="9"/>
      <c r="M91" s="9"/>
      <c r="N91" s="9"/>
      <c r="O91" s="9"/>
      <c r="P91" s="9"/>
      <c r="Q91" s="9"/>
      <c r="R91" s="9"/>
      <c r="S91" s="9"/>
      <c r="T91" s="9"/>
      <c r="U91" s="9"/>
      <c r="V91" s="9"/>
      <c r="W91" s="9"/>
      <c r="X91" s="9"/>
      <c r="Y91" s="9"/>
      <c r="Z91" s="9"/>
      <c r="AA91" s="9"/>
      <c r="AB91" s="9"/>
      <c r="AC91" s="9"/>
      <c r="AD91" s="9"/>
      <c r="AE91" s="9"/>
      <c r="AF91" s="9"/>
    </row>
    <row r="92" spans="1:32" ht="54.95" customHeight="1" x14ac:dyDescent="0.2">
      <c r="A92" s="56"/>
      <c r="B92" s="9"/>
      <c r="C92" s="9"/>
      <c r="D92" s="9"/>
      <c r="E92" s="9"/>
      <c r="F92" s="9"/>
      <c r="G92" s="9"/>
      <c r="H92" s="9"/>
      <c r="I92" s="58"/>
      <c r="J92" s="9"/>
      <c r="K92" s="9"/>
      <c r="L92" s="9"/>
      <c r="M92" s="9"/>
      <c r="N92" s="9"/>
      <c r="O92" s="9"/>
      <c r="P92" s="9"/>
      <c r="Q92" s="9"/>
      <c r="R92" s="9"/>
      <c r="S92" s="9"/>
      <c r="T92" s="9"/>
      <c r="U92" s="9"/>
      <c r="V92" s="9"/>
      <c r="W92" s="9"/>
      <c r="X92" s="9"/>
      <c r="Y92" s="9"/>
      <c r="Z92" s="9"/>
      <c r="AA92" s="9"/>
      <c r="AB92" s="9"/>
      <c r="AC92" s="9"/>
      <c r="AD92" s="9"/>
      <c r="AE92" s="9"/>
      <c r="AF92" s="9"/>
    </row>
    <row r="93" spans="1:32" ht="54.95" customHeight="1" x14ac:dyDescent="0.2">
      <c r="A93" s="56"/>
      <c r="B93" s="9"/>
      <c r="C93" s="9"/>
      <c r="D93" s="9"/>
      <c r="E93" s="9"/>
      <c r="F93" s="9"/>
      <c r="G93" s="9"/>
      <c r="H93" s="9"/>
      <c r="I93" s="58"/>
      <c r="J93" s="9"/>
      <c r="K93" s="9"/>
      <c r="L93" s="9"/>
      <c r="M93" s="9"/>
      <c r="N93" s="9"/>
      <c r="O93" s="9"/>
      <c r="P93" s="9"/>
      <c r="Q93" s="9"/>
      <c r="R93" s="9"/>
      <c r="S93" s="9"/>
      <c r="T93" s="9"/>
      <c r="U93" s="9"/>
      <c r="V93" s="9"/>
      <c r="W93" s="9"/>
      <c r="X93" s="9"/>
      <c r="Y93" s="9"/>
      <c r="Z93" s="9"/>
      <c r="AA93" s="9"/>
      <c r="AB93" s="9"/>
      <c r="AC93" s="9"/>
      <c r="AD93" s="9"/>
      <c r="AE93" s="9"/>
      <c r="AF93" s="9"/>
    </row>
    <row r="94" spans="1:32" ht="54.95" customHeight="1" x14ac:dyDescent="0.2">
      <c r="A94" s="56"/>
      <c r="B94" s="9"/>
      <c r="C94" s="9"/>
      <c r="D94" s="9"/>
      <c r="E94" s="9"/>
      <c r="F94" s="9"/>
      <c r="G94" s="9"/>
      <c r="H94" s="9"/>
      <c r="I94" s="58"/>
      <c r="J94" s="9"/>
      <c r="K94" s="9"/>
      <c r="L94" s="9"/>
      <c r="M94" s="9"/>
      <c r="N94" s="9"/>
      <c r="O94" s="9"/>
      <c r="P94" s="9"/>
      <c r="Q94" s="9"/>
      <c r="R94" s="9"/>
      <c r="S94" s="9"/>
      <c r="T94" s="9"/>
      <c r="U94" s="9"/>
      <c r="V94" s="9"/>
      <c r="W94" s="9"/>
      <c r="X94" s="9"/>
      <c r="Y94" s="9"/>
      <c r="Z94" s="9"/>
      <c r="AA94" s="9"/>
      <c r="AB94" s="9"/>
      <c r="AC94" s="9"/>
      <c r="AD94" s="9"/>
      <c r="AE94" s="9"/>
      <c r="AF94" s="9"/>
    </row>
    <row r="95" spans="1:32" ht="54.95" customHeight="1" x14ac:dyDescent="0.2">
      <c r="A95" s="56"/>
      <c r="B95" s="9"/>
      <c r="C95" s="9"/>
      <c r="D95" s="9"/>
      <c r="E95" s="9"/>
      <c r="F95" s="9"/>
      <c r="G95" s="9"/>
      <c r="H95" s="9"/>
      <c r="I95" s="58"/>
      <c r="J95" s="9"/>
      <c r="K95" s="9"/>
      <c r="L95" s="9"/>
      <c r="M95" s="9"/>
      <c r="N95" s="9"/>
      <c r="O95" s="9"/>
      <c r="P95" s="9"/>
      <c r="Q95" s="9"/>
      <c r="R95" s="9"/>
      <c r="S95" s="9"/>
      <c r="T95" s="9"/>
      <c r="U95" s="9"/>
      <c r="V95" s="9"/>
      <c r="W95" s="9"/>
      <c r="X95" s="9"/>
      <c r="Y95" s="9"/>
      <c r="Z95" s="9"/>
      <c r="AA95" s="9"/>
      <c r="AB95" s="9"/>
      <c r="AC95" s="9"/>
      <c r="AD95" s="9"/>
      <c r="AE95" s="9"/>
      <c r="AF95" s="9"/>
    </row>
    <row r="96" spans="1:32" ht="54.95" customHeight="1" x14ac:dyDescent="0.2">
      <c r="A96" s="56"/>
      <c r="B96" s="9"/>
      <c r="C96" s="9"/>
      <c r="D96" s="9"/>
      <c r="E96" s="9"/>
      <c r="F96" s="9"/>
      <c r="G96" s="9"/>
      <c r="H96" s="9"/>
      <c r="I96" s="58"/>
      <c r="J96" s="9"/>
      <c r="K96" s="9"/>
      <c r="L96" s="9"/>
      <c r="M96" s="9"/>
      <c r="N96" s="9"/>
      <c r="O96" s="9"/>
      <c r="P96" s="9"/>
      <c r="Q96" s="9"/>
      <c r="R96" s="9"/>
      <c r="S96" s="9"/>
      <c r="T96" s="9"/>
      <c r="U96" s="9"/>
      <c r="V96" s="9"/>
      <c r="W96" s="9"/>
      <c r="X96" s="9"/>
      <c r="Y96" s="9"/>
      <c r="Z96" s="9"/>
      <c r="AA96" s="9"/>
      <c r="AB96" s="9"/>
      <c r="AC96" s="9"/>
      <c r="AD96" s="9"/>
      <c r="AE96" s="9"/>
      <c r="AF96" s="9"/>
    </row>
    <row r="97" spans="1:32" ht="54.95" customHeight="1" x14ac:dyDescent="0.2">
      <c r="A97" s="56"/>
      <c r="B97" s="9"/>
      <c r="C97" s="9"/>
      <c r="D97" s="9"/>
      <c r="E97" s="9"/>
      <c r="F97" s="9"/>
      <c r="G97" s="9"/>
      <c r="H97" s="9"/>
      <c r="I97" s="58"/>
      <c r="J97" s="9"/>
      <c r="K97" s="9"/>
      <c r="L97" s="9"/>
      <c r="M97" s="9"/>
      <c r="N97" s="9"/>
      <c r="O97" s="9"/>
      <c r="P97" s="9"/>
      <c r="Q97" s="9"/>
      <c r="R97" s="9"/>
      <c r="S97" s="9"/>
      <c r="T97" s="9"/>
      <c r="U97" s="9"/>
      <c r="V97" s="9"/>
      <c r="W97" s="9"/>
      <c r="X97" s="9"/>
      <c r="Y97" s="9"/>
      <c r="Z97" s="9"/>
      <c r="AA97" s="9"/>
      <c r="AB97" s="9"/>
      <c r="AC97" s="9"/>
      <c r="AD97" s="9"/>
      <c r="AE97" s="9"/>
      <c r="AF97" s="9"/>
    </row>
    <row r="98" spans="1:32" ht="54.95" customHeight="1" x14ac:dyDescent="0.2">
      <c r="A98" s="56"/>
      <c r="B98" s="9"/>
      <c r="C98" s="9"/>
      <c r="D98" s="9"/>
      <c r="E98" s="9"/>
      <c r="F98" s="9"/>
      <c r="G98" s="9"/>
      <c r="H98" s="9"/>
      <c r="I98" s="58"/>
      <c r="J98" s="9"/>
      <c r="K98" s="9"/>
      <c r="L98" s="9"/>
      <c r="M98" s="9"/>
      <c r="N98" s="9"/>
      <c r="O98" s="9"/>
      <c r="P98" s="9"/>
      <c r="Q98" s="9"/>
      <c r="R98" s="9"/>
      <c r="S98" s="9"/>
      <c r="T98" s="9"/>
      <c r="U98" s="9"/>
      <c r="V98" s="9"/>
      <c r="W98" s="9"/>
      <c r="X98" s="9"/>
      <c r="Y98" s="9"/>
      <c r="Z98" s="9"/>
      <c r="AA98" s="9"/>
      <c r="AB98" s="9"/>
      <c r="AC98" s="9"/>
      <c r="AD98" s="9"/>
      <c r="AE98" s="9"/>
      <c r="AF98" s="9"/>
    </row>
    <row r="99" spans="1:32" ht="54.95" customHeight="1" x14ac:dyDescent="0.2">
      <c r="A99" s="56"/>
      <c r="B99" s="9"/>
      <c r="C99" s="9"/>
      <c r="D99" s="9"/>
      <c r="E99" s="9"/>
      <c r="F99" s="9"/>
      <c r="G99" s="9"/>
      <c r="H99" s="9"/>
      <c r="I99" s="58"/>
      <c r="J99" s="9"/>
      <c r="K99" s="9"/>
      <c r="L99" s="9"/>
      <c r="M99" s="9"/>
      <c r="N99" s="9"/>
      <c r="O99" s="9"/>
      <c r="P99" s="9"/>
      <c r="Q99" s="9"/>
      <c r="R99" s="9"/>
      <c r="S99" s="9"/>
      <c r="T99" s="9"/>
      <c r="U99" s="9"/>
      <c r="V99" s="9"/>
      <c r="W99" s="9"/>
      <c r="X99" s="9"/>
      <c r="Y99" s="9"/>
      <c r="Z99" s="9"/>
      <c r="AA99" s="9"/>
      <c r="AB99" s="9"/>
      <c r="AC99" s="9"/>
      <c r="AD99" s="9"/>
      <c r="AE99" s="9"/>
      <c r="AF99" s="9"/>
    </row>
    <row r="100" spans="1:32" ht="54.95" customHeight="1" x14ac:dyDescent="0.2">
      <c r="A100" s="56"/>
      <c r="B100" s="9"/>
      <c r="C100" s="9"/>
      <c r="D100" s="9"/>
      <c r="E100" s="9"/>
      <c r="F100" s="9"/>
      <c r="G100" s="9"/>
      <c r="H100" s="9"/>
      <c r="I100" s="58"/>
      <c r="J100" s="9"/>
      <c r="K100" s="9"/>
      <c r="L100" s="9"/>
      <c r="M100" s="9"/>
      <c r="N100" s="9"/>
      <c r="O100" s="9"/>
      <c r="P100" s="9"/>
      <c r="Q100" s="9"/>
      <c r="R100" s="9"/>
      <c r="S100" s="9"/>
      <c r="T100" s="9"/>
      <c r="U100" s="9"/>
      <c r="V100" s="9"/>
      <c r="W100" s="9"/>
      <c r="X100" s="9"/>
      <c r="Y100" s="9"/>
      <c r="Z100" s="9"/>
      <c r="AA100" s="9"/>
      <c r="AB100" s="9"/>
      <c r="AC100" s="9"/>
      <c r="AD100" s="9"/>
      <c r="AE100" s="9"/>
      <c r="AF100" s="9"/>
    </row>
    <row r="101" spans="1:32" ht="54.95" customHeight="1" x14ac:dyDescent="0.2">
      <c r="A101" s="56"/>
      <c r="B101" s="9"/>
      <c r="C101" s="9"/>
      <c r="D101" s="9"/>
      <c r="E101" s="9"/>
      <c r="F101" s="9"/>
      <c r="G101" s="9"/>
      <c r="H101" s="9"/>
      <c r="I101" s="58"/>
      <c r="J101" s="9"/>
      <c r="K101" s="9"/>
      <c r="L101" s="9"/>
      <c r="M101" s="9"/>
      <c r="N101" s="9"/>
      <c r="O101" s="9"/>
      <c r="P101" s="9"/>
      <c r="Q101" s="9"/>
      <c r="R101" s="9"/>
      <c r="S101" s="9"/>
      <c r="T101" s="9"/>
      <c r="U101" s="9"/>
      <c r="V101" s="9"/>
      <c r="W101" s="9"/>
      <c r="X101" s="9"/>
      <c r="Y101" s="9"/>
      <c r="Z101" s="9"/>
      <c r="AA101" s="9"/>
      <c r="AB101" s="9"/>
      <c r="AC101" s="9"/>
      <c r="AD101" s="9"/>
      <c r="AE101" s="9"/>
      <c r="AF101" s="9"/>
    </row>
    <row r="102" spans="1:32" ht="54.95" customHeight="1" x14ac:dyDescent="0.2">
      <c r="A102" s="56"/>
      <c r="B102" s="9"/>
      <c r="C102" s="9"/>
      <c r="D102" s="9"/>
      <c r="E102" s="9"/>
      <c r="F102" s="9"/>
      <c r="G102" s="9"/>
      <c r="H102" s="9"/>
      <c r="I102" s="58"/>
      <c r="J102" s="9"/>
      <c r="K102" s="9"/>
      <c r="L102" s="9"/>
      <c r="M102" s="9"/>
      <c r="N102" s="9"/>
      <c r="O102" s="9"/>
      <c r="P102" s="9"/>
      <c r="Q102" s="9"/>
      <c r="R102" s="9"/>
      <c r="S102" s="9"/>
      <c r="T102" s="9"/>
      <c r="U102" s="9"/>
      <c r="V102" s="9"/>
      <c r="W102" s="9"/>
      <c r="X102" s="9"/>
      <c r="Y102" s="9"/>
      <c r="Z102" s="9"/>
      <c r="AA102" s="9"/>
      <c r="AB102" s="9"/>
      <c r="AC102" s="9"/>
      <c r="AD102" s="9"/>
      <c r="AE102" s="9"/>
      <c r="AF102" s="9"/>
    </row>
    <row r="103" spans="1:32" ht="54.95" customHeight="1" x14ac:dyDescent="0.2">
      <c r="A103" s="56"/>
      <c r="B103" s="9"/>
      <c r="C103" s="9"/>
      <c r="D103" s="9"/>
      <c r="E103" s="9"/>
      <c r="F103" s="9"/>
      <c r="G103" s="9"/>
      <c r="H103" s="9"/>
      <c r="I103" s="58"/>
      <c r="J103" s="9"/>
      <c r="K103" s="9"/>
      <c r="L103" s="9"/>
      <c r="M103" s="9"/>
      <c r="N103" s="9"/>
      <c r="O103" s="9"/>
      <c r="P103" s="9"/>
      <c r="Q103" s="9"/>
      <c r="R103" s="9"/>
      <c r="S103" s="9"/>
      <c r="T103" s="9"/>
      <c r="U103" s="9"/>
      <c r="V103" s="9"/>
      <c r="W103" s="9"/>
      <c r="X103" s="9"/>
      <c r="Y103" s="9"/>
      <c r="Z103" s="9"/>
      <c r="AA103" s="9"/>
      <c r="AB103" s="9"/>
      <c r="AC103" s="9"/>
      <c r="AD103" s="9"/>
      <c r="AE103" s="9"/>
      <c r="AF103" s="9"/>
    </row>
    <row r="104" spans="1:32" ht="54.95" customHeight="1" x14ac:dyDescent="0.2">
      <c r="A104" s="56"/>
      <c r="B104" s="9"/>
      <c r="C104" s="9"/>
      <c r="D104" s="9"/>
      <c r="E104" s="9"/>
      <c r="F104" s="9"/>
      <c r="G104" s="9"/>
      <c r="H104" s="9"/>
      <c r="I104" s="58"/>
      <c r="J104" s="9"/>
      <c r="K104" s="9"/>
      <c r="L104" s="9"/>
      <c r="M104" s="9"/>
      <c r="N104" s="9"/>
      <c r="O104" s="9"/>
      <c r="P104" s="9"/>
      <c r="Q104" s="9"/>
      <c r="R104" s="9"/>
      <c r="S104" s="9"/>
      <c r="T104" s="9"/>
      <c r="U104" s="9"/>
      <c r="V104" s="9"/>
      <c r="W104" s="9"/>
      <c r="X104" s="9"/>
      <c r="Y104" s="9"/>
      <c r="Z104" s="9"/>
      <c r="AA104" s="9"/>
      <c r="AB104" s="9"/>
      <c r="AC104" s="9"/>
      <c r="AD104" s="9"/>
      <c r="AE104" s="9"/>
      <c r="AF104" s="9"/>
    </row>
    <row r="105" spans="1:32" ht="54.95" customHeight="1" x14ac:dyDescent="0.2">
      <c r="A105" s="56"/>
      <c r="B105" s="9"/>
      <c r="C105" s="9"/>
      <c r="D105" s="9"/>
      <c r="E105" s="9"/>
      <c r="F105" s="9"/>
      <c r="G105" s="9"/>
      <c r="H105" s="9"/>
      <c r="I105" s="58"/>
      <c r="J105" s="9"/>
      <c r="K105" s="9"/>
      <c r="L105" s="9"/>
      <c r="M105" s="9"/>
      <c r="N105" s="9"/>
      <c r="O105" s="9"/>
      <c r="P105" s="9"/>
      <c r="Q105" s="9"/>
      <c r="R105" s="9"/>
      <c r="S105" s="9"/>
      <c r="T105" s="9"/>
      <c r="U105" s="9"/>
      <c r="V105" s="9"/>
      <c r="W105" s="9"/>
      <c r="X105" s="9"/>
      <c r="Y105" s="9"/>
      <c r="Z105" s="9"/>
      <c r="AA105" s="9"/>
      <c r="AB105" s="9"/>
      <c r="AC105" s="9"/>
      <c r="AD105" s="9"/>
      <c r="AE105" s="9"/>
      <c r="AF105" s="9"/>
    </row>
    <row r="106" spans="1:32" ht="54.95" customHeight="1" x14ac:dyDescent="0.2">
      <c r="A106" s="56"/>
      <c r="B106" s="9"/>
      <c r="C106" s="9"/>
      <c r="D106" s="9"/>
      <c r="E106" s="9"/>
      <c r="F106" s="9"/>
      <c r="G106" s="9"/>
      <c r="H106" s="9"/>
      <c r="I106" s="58"/>
      <c r="J106" s="9"/>
      <c r="K106" s="9"/>
      <c r="L106" s="9"/>
      <c r="M106" s="9"/>
      <c r="N106" s="9"/>
      <c r="O106" s="9"/>
      <c r="P106" s="9"/>
      <c r="Q106" s="9"/>
      <c r="R106" s="9"/>
      <c r="S106" s="9"/>
      <c r="T106" s="9"/>
      <c r="U106" s="9"/>
      <c r="V106" s="9"/>
      <c r="W106" s="9"/>
      <c r="X106" s="9"/>
      <c r="Y106" s="9"/>
      <c r="Z106" s="9"/>
      <c r="AA106" s="9"/>
      <c r="AB106" s="9"/>
      <c r="AC106" s="9"/>
      <c r="AD106" s="9"/>
      <c r="AE106" s="9"/>
      <c r="AF106" s="9"/>
    </row>
    <row r="107" spans="1:32" ht="54.95" customHeight="1" x14ac:dyDescent="0.2">
      <c r="A107" s="56"/>
      <c r="B107" s="9"/>
      <c r="C107" s="9"/>
      <c r="D107" s="9"/>
      <c r="E107" s="9"/>
      <c r="F107" s="9"/>
      <c r="G107" s="9"/>
      <c r="H107" s="9"/>
      <c r="I107" s="58"/>
      <c r="J107" s="9"/>
      <c r="K107" s="9"/>
      <c r="L107" s="9"/>
      <c r="M107" s="9"/>
      <c r="N107" s="9"/>
      <c r="O107" s="9"/>
      <c r="P107" s="9"/>
      <c r="Q107" s="9"/>
      <c r="R107" s="9"/>
      <c r="S107" s="9"/>
      <c r="T107" s="9"/>
      <c r="U107" s="9"/>
      <c r="V107" s="9"/>
      <c r="W107" s="9"/>
      <c r="X107" s="9"/>
      <c r="Y107" s="9"/>
      <c r="Z107" s="9"/>
      <c r="AA107" s="9"/>
      <c r="AB107" s="9"/>
      <c r="AC107" s="9"/>
      <c r="AD107" s="9"/>
      <c r="AE107" s="9"/>
      <c r="AF107" s="9"/>
    </row>
    <row r="108" spans="1:32" ht="54.95" customHeight="1" x14ac:dyDescent="0.2">
      <c r="A108" s="56"/>
      <c r="B108" s="9"/>
      <c r="C108" s="9"/>
      <c r="D108" s="9"/>
      <c r="E108" s="9"/>
      <c r="F108" s="9"/>
      <c r="G108" s="9"/>
      <c r="H108" s="9"/>
      <c r="I108" s="58"/>
      <c r="J108" s="9"/>
      <c r="K108" s="9"/>
      <c r="L108" s="9"/>
      <c r="M108" s="9"/>
      <c r="N108" s="9"/>
      <c r="O108" s="9"/>
      <c r="P108" s="9"/>
      <c r="Q108" s="9"/>
      <c r="R108" s="9"/>
      <c r="S108" s="9"/>
      <c r="T108" s="9"/>
      <c r="U108" s="9"/>
      <c r="V108" s="9"/>
      <c r="W108" s="9"/>
      <c r="X108" s="9"/>
      <c r="Y108" s="9"/>
      <c r="Z108" s="9"/>
      <c r="AA108" s="9"/>
      <c r="AB108" s="9"/>
      <c r="AC108" s="9"/>
      <c r="AD108" s="9"/>
      <c r="AE108" s="9"/>
      <c r="AF108" s="9"/>
    </row>
    <row r="109" spans="1:32" ht="54.95" customHeight="1" x14ac:dyDescent="0.2">
      <c r="A109" s="56"/>
      <c r="B109" s="9"/>
      <c r="C109" s="9"/>
      <c r="D109" s="9"/>
      <c r="E109" s="9"/>
      <c r="F109" s="9"/>
      <c r="G109" s="9"/>
      <c r="H109" s="9"/>
      <c r="I109" s="58"/>
      <c r="J109" s="9"/>
      <c r="K109" s="9"/>
      <c r="L109" s="9"/>
      <c r="M109" s="9"/>
      <c r="N109" s="9"/>
      <c r="O109" s="9"/>
      <c r="P109" s="9"/>
      <c r="Q109" s="9"/>
      <c r="R109" s="9"/>
      <c r="S109" s="9"/>
      <c r="T109" s="9"/>
      <c r="U109" s="9"/>
      <c r="V109" s="9"/>
      <c r="W109" s="9"/>
      <c r="X109" s="9"/>
      <c r="Y109" s="9"/>
      <c r="Z109" s="9"/>
      <c r="AA109" s="9"/>
      <c r="AB109" s="9"/>
      <c r="AC109" s="9"/>
      <c r="AD109" s="9"/>
      <c r="AE109" s="9"/>
      <c r="AF109" s="9"/>
    </row>
    <row r="110" spans="1:32" ht="54.95" customHeight="1" x14ac:dyDescent="0.2">
      <c r="A110" s="56"/>
      <c r="B110" s="9"/>
      <c r="C110" s="9"/>
      <c r="D110" s="9"/>
      <c r="E110" s="9"/>
      <c r="F110" s="9"/>
      <c r="G110" s="9"/>
      <c r="H110" s="9"/>
      <c r="I110" s="58"/>
      <c r="J110" s="9"/>
      <c r="K110" s="9"/>
      <c r="L110" s="9"/>
      <c r="M110" s="9"/>
      <c r="N110" s="9"/>
      <c r="O110" s="9"/>
      <c r="P110" s="9"/>
      <c r="Q110" s="9"/>
      <c r="R110" s="9"/>
      <c r="S110" s="9"/>
      <c r="T110" s="9"/>
      <c r="U110" s="9"/>
      <c r="V110" s="9"/>
      <c r="W110" s="9"/>
      <c r="X110" s="9"/>
      <c r="Y110" s="9"/>
      <c r="Z110" s="9"/>
      <c r="AA110" s="9"/>
      <c r="AB110" s="9"/>
      <c r="AC110" s="9"/>
      <c r="AD110" s="9"/>
      <c r="AE110" s="9"/>
      <c r="AF110" s="9"/>
    </row>
    <row r="111" spans="1:32" ht="54.95" customHeight="1" x14ac:dyDescent="0.2">
      <c r="A111" s="56"/>
      <c r="B111" s="9"/>
      <c r="C111" s="9"/>
      <c r="D111" s="9"/>
      <c r="E111" s="9"/>
      <c r="F111" s="9"/>
      <c r="G111" s="9"/>
      <c r="H111" s="9"/>
      <c r="I111" s="58"/>
      <c r="J111" s="9"/>
      <c r="K111" s="9"/>
      <c r="L111" s="9"/>
      <c r="M111" s="9"/>
      <c r="N111" s="9"/>
      <c r="O111" s="9"/>
      <c r="P111" s="9"/>
      <c r="Q111" s="9"/>
      <c r="R111" s="9"/>
      <c r="S111" s="9"/>
      <c r="T111" s="9"/>
      <c r="U111" s="9"/>
      <c r="V111" s="9"/>
      <c r="W111" s="9"/>
      <c r="X111" s="9"/>
      <c r="Y111" s="9"/>
      <c r="Z111" s="9"/>
      <c r="AA111" s="9"/>
      <c r="AB111" s="9"/>
      <c r="AC111" s="9"/>
      <c r="AD111" s="9"/>
      <c r="AE111" s="9"/>
      <c r="AF111" s="9"/>
    </row>
    <row r="112" spans="1:32" ht="54.95" customHeight="1" x14ac:dyDescent="0.2">
      <c r="A112" s="56"/>
      <c r="B112" s="9"/>
      <c r="C112" s="9"/>
      <c r="D112" s="9"/>
      <c r="E112" s="9"/>
      <c r="F112" s="9"/>
      <c r="G112" s="9"/>
      <c r="H112" s="9"/>
      <c r="I112" s="58"/>
      <c r="J112" s="9"/>
      <c r="K112" s="9"/>
      <c r="L112" s="9"/>
      <c r="M112" s="9"/>
      <c r="N112" s="9"/>
      <c r="O112" s="9"/>
      <c r="P112" s="9"/>
      <c r="Q112" s="9"/>
      <c r="R112" s="9"/>
      <c r="S112" s="9"/>
      <c r="T112" s="9"/>
      <c r="U112" s="9"/>
      <c r="V112" s="9"/>
      <c r="W112" s="9"/>
      <c r="X112" s="9"/>
      <c r="Y112" s="9"/>
      <c r="Z112" s="9"/>
      <c r="AA112" s="9"/>
      <c r="AB112" s="9"/>
      <c r="AC112" s="9"/>
      <c r="AD112" s="9"/>
      <c r="AE112" s="9"/>
      <c r="AF112" s="9"/>
    </row>
    <row r="113" spans="1:32" ht="54.95" customHeight="1" x14ac:dyDescent="0.2">
      <c r="A113" s="56"/>
      <c r="B113" s="9"/>
      <c r="C113" s="9"/>
      <c r="D113" s="9"/>
      <c r="E113" s="9"/>
      <c r="F113" s="9"/>
      <c r="G113" s="9"/>
      <c r="H113" s="9"/>
      <c r="I113" s="58"/>
      <c r="J113" s="9"/>
      <c r="K113" s="9"/>
      <c r="L113" s="9"/>
      <c r="M113" s="9"/>
      <c r="N113" s="9"/>
      <c r="O113" s="9"/>
      <c r="P113" s="9"/>
      <c r="Q113" s="9"/>
      <c r="R113" s="9"/>
      <c r="S113" s="9"/>
      <c r="T113" s="9"/>
      <c r="U113" s="9"/>
      <c r="V113" s="9"/>
      <c r="W113" s="9"/>
      <c r="X113" s="9"/>
      <c r="Y113" s="9"/>
      <c r="Z113" s="9"/>
      <c r="AA113" s="9"/>
      <c r="AB113" s="9"/>
      <c r="AC113" s="9"/>
      <c r="AD113" s="9"/>
      <c r="AE113" s="9"/>
      <c r="AF113" s="9"/>
    </row>
    <row r="114" spans="1:32" ht="54.95" customHeight="1" x14ac:dyDescent="0.2">
      <c r="A114" s="56"/>
      <c r="B114" s="9"/>
      <c r="C114" s="9"/>
      <c r="D114" s="9"/>
      <c r="E114" s="9"/>
      <c r="F114" s="9"/>
      <c r="G114" s="9"/>
      <c r="H114" s="9"/>
      <c r="I114" s="58"/>
      <c r="J114" s="9"/>
      <c r="K114" s="9"/>
      <c r="L114" s="9"/>
      <c r="M114" s="9"/>
      <c r="N114" s="9"/>
      <c r="O114" s="9"/>
      <c r="P114" s="9"/>
      <c r="Q114" s="9"/>
      <c r="R114" s="9"/>
      <c r="S114" s="9"/>
      <c r="T114" s="9"/>
      <c r="U114" s="9"/>
      <c r="V114" s="9"/>
      <c r="W114" s="9"/>
      <c r="X114" s="9"/>
      <c r="Y114" s="9"/>
      <c r="Z114" s="9"/>
      <c r="AA114" s="9"/>
      <c r="AB114" s="9"/>
      <c r="AC114" s="9"/>
      <c r="AD114" s="9"/>
      <c r="AE114" s="9"/>
      <c r="AF114" s="9"/>
    </row>
    <row r="115" spans="1:32" ht="54.95" customHeight="1" x14ac:dyDescent="0.2">
      <c r="A115" s="56"/>
      <c r="B115" s="9"/>
      <c r="C115" s="9"/>
      <c r="D115" s="9"/>
      <c r="E115" s="9"/>
      <c r="F115" s="9"/>
      <c r="G115" s="9"/>
      <c r="H115" s="9"/>
      <c r="I115" s="58"/>
      <c r="J115" s="9"/>
      <c r="K115" s="9"/>
      <c r="L115" s="9"/>
      <c r="M115" s="9"/>
      <c r="N115" s="9"/>
      <c r="O115" s="9"/>
      <c r="P115" s="9"/>
      <c r="Q115" s="9"/>
      <c r="R115" s="9"/>
      <c r="S115" s="9"/>
      <c r="T115" s="9"/>
      <c r="U115" s="9"/>
      <c r="V115" s="9"/>
      <c r="W115" s="9"/>
      <c r="X115" s="9"/>
      <c r="Y115" s="9"/>
      <c r="Z115" s="9"/>
      <c r="AA115" s="9"/>
      <c r="AB115" s="9"/>
      <c r="AC115" s="9"/>
      <c r="AD115" s="9"/>
      <c r="AE115" s="9"/>
      <c r="AF115" s="9"/>
    </row>
    <row r="116" spans="1:32" ht="54.95" customHeight="1" x14ac:dyDescent="0.2">
      <c r="A116" s="56"/>
      <c r="B116" s="9"/>
      <c r="C116" s="9"/>
      <c r="D116" s="9"/>
      <c r="E116" s="9"/>
      <c r="F116" s="9"/>
      <c r="G116" s="9"/>
      <c r="H116" s="9"/>
      <c r="I116" s="58"/>
      <c r="J116" s="9"/>
      <c r="K116" s="9"/>
      <c r="L116" s="9"/>
      <c r="M116" s="9"/>
      <c r="N116" s="9"/>
      <c r="O116" s="9"/>
      <c r="P116" s="9"/>
      <c r="Q116" s="9"/>
      <c r="R116" s="9"/>
      <c r="S116" s="9"/>
      <c r="T116" s="9"/>
      <c r="U116" s="9"/>
      <c r="V116" s="9"/>
      <c r="W116" s="9"/>
      <c r="X116" s="9"/>
      <c r="Y116" s="9"/>
      <c r="Z116" s="9"/>
      <c r="AA116" s="9"/>
      <c r="AB116" s="9"/>
      <c r="AC116" s="9"/>
      <c r="AD116" s="9"/>
      <c r="AE116" s="9"/>
      <c r="AF116" s="9"/>
    </row>
    <row r="117" spans="1:32" ht="54.95" customHeight="1" x14ac:dyDescent="0.2">
      <c r="A117" s="56"/>
      <c r="B117" s="9"/>
      <c r="C117" s="9"/>
      <c r="D117" s="9"/>
      <c r="E117" s="9"/>
      <c r="F117" s="9"/>
      <c r="G117" s="9"/>
      <c r="H117" s="9"/>
      <c r="I117" s="58"/>
      <c r="J117" s="9"/>
      <c r="K117" s="9"/>
      <c r="L117" s="9"/>
      <c r="M117" s="9"/>
      <c r="N117" s="9"/>
      <c r="O117" s="9"/>
      <c r="P117" s="9"/>
      <c r="Q117" s="9"/>
      <c r="R117" s="9"/>
      <c r="S117" s="9"/>
      <c r="T117" s="9"/>
      <c r="U117" s="9"/>
      <c r="V117" s="9"/>
      <c r="W117" s="9"/>
      <c r="X117" s="9"/>
      <c r="Y117" s="9"/>
      <c r="Z117" s="9"/>
      <c r="AA117" s="9"/>
      <c r="AB117" s="9"/>
      <c r="AC117" s="9"/>
      <c r="AD117" s="9"/>
      <c r="AE117" s="9"/>
      <c r="AF117" s="9"/>
    </row>
    <row r="118" spans="1:32" ht="54.95" customHeight="1" x14ac:dyDescent="0.2">
      <c r="A118" s="56"/>
      <c r="B118" s="9"/>
      <c r="C118" s="9"/>
      <c r="D118" s="9"/>
      <c r="E118" s="9"/>
      <c r="F118" s="9"/>
      <c r="G118" s="9"/>
      <c r="H118" s="9"/>
      <c r="I118" s="58"/>
      <c r="J118" s="9"/>
      <c r="K118" s="9"/>
      <c r="L118" s="9"/>
      <c r="M118" s="9"/>
      <c r="N118" s="9"/>
      <c r="O118" s="9"/>
      <c r="P118" s="9"/>
      <c r="Q118" s="9"/>
      <c r="R118" s="9"/>
      <c r="S118" s="9"/>
      <c r="T118" s="9"/>
      <c r="U118" s="9"/>
      <c r="V118" s="9"/>
      <c r="W118" s="9"/>
      <c r="X118" s="9"/>
      <c r="Y118" s="9"/>
      <c r="Z118" s="9"/>
      <c r="AA118" s="9"/>
      <c r="AB118" s="9"/>
      <c r="AC118" s="9"/>
      <c r="AD118" s="9"/>
      <c r="AE118" s="9"/>
      <c r="AF118" s="9"/>
    </row>
    <row r="119" spans="1:32" ht="54.95" customHeight="1" x14ac:dyDescent="0.2">
      <c r="A119" s="56"/>
      <c r="B119" s="9"/>
      <c r="C119" s="9"/>
      <c r="D119" s="9"/>
      <c r="E119" s="9"/>
      <c r="F119" s="9"/>
      <c r="G119" s="9"/>
      <c r="H119" s="9"/>
      <c r="I119" s="58"/>
      <c r="J119" s="9"/>
      <c r="K119" s="9"/>
      <c r="L119" s="9"/>
      <c r="M119" s="9"/>
      <c r="N119" s="9"/>
      <c r="O119" s="9"/>
      <c r="P119" s="9"/>
      <c r="Q119" s="9"/>
      <c r="R119" s="9"/>
      <c r="S119" s="9"/>
      <c r="T119" s="9"/>
      <c r="U119" s="9"/>
      <c r="V119" s="9"/>
      <c r="W119" s="9"/>
      <c r="X119" s="9"/>
      <c r="Y119" s="9"/>
      <c r="Z119" s="9"/>
      <c r="AA119" s="9"/>
      <c r="AB119" s="9"/>
      <c r="AC119" s="9"/>
      <c r="AD119" s="9"/>
      <c r="AE119" s="9"/>
      <c r="AF119" s="9"/>
    </row>
    <row r="120" spans="1:32" ht="54.95" customHeight="1" x14ac:dyDescent="0.2">
      <c r="A120" s="56"/>
      <c r="B120" s="9"/>
      <c r="C120" s="9"/>
      <c r="D120" s="9"/>
      <c r="E120" s="9"/>
      <c r="F120" s="9"/>
      <c r="G120" s="9"/>
      <c r="H120" s="9"/>
      <c r="I120" s="58"/>
      <c r="J120" s="9"/>
      <c r="K120" s="9"/>
      <c r="L120" s="9"/>
      <c r="M120" s="9"/>
      <c r="N120" s="9"/>
      <c r="O120" s="9"/>
      <c r="P120" s="9"/>
      <c r="Q120" s="9"/>
      <c r="R120" s="9"/>
      <c r="S120" s="9"/>
      <c r="T120" s="9"/>
      <c r="U120" s="9"/>
      <c r="V120" s="9"/>
      <c r="W120" s="9"/>
      <c r="X120" s="9"/>
      <c r="Y120" s="9"/>
      <c r="Z120" s="9"/>
      <c r="AA120" s="9"/>
      <c r="AB120" s="9"/>
      <c r="AC120" s="9"/>
      <c r="AD120" s="9"/>
      <c r="AE120" s="9"/>
      <c r="AF120" s="9"/>
    </row>
    <row r="121" spans="1:32" ht="54.95" customHeight="1" x14ac:dyDescent="0.2">
      <c r="A121" s="56"/>
      <c r="B121" s="9"/>
      <c r="C121" s="9"/>
      <c r="D121" s="9"/>
      <c r="E121" s="9"/>
      <c r="F121" s="9"/>
      <c r="G121" s="9"/>
      <c r="H121" s="9"/>
      <c r="I121" s="58"/>
      <c r="J121" s="9"/>
      <c r="K121" s="9"/>
      <c r="L121" s="9"/>
      <c r="M121" s="9"/>
      <c r="N121" s="9"/>
      <c r="O121" s="9"/>
      <c r="P121" s="9"/>
      <c r="Q121" s="9"/>
      <c r="R121" s="9"/>
      <c r="S121" s="9"/>
      <c r="T121" s="9"/>
      <c r="U121" s="9"/>
      <c r="V121" s="9"/>
      <c r="W121" s="9"/>
      <c r="X121" s="9"/>
      <c r="Y121" s="9"/>
      <c r="Z121" s="9"/>
      <c r="AA121" s="9"/>
      <c r="AB121" s="9"/>
      <c r="AC121" s="9"/>
      <c r="AD121" s="9"/>
      <c r="AE121" s="9"/>
      <c r="AF121" s="9"/>
    </row>
    <row r="122" spans="1:32" ht="54.95" customHeight="1" x14ac:dyDescent="0.2">
      <c r="A122" s="56"/>
      <c r="B122" s="9"/>
      <c r="C122" s="9"/>
      <c r="D122" s="9"/>
      <c r="E122" s="9"/>
      <c r="F122" s="9"/>
      <c r="G122" s="9"/>
      <c r="H122" s="9"/>
      <c r="I122" s="58"/>
      <c r="J122" s="9"/>
      <c r="K122" s="9"/>
      <c r="L122" s="9"/>
      <c r="M122" s="9"/>
      <c r="N122" s="9"/>
      <c r="O122" s="9"/>
      <c r="P122" s="9"/>
      <c r="Q122" s="9"/>
      <c r="R122" s="9"/>
      <c r="S122" s="9"/>
      <c r="T122" s="9"/>
      <c r="U122" s="9"/>
      <c r="V122" s="9"/>
      <c r="W122" s="9"/>
      <c r="X122" s="9"/>
      <c r="Y122" s="9"/>
      <c r="Z122" s="9"/>
      <c r="AA122" s="9"/>
      <c r="AB122" s="9"/>
      <c r="AC122" s="9"/>
      <c r="AD122" s="9"/>
      <c r="AE122" s="9"/>
      <c r="AF122" s="9"/>
    </row>
    <row r="123" spans="1:32" ht="54.95" customHeight="1" x14ac:dyDescent="0.2">
      <c r="A123" s="56"/>
      <c r="B123" s="9"/>
      <c r="C123" s="9"/>
      <c r="D123" s="9"/>
      <c r="E123" s="9"/>
      <c r="F123" s="9"/>
      <c r="G123" s="9"/>
      <c r="H123" s="9"/>
      <c r="I123" s="58"/>
      <c r="J123" s="9"/>
      <c r="K123" s="9"/>
      <c r="L123" s="9"/>
      <c r="M123" s="9"/>
      <c r="N123" s="9"/>
      <c r="O123" s="9"/>
      <c r="P123" s="9"/>
      <c r="Q123" s="9"/>
      <c r="R123" s="9"/>
      <c r="S123" s="9"/>
      <c r="T123" s="9"/>
      <c r="U123" s="9"/>
      <c r="V123" s="9"/>
      <c r="W123" s="9"/>
      <c r="X123" s="9"/>
      <c r="Y123" s="9"/>
      <c r="Z123" s="9"/>
      <c r="AA123" s="9"/>
      <c r="AB123" s="9"/>
      <c r="AC123" s="9"/>
      <c r="AD123" s="9"/>
      <c r="AE123" s="9"/>
      <c r="AF123" s="9"/>
    </row>
    <row r="124" spans="1:32" ht="54.95" customHeight="1" x14ac:dyDescent="0.2">
      <c r="A124" s="56"/>
      <c r="B124" s="9"/>
      <c r="C124" s="9"/>
      <c r="D124" s="9"/>
      <c r="E124" s="9"/>
      <c r="F124" s="9"/>
      <c r="G124" s="9"/>
      <c r="H124" s="9"/>
      <c r="I124" s="58"/>
      <c r="J124" s="9"/>
      <c r="K124" s="9"/>
      <c r="L124" s="9"/>
      <c r="M124" s="9"/>
      <c r="N124" s="9"/>
      <c r="O124" s="9"/>
      <c r="P124" s="9"/>
      <c r="Q124" s="9"/>
      <c r="R124" s="9"/>
      <c r="S124" s="9"/>
      <c r="T124" s="9"/>
      <c r="U124" s="9"/>
      <c r="V124" s="9"/>
      <c r="W124" s="9"/>
      <c r="X124" s="9"/>
      <c r="Y124" s="9"/>
      <c r="Z124" s="9"/>
      <c r="AA124" s="9"/>
      <c r="AB124" s="9"/>
      <c r="AC124" s="9"/>
      <c r="AD124" s="9"/>
      <c r="AE124" s="9"/>
      <c r="AF124" s="9"/>
    </row>
    <row r="125" spans="1:32" ht="54.95" customHeight="1" x14ac:dyDescent="0.2">
      <c r="A125" s="56"/>
      <c r="B125" s="9"/>
      <c r="C125" s="9"/>
      <c r="D125" s="9"/>
      <c r="E125" s="9"/>
      <c r="F125" s="9"/>
      <c r="G125" s="9"/>
      <c r="H125" s="9"/>
      <c r="I125" s="58"/>
      <c r="J125" s="9"/>
      <c r="K125" s="9"/>
      <c r="L125" s="9"/>
      <c r="M125" s="9"/>
      <c r="N125" s="9"/>
      <c r="O125" s="9"/>
      <c r="P125" s="9"/>
      <c r="Q125" s="9"/>
      <c r="R125" s="9"/>
      <c r="S125" s="9"/>
      <c r="T125" s="9"/>
      <c r="U125" s="9"/>
      <c r="V125" s="9"/>
      <c r="W125" s="9"/>
      <c r="X125" s="9"/>
      <c r="Y125" s="9"/>
      <c r="Z125" s="9"/>
      <c r="AA125" s="9"/>
      <c r="AB125" s="9"/>
      <c r="AC125" s="9"/>
      <c r="AD125" s="9"/>
      <c r="AE125" s="9"/>
      <c r="AF125" s="9"/>
    </row>
    <row r="126" spans="1:32" ht="54.95" customHeight="1" x14ac:dyDescent="0.2">
      <c r="A126" s="56"/>
      <c r="B126" s="9"/>
      <c r="C126" s="9"/>
      <c r="D126" s="9"/>
      <c r="E126" s="9"/>
      <c r="F126" s="9"/>
      <c r="G126" s="9"/>
      <c r="H126" s="9"/>
      <c r="I126" s="58"/>
      <c r="J126" s="9"/>
      <c r="K126" s="9"/>
      <c r="L126" s="9"/>
      <c r="M126" s="9"/>
      <c r="N126" s="9"/>
      <c r="O126" s="9"/>
      <c r="P126" s="9"/>
      <c r="Q126" s="9"/>
      <c r="R126" s="9"/>
      <c r="S126" s="9"/>
      <c r="T126" s="9"/>
      <c r="U126" s="9"/>
      <c r="V126" s="9"/>
      <c r="W126" s="9"/>
      <c r="X126" s="9"/>
      <c r="Y126" s="9"/>
      <c r="Z126" s="9"/>
      <c r="AA126" s="9"/>
      <c r="AB126" s="9"/>
      <c r="AC126" s="9"/>
      <c r="AD126" s="9"/>
      <c r="AE126" s="9"/>
      <c r="AF126" s="9"/>
    </row>
    <row r="127" spans="1:32" ht="54.95" customHeight="1" x14ac:dyDescent="0.2">
      <c r="A127" s="56"/>
      <c r="B127" s="9"/>
      <c r="C127" s="9"/>
      <c r="D127" s="9"/>
      <c r="E127" s="9"/>
      <c r="F127" s="9"/>
      <c r="G127" s="9"/>
      <c r="H127" s="9"/>
      <c r="I127" s="58"/>
      <c r="J127" s="9"/>
      <c r="K127" s="9"/>
      <c r="L127" s="9"/>
      <c r="M127" s="9"/>
      <c r="N127" s="9"/>
      <c r="O127" s="9"/>
      <c r="P127" s="9"/>
      <c r="Q127" s="9"/>
      <c r="R127" s="9"/>
      <c r="S127" s="9"/>
      <c r="T127" s="9"/>
      <c r="U127" s="9"/>
      <c r="V127" s="9"/>
      <c r="W127" s="9"/>
      <c r="X127" s="9"/>
      <c r="Y127" s="9"/>
      <c r="Z127" s="9"/>
      <c r="AA127" s="9"/>
      <c r="AB127" s="9"/>
      <c r="AC127" s="9"/>
      <c r="AD127" s="9"/>
      <c r="AE127" s="9"/>
      <c r="AF127" s="9"/>
    </row>
    <row r="128" spans="1:32" ht="54.95" customHeight="1" x14ac:dyDescent="0.2">
      <c r="A128" s="56"/>
      <c r="B128" s="9"/>
      <c r="C128" s="9"/>
      <c r="D128" s="9"/>
      <c r="E128" s="9"/>
      <c r="F128" s="9"/>
      <c r="G128" s="9"/>
      <c r="H128" s="9"/>
      <c r="I128" s="58"/>
      <c r="J128" s="9"/>
      <c r="K128" s="9"/>
      <c r="L128" s="9"/>
      <c r="M128" s="9"/>
      <c r="N128" s="9"/>
      <c r="O128" s="9"/>
      <c r="P128" s="9"/>
      <c r="Q128" s="9"/>
      <c r="R128" s="9"/>
      <c r="S128" s="9"/>
      <c r="T128" s="9"/>
      <c r="U128" s="9"/>
      <c r="V128" s="9"/>
      <c r="W128" s="9"/>
      <c r="X128" s="9"/>
      <c r="Y128" s="9"/>
      <c r="Z128" s="9"/>
      <c r="AA128" s="9"/>
      <c r="AB128" s="9"/>
      <c r="AC128" s="9"/>
      <c r="AD128" s="9"/>
      <c r="AE128" s="9"/>
      <c r="AF128" s="9"/>
    </row>
    <row r="129" spans="1:32" ht="54.95" customHeight="1" x14ac:dyDescent="0.2">
      <c r="A129" s="56"/>
      <c r="B129" s="9"/>
      <c r="C129" s="9"/>
      <c r="D129" s="9"/>
      <c r="E129" s="9"/>
      <c r="F129" s="9"/>
      <c r="G129" s="9"/>
      <c r="H129" s="9"/>
      <c r="I129" s="58"/>
      <c r="J129" s="9"/>
      <c r="K129" s="9"/>
      <c r="L129" s="9"/>
      <c r="M129" s="9"/>
      <c r="N129" s="9"/>
      <c r="O129" s="9"/>
      <c r="P129" s="9"/>
      <c r="Q129" s="9"/>
      <c r="R129" s="9"/>
      <c r="S129" s="9"/>
      <c r="T129" s="9"/>
      <c r="U129" s="9"/>
      <c r="V129" s="9"/>
      <c r="W129" s="9"/>
      <c r="X129" s="9"/>
      <c r="Y129" s="9"/>
      <c r="Z129" s="9"/>
      <c r="AA129" s="9"/>
      <c r="AB129" s="9"/>
      <c r="AC129" s="9"/>
      <c r="AD129" s="9"/>
      <c r="AE129" s="9"/>
      <c r="AF129" s="9"/>
    </row>
    <row r="130" spans="1:32" ht="54.95" customHeight="1" x14ac:dyDescent="0.2">
      <c r="A130" s="56"/>
      <c r="B130" s="9"/>
      <c r="C130" s="9"/>
      <c r="D130" s="9"/>
      <c r="E130" s="9"/>
      <c r="F130" s="9"/>
      <c r="G130" s="9"/>
      <c r="H130" s="9"/>
      <c r="I130" s="58"/>
      <c r="J130" s="9"/>
      <c r="K130" s="9"/>
      <c r="L130" s="9"/>
      <c r="M130" s="9"/>
      <c r="N130" s="9"/>
      <c r="O130" s="9"/>
      <c r="P130" s="9"/>
      <c r="Q130" s="9"/>
      <c r="R130" s="9"/>
      <c r="S130" s="9"/>
      <c r="T130" s="9"/>
      <c r="U130" s="9"/>
      <c r="V130" s="9"/>
      <c r="W130" s="9"/>
      <c r="X130" s="9"/>
      <c r="Y130" s="9"/>
      <c r="Z130" s="9"/>
      <c r="AA130" s="9"/>
      <c r="AB130" s="9"/>
      <c r="AC130" s="9"/>
      <c r="AD130" s="9"/>
      <c r="AE130" s="9"/>
      <c r="AF130" s="9"/>
    </row>
    <row r="131" spans="1:32" ht="54.95" customHeight="1" x14ac:dyDescent="0.2">
      <c r="A131" s="56"/>
      <c r="B131" s="9"/>
      <c r="C131" s="9"/>
      <c r="D131" s="9"/>
      <c r="E131" s="9"/>
      <c r="F131" s="9"/>
      <c r="G131" s="9"/>
      <c r="H131" s="9"/>
      <c r="I131" s="58"/>
      <c r="J131" s="9"/>
      <c r="K131" s="9"/>
      <c r="L131" s="9"/>
      <c r="M131" s="9"/>
      <c r="N131" s="9"/>
      <c r="O131" s="9"/>
      <c r="P131" s="9"/>
      <c r="Q131" s="9"/>
      <c r="R131" s="9"/>
      <c r="S131" s="9"/>
      <c r="T131" s="9"/>
      <c r="U131" s="9"/>
      <c r="V131" s="9"/>
      <c r="W131" s="9"/>
      <c r="X131" s="9"/>
      <c r="Y131" s="9"/>
      <c r="Z131" s="9"/>
      <c r="AA131" s="9"/>
      <c r="AB131" s="9"/>
      <c r="AC131" s="9"/>
      <c r="AD131" s="9"/>
      <c r="AE131" s="9"/>
      <c r="AF131" s="9"/>
    </row>
    <row r="132" spans="1:32" ht="54.95" customHeight="1" x14ac:dyDescent="0.2">
      <c r="A132" s="56"/>
      <c r="B132" s="9"/>
      <c r="C132" s="9"/>
      <c r="D132" s="9"/>
      <c r="E132" s="9"/>
      <c r="F132" s="9"/>
      <c r="G132" s="9"/>
      <c r="H132" s="9"/>
      <c r="I132" s="58"/>
      <c r="J132" s="9"/>
      <c r="K132" s="9"/>
      <c r="L132" s="9"/>
      <c r="M132" s="9"/>
      <c r="N132" s="9"/>
      <c r="O132" s="9"/>
      <c r="P132" s="9"/>
      <c r="Q132" s="9"/>
      <c r="R132" s="9"/>
      <c r="S132" s="9"/>
      <c r="T132" s="9"/>
      <c r="U132" s="9"/>
      <c r="V132" s="9"/>
      <c r="W132" s="9"/>
      <c r="X132" s="9"/>
      <c r="Y132" s="9"/>
      <c r="Z132" s="9"/>
      <c r="AA132" s="9"/>
      <c r="AB132" s="9"/>
      <c r="AC132" s="9"/>
      <c r="AD132" s="9"/>
      <c r="AE132" s="9"/>
      <c r="AF132" s="9"/>
    </row>
    <row r="133" spans="1:32" ht="54.95" customHeight="1" x14ac:dyDescent="0.2">
      <c r="A133" s="56"/>
      <c r="B133" s="9"/>
      <c r="C133" s="9"/>
      <c r="D133" s="9"/>
      <c r="E133" s="9"/>
      <c r="F133" s="9"/>
      <c r="G133" s="9"/>
      <c r="H133" s="9"/>
      <c r="I133" s="58"/>
      <c r="J133" s="9"/>
      <c r="K133" s="9"/>
      <c r="L133" s="9"/>
      <c r="M133" s="9"/>
      <c r="N133" s="9"/>
      <c r="O133" s="9"/>
      <c r="P133" s="9"/>
      <c r="Q133" s="9"/>
      <c r="R133" s="9"/>
      <c r="S133" s="9"/>
      <c r="T133" s="9"/>
      <c r="U133" s="9"/>
      <c r="V133" s="9"/>
      <c r="W133" s="9"/>
      <c r="X133" s="9"/>
      <c r="Y133" s="9"/>
      <c r="Z133" s="9"/>
      <c r="AA133" s="9"/>
      <c r="AB133" s="9"/>
      <c r="AC133" s="9"/>
      <c r="AD133" s="9"/>
      <c r="AE133" s="9"/>
      <c r="AF133" s="9"/>
    </row>
    <row r="134" spans="1:32" ht="54.95" customHeight="1" x14ac:dyDescent="0.2">
      <c r="A134" s="56"/>
      <c r="B134" s="9"/>
      <c r="C134" s="9"/>
      <c r="D134" s="9"/>
      <c r="E134" s="9"/>
      <c r="F134" s="9"/>
      <c r="G134" s="9"/>
      <c r="H134" s="9"/>
      <c r="I134" s="58"/>
      <c r="J134" s="9"/>
      <c r="K134" s="9"/>
      <c r="L134" s="9"/>
      <c r="M134" s="9"/>
      <c r="N134" s="9"/>
      <c r="O134" s="9"/>
      <c r="P134" s="9"/>
      <c r="Q134" s="9"/>
      <c r="R134" s="9"/>
      <c r="S134" s="9"/>
      <c r="T134" s="9"/>
      <c r="U134" s="9"/>
      <c r="V134" s="9"/>
      <c r="W134" s="9"/>
      <c r="X134" s="9"/>
      <c r="Y134" s="9"/>
      <c r="Z134" s="9"/>
      <c r="AA134" s="9"/>
      <c r="AB134" s="9"/>
      <c r="AC134" s="9"/>
      <c r="AD134" s="9"/>
      <c r="AE134" s="9"/>
      <c r="AF134" s="9"/>
    </row>
    <row r="135" spans="1:32" ht="54.95" customHeight="1" x14ac:dyDescent="0.2">
      <c r="A135" s="56"/>
      <c r="B135" s="9"/>
      <c r="C135" s="9"/>
      <c r="D135" s="9"/>
      <c r="E135" s="9"/>
      <c r="F135" s="9"/>
      <c r="G135" s="9"/>
      <c r="H135" s="9"/>
      <c r="I135" s="58"/>
      <c r="J135" s="9"/>
      <c r="K135" s="9"/>
      <c r="L135" s="9"/>
      <c r="M135" s="9"/>
      <c r="N135" s="9"/>
      <c r="O135" s="9"/>
      <c r="P135" s="9"/>
      <c r="Q135" s="9"/>
      <c r="R135" s="9"/>
      <c r="S135" s="9"/>
      <c r="T135" s="9"/>
      <c r="U135" s="9"/>
      <c r="V135" s="9"/>
      <c r="W135" s="9"/>
      <c r="X135" s="9"/>
      <c r="Y135" s="9"/>
      <c r="Z135" s="9"/>
      <c r="AA135" s="9"/>
      <c r="AB135" s="9"/>
      <c r="AC135" s="9"/>
      <c r="AD135" s="9"/>
      <c r="AE135" s="9"/>
      <c r="AF135" s="9"/>
    </row>
    <row r="136" spans="1:32" ht="54.95" customHeight="1" x14ac:dyDescent="0.2">
      <c r="A136" s="56"/>
      <c r="B136" s="9"/>
      <c r="C136" s="9"/>
      <c r="D136" s="9"/>
      <c r="E136" s="9"/>
      <c r="F136" s="9"/>
      <c r="G136" s="9"/>
      <c r="H136" s="9"/>
      <c r="I136" s="58"/>
      <c r="J136" s="9"/>
      <c r="K136" s="9"/>
      <c r="L136" s="9"/>
      <c r="M136" s="9"/>
      <c r="N136" s="9"/>
      <c r="O136" s="9"/>
      <c r="P136" s="9"/>
      <c r="Q136" s="9"/>
      <c r="R136" s="9"/>
      <c r="S136" s="9"/>
      <c r="T136" s="9"/>
      <c r="U136" s="9"/>
      <c r="V136" s="9"/>
      <c r="W136" s="9"/>
      <c r="X136" s="9"/>
      <c r="Y136" s="9"/>
      <c r="Z136" s="9"/>
      <c r="AA136" s="9"/>
      <c r="AB136" s="9"/>
      <c r="AC136" s="9"/>
      <c r="AD136" s="9"/>
      <c r="AE136" s="9"/>
      <c r="AF136" s="9"/>
    </row>
    <row r="137" spans="1:32" ht="54.95" customHeight="1" x14ac:dyDescent="0.2">
      <c r="A137" s="56"/>
      <c r="B137" s="9"/>
      <c r="C137" s="9"/>
      <c r="D137" s="9"/>
      <c r="E137" s="9"/>
      <c r="F137" s="9"/>
      <c r="G137" s="9"/>
      <c r="H137" s="9"/>
      <c r="I137" s="58"/>
      <c r="J137" s="9"/>
      <c r="K137" s="9"/>
      <c r="L137" s="9"/>
      <c r="M137" s="9"/>
      <c r="N137" s="9"/>
      <c r="O137" s="9"/>
      <c r="P137" s="9"/>
      <c r="Q137" s="9"/>
      <c r="R137" s="9"/>
      <c r="S137" s="9"/>
      <c r="T137" s="9"/>
      <c r="U137" s="9"/>
      <c r="V137" s="9"/>
      <c r="W137" s="9"/>
      <c r="X137" s="9"/>
      <c r="Y137" s="9"/>
      <c r="Z137" s="9"/>
      <c r="AA137" s="9"/>
      <c r="AB137" s="9"/>
      <c r="AC137" s="9"/>
      <c r="AD137" s="9"/>
      <c r="AE137" s="9"/>
      <c r="AF137" s="9"/>
    </row>
    <row r="138" spans="1:32" ht="54.95" customHeight="1" x14ac:dyDescent="0.2">
      <c r="A138" s="56"/>
      <c r="B138" s="9"/>
      <c r="C138" s="9"/>
      <c r="D138" s="9"/>
      <c r="E138" s="9"/>
      <c r="F138" s="9"/>
      <c r="G138" s="9"/>
      <c r="H138" s="9"/>
      <c r="I138" s="58"/>
      <c r="J138" s="9"/>
      <c r="K138" s="9"/>
      <c r="L138" s="9"/>
      <c r="M138" s="9"/>
      <c r="N138" s="9"/>
      <c r="O138" s="9"/>
      <c r="P138" s="9"/>
      <c r="Q138" s="9"/>
      <c r="R138" s="9"/>
      <c r="S138" s="9"/>
      <c r="T138" s="9"/>
      <c r="U138" s="9"/>
      <c r="V138" s="9"/>
      <c r="W138" s="9"/>
      <c r="X138" s="9"/>
      <c r="Y138" s="9"/>
      <c r="Z138" s="9"/>
      <c r="AA138" s="9"/>
      <c r="AB138" s="9"/>
      <c r="AC138" s="9"/>
      <c r="AD138" s="9"/>
      <c r="AE138" s="9"/>
      <c r="AF138" s="9"/>
    </row>
    <row r="139" spans="1:32" ht="54.95" customHeight="1" x14ac:dyDescent="0.2">
      <c r="A139" s="56"/>
      <c r="B139" s="9"/>
      <c r="C139" s="9"/>
      <c r="D139" s="9"/>
      <c r="E139" s="9"/>
      <c r="F139" s="9"/>
      <c r="G139" s="9"/>
      <c r="H139" s="9"/>
      <c r="I139" s="58"/>
      <c r="J139" s="9"/>
      <c r="K139" s="9"/>
      <c r="L139" s="9"/>
      <c r="M139" s="9"/>
      <c r="N139" s="9"/>
      <c r="O139" s="9"/>
      <c r="P139" s="9"/>
      <c r="Q139" s="9"/>
      <c r="R139" s="9"/>
      <c r="S139" s="9"/>
      <c r="T139" s="9"/>
      <c r="U139" s="9"/>
      <c r="V139" s="9"/>
      <c r="W139" s="9"/>
      <c r="X139" s="9"/>
      <c r="Y139" s="9"/>
      <c r="Z139" s="9"/>
      <c r="AA139" s="9"/>
      <c r="AB139" s="9"/>
      <c r="AC139" s="9"/>
      <c r="AD139" s="9"/>
      <c r="AE139" s="9"/>
      <c r="AF139" s="9"/>
    </row>
    <row r="140" spans="1:32" ht="54.95" customHeight="1" x14ac:dyDescent="0.2">
      <c r="A140" s="56"/>
      <c r="B140" s="9"/>
      <c r="C140" s="9"/>
      <c r="D140" s="9"/>
      <c r="E140" s="9"/>
      <c r="F140" s="9"/>
      <c r="G140" s="9"/>
      <c r="H140" s="9"/>
      <c r="I140" s="58"/>
      <c r="J140" s="9"/>
      <c r="K140" s="9"/>
      <c r="L140" s="9"/>
      <c r="M140" s="9"/>
      <c r="N140" s="9"/>
      <c r="O140" s="9"/>
      <c r="P140" s="9"/>
      <c r="Q140" s="9"/>
      <c r="R140" s="9"/>
      <c r="S140" s="9"/>
      <c r="T140" s="9"/>
      <c r="U140" s="9"/>
      <c r="V140" s="9"/>
      <c r="W140" s="9"/>
      <c r="X140" s="9"/>
      <c r="Y140" s="9"/>
      <c r="Z140" s="9"/>
      <c r="AA140" s="9"/>
      <c r="AB140" s="9"/>
      <c r="AC140" s="9"/>
      <c r="AD140" s="9"/>
      <c r="AE140" s="9"/>
      <c r="AF140" s="9"/>
    </row>
    <row r="141" spans="1:32" ht="54.95" customHeight="1" x14ac:dyDescent="0.2">
      <c r="A141" s="56"/>
      <c r="B141" s="9"/>
      <c r="C141" s="9"/>
      <c r="D141" s="9"/>
      <c r="E141" s="9"/>
      <c r="F141" s="9"/>
      <c r="G141" s="9"/>
      <c r="H141" s="9"/>
      <c r="I141" s="58"/>
      <c r="J141" s="9"/>
      <c r="K141" s="9"/>
      <c r="L141" s="9"/>
      <c r="M141" s="9"/>
      <c r="N141" s="9"/>
      <c r="O141" s="9"/>
      <c r="P141" s="9"/>
      <c r="Q141" s="9"/>
      <c r="R141" s="9"/>
      <c r="S141" s="9"/>
      <c r="T141" s="9"/>
      <c r="U141" s="9"/>
      <c r="V141" s="9"/>
      <c r="W141" s="9"/>
      <c r="X141" s="9"/>
      <c r="Y141" s="9"/>
      <c r="Z141" s="9"/>
      <c r="AA141" s="9"/>
      <c r="AB141" s="9"/>
      <c r="AC141" s="9"/>
      <c r="AD141" s="9"/>
      <c r="AE141" s="9"/>
      <c r="AF141" s="9"/>
    </row>
    <row r="142" spans="1:32" ht="54.95" customHeight="1" x14ac:dyDescent="0.2">
      <c r="A142" s="56"/>
      <c r="B142" s="9"/>
      <c r="C142" s="9"/>
      <c r="D142" s="9"/>
      <c r="E142" s="9"/>
      <c r="F142" s="9"/>
      <c r="G142" s="9"/>
      <c r="H142" s="9"/>
      <c r="I142" s="58"/>
      <c r="J142" s="9"/>
      <c r="K142" s="9"/>
      <c r="L142" s="9"/>
      <c r="M142" s="9"/>
      <c r="N142" s="9"/>
      <c r="O142" s="9"/>
      <c r="P142" s="9"/>
      <c r="Q142" s="9"/>
      <c r="R142" s="9"/>
      <c r="S142" s="9"/>
      <c r="T142" s="9"/>
      <c r="U142" s="9"/>
      <c r="V142" s="9"/>
      <c r="W142" s="9"/>
      <c r="X142" s="9"/>
      <c r="Y142" s="9"/>
      <c r="Z142" s="9"/>
      <c r="AA142" s="9"/>
      <c r="AB142" s="9"/>
      <c r="AC142" s="9"/>
      <c r="AD142" s="9"/>
      <c r="AE142" s="9"/>
      <c r="AF142" s="9"/>
    </row>
    <row r="143" spans="1:32" ht="54.95" customHeight="1" x14ac:dyDescent="0.2">
      <c r="A143" s="56"/>
      <c r="B143" s="9"/>
      <c r="C143" s="9"/>
      <c r="D143" s="9"/>
      <c r="E143" s="9"/>
      <c r="F143" s="9"/>
      <c r="G143" s="9"/>
      <c r="H143" s="9"/>
      <c r="I143" s="58"/>
      <c r="J143" s="9"/>
      <c r="K143" s="9"/>
      <c r="L143" s="9"/>
      <c r="M143" s="9"/>
      <c r="N143" s="9"/>
      <c r="O143" s="9"/>
      <c r="P143" s="9"/>
      <c r="Q143" s="9"/>
      <c r="R143" s="9"/>
      <c r="S143" s="9"/>
      <c r="T143" s="9"/>
      <c r="U143" s="9"/>
      <c r="V143" s="9"/>
      <c r="W143" s="9"/>
      <c r="X143" s="9"/>
      <c r="Y143" s="9"/>
      <c r="Z143" s="9"/>
      <c r="AA143" s="9"/>
      <c r="AB143" s="9"/>
      <c r="AC143" s="9"/>
      <c r="AD143" s="9"/>
      <c r="AE143" s="9"/>
      <c r="AF143" s="9"/>
    </row>
    <row r="144" spans="1:32" ht="54.95" customHeight="1" x14ac:dyDescent="0.2">
      <c r="A144" s="56"/>
      <c r="B144" s="9"/>
      <c r="C144" s="9"/>
      <c r="D144" s="9"/>
      <c r="E144" s="9"/>
      <c r="F144" s="9"/>
      <c r="G144" s="9"/>
      <c r="H144" s="9"/>
      <c r="I144" s="58"/>
      <c r="J144" s="9"/>
      <c r="K144" s="9"/>
      <c r="L144" s="9"/>
      <c r="M144" s="9"/>
      <c r="N144" s="9"/>
      <c r="O144" s="9"/>
      <c r="P144" s="9"/>
      <c r="Q144" s="9"/>
      <c r="R144" s="9"/>
      <c r="S144" s="9"/>
      <c r="T144" s="9"/>
      <c r="U144" s="9"/>
      <c r="V144" s="9"/>
      <c r="W144" s="9"/>
      <c r="X144" s="9"/>
      <c r="Y144" s="9"/>
      <c r="Z144" s="9"/>
      <c r="AA144" s="9"/>
      <c r="AB144" s="9"/>
      <c r="AC144" s="9"/>
      <c r="AD144" s="9"/>
      <c r="AE144" s="9"/>
      <c r="AF144" s="9"/>
    </row>
    <row r="145" spans="1:32" ht="54.95" customHeight="1" x14ac:dyDescent="0.2">
      <c r="A145" s="56"/>
      <c r="B145" s="9"/>
      <c r="C145" s="9"/>
      <c r="D145" s="9"/>
      <c r="E145" s="9"/>
      <c r="F145" s="9"/>
      <c r="G145" s="9"/>
      <c r="H145" s="9"/>
      <c r="I145" s="58"/>
      <c r="J145" s="9"/>
      <c r="K145" s="9"/>
      <c r="L145" s="9"/>
      <c r="M145" s="9"/>
      <c r="N145" s="9"/>
      <c r="O145" s="9"/>
      <c r="P145" s="9"/>
      <c r="Q145" s="9"/>
      <c r="R145" s="9"/>
      <c r="S145" s="9"/>
      <c r="T145" s="9"/>
      <c r="U145" s="9"/>
      <c r="V145" s="9"/>
      <c r="W145" s="9"/>
      <c r="X145" s="9"/>
      <c r="Y145" s="9"/>
      <c r="Z145" s="9"/>
      <c r="AA145" s="9"/>
      <c r="AB145" s="9"/>
      <c r="AC145" s="9"/>
      <c r="AD145" s="9"/>
      <c r="AE145" s="9"/>
      <c r="AF145" s="9"/>
    </row>
    <row r="146" spans="1:32" ht="54.95" customHeight="1" x14ac:dyDescent="0.2">
      <c r="A146" s="56"/>
      <c r="B146" s="9"/>
      <c r="C146" s="9"/>
      <c r="D146" s="9"/>
      <c r="E146" s="9"/>
      <c r="F146" s="9"/>
      <c r="G146" s="9"/>
      <c r="H146" s="9"/>
      <c r="I146" s="58"/>
      <c r="J146" s="9"/>
      <c r="K146" s="9"/>
      <c r="L146" s="9"/>
      <c r="M146" s="9"/>
      <c r="N146" s="9"/>
      <c r="O146" s="9"/>
      <c r="P146" s="9"/>
      <c r="Q146" s="9"/>
      <c r="R146" s="9"/>
      <c r="S146" s="9"/>
      <c r="T146" s="9"/>
      <c r="U146" s="9"/>
      <c r="V146" s="9"/>
      <c r="W146" s="9"/>
      <c r="X146" s="9"/>
      <c r="Y146" s="9"/>
      <c r="Z146" s="9"/>
      <c r="AA146" s="9"/>
      <c r="AB146" s="9"/>
      <c r="AC146" s="9"/>
      <c r="AD146" s="9"/>
      <c r="AE146" s="9"/>
      <c r="AF146" s="9"/>
    </row>
    <row r="147" spans="1:32" ht="54.95" customHeight="1" x14ac:dyDescent="0.2">
      <c r="A147" s="56"/>
      <c r="B147" s="9"/>
      <c r="C147" s="9"/>
      <c r="D147" s="9"/>
      <c r="E147" s="9"/>
      <c r="F147" s="9"/>
      <c r="G147" s="9"/>
      <c r="H147" s="9"/>
      <c r="I147" s="58"/>
      <c r="J147" s="9"/>
      <c r="K147" s="9"/>
      <c r="L147" s="9"/>
      <c r="M147" s="9"/>
      <c r="N147" s="9"/>
      <c r="O147" s="9"/>
      <c r="P147" s="9"/>
      <c r="Q147" s="9"/>
      <c r="R147" s="9"/>
      <c r="S147" s="9"/>
      <c r="T147" s="9"/>
      <c r="U147" s="9"/>
      <c r="V147" s="9"/>
      <c r="W147" s="9"/>
      <c r="X147" s="9"/>
      <c r="Y147" s="9"/>
      <c r="Z147" s="9"/>
      <c r="AA147" s="9"/>
      <c r="AB147" s="9"/>
      <c r="AC147" s="9"/>
      <c r="AD147" s="9"/>
      <c r="AE147" s="9"/>
      <c r="AF147" s="9"/>
    </row>
    <row r="148" spans="1:32" ht="54.95" customHeight="1" x14ac:dyDescent="0.2">
      <c r="A148" s="56"/>
      <c r="B148" s="9"/>
      <c r="C148" s="9"/>
      <c r="D148" s="9"/>
      <c r="E148" s="9"/>
      <c r="F148" s="9"/>
      <c r="G148" s="9"/>
      <c r="H148" s="9"/>
      <c r="I148" s="58"/>
      <c r="J148" s="9"/>
      <c r="K148" s="9"/>
      <c r="L148" s="9"/>
      <c r="M148" s="9"/>
      <c r="N148" s="9"/>
      <c r="O148" s="9"/>
      <c r="P148" s="9"/>
      <c r="Q148" s="9"/>
      <c r="R148" s="9"/>
      <c r="S148" s="9"/>
      <c r="T148" s="9"/>
      <c r="U148" s="9"/>
      <c r="V148" s="9"/>
      <c r="W148" s="9"/>
      <c r="X148" s="9"/>
      <c r="Y148" s="9"/>
      <c r="Z148" s="9"/>
      <c r="AA148" s="9"/>
      <c r="AB148" s="9"/>
      <c r="AC148" s="9"/>
      <c r="AD148" s="9"/>
      <c r="AE148" s="9"/>
      <c r="AF148" s="9"/>
    </row>
    <row r="149" spans="1:32" ht="54.95" customHeight="1" x14ac:dyDescent="0.2">
      <c r="A149" s="56"/>
      <c r="B149" s="9"/>
      <c r="C149" s="9"/>
      <c r="D149" s="9"/>
      <c r="E149" s="9"/>
      <c r="F149" s="9"/>
      <c r="G149" s="9"/>
      <c r="H149" s="9"/>
      <c r="I149" s="58"/>
      <c r="J149" s="9"/>
      <c r="K149" s="9"/>
      <c r="L149" s="9"/>
      <c r="M149" s="9"/>
      <c r="N149" s="9"/>
      <c r="O149" s="9"/>
      <c r="P149" s="9"/>
      <c r="Q149" s="9"/>
      <c r="R149" s="9"/>
      <c r="S149" s="9"/>
      <c r="T149" s="9"/>
      <c r="U149" s="9"/>
      <c r="V149" s="9"/>
      <c r="W149" s="9"/>
      <c r="X149" s="9"/>
      <c r="Y149" s="9"/>
      <c r="Z149" s="9"/>
      <c r="AA149" s="9"/>
      <c r="AB149" s="9"/>
      <c r="AC149" s="9"/>
      <c r="AD149" s="9"/>
      <c r="AE149" s="9"/>
      <c r="AF149" s="9"/>
    </row>
    <row r="150" spans="1:32" ht="54.95" customHeight="1" x14ac:dyDescent="0.2">
      <c r="A150" s="56"/>
      <c r="B150" s="9"/>
      <c r="C150" s="9"/>
      <c r="D150" s="9"/>
      <c r="E150" s="9"/>
      <c r="F150" s="9"/>
      <c r="G150" s="9"/>
      <c r="H150" s="9"/>
      <c r="I150" s="58"/>
      <c r="J150" s="9"/>
      <c r="K150" s="9"/>
      <c r="L150" s="9"/>
      <c r="M150" s="9"/>
      <c r="N150" s="9"/>
      <c r="O150" s="9"/>
      <c r="P150" s="9"/>
      <c r="Q150" s="9"/>
      <c r="R150" s="9"/>
      <c r="S150" s="9"/>
      <c r="T150" s="9"/>
      <c r="U150" s="9"/>
      <c r="V150" s="9"/>
      <c r="W150" s="9"/>
      <c r="X150" s="9"/>
      <c r="Y150" s="9"/>
      <c r="Z150" s="9"/>
      <c r="AA150" s="9"/>
      <c r="AB150" s="9"/>
      <c r="AC150" s="9"/>
      <c r="AD150" s="9"/>
      <c r="AE150" s="9"/>
      <c r="AF150" s="9"/>
    </row>
    <row r="151" spans="1:32" ht="54.95" customHeight="1" x14ac:dyDescent="0.2">
      <c r="A151" s="56"/>
      <c r="B151" s="9"/>
      <c r="C151" s="9"/>
      <c r="D151" s="9"/>
      <c r="E151" s="9"/>
      <c r="F151" s="9"/>
      <c r="G151" s="9"/>
      <c r="H151" s="9"/>
      <c r="I151" s="58"/>
      <c r="J151" s="9"/>
      <c r="K151" s="9"/>
      <c r="L151" s="9"/>
      <c r="M151" s="9"/>
      <c r="N151" s="9"/>
      <c r="O151" s="9"/>
      <c r="P151" s="9"/>
      <c r="Q151" s="9"/>
      <c r="R151" s="9"/>
      <c r="S151" s="9"/>
      <c r="T151" s="9"/>
      <c r="U151" s="9"/>
      <c r="V151" s="9"/>
      <c r="W151" s="9"/>
      <c r="X151" s="9"/>
      <c r="Y151" s="9"/>
      <c r="Z151" s="9"/>
      <c r="AA151" s="9"/>
      <c r="AB151" s="9"/>
      <c r="AC151" s="9"/>
      <c r="AD151" s="9"/>
      <c r="AE151" s="9"/>
      <c r="AF151" s="9"/>
    </row>
    <row r="152" spans="1:32" ht="54.95" customHeight="1" x14ac:dyDescent="0.2">
      <c r="A152" s="56"/>
      <c r="B152" s="9"/>
      <c r="C152" s="9"/>
      <c r="D152" s="9"/>
      <c r="E152" s="9"/>
      <c r="F152" s="9"/>
      <c r="G152" s="9"/>
      <c r="H152" s="9"/>
      <c r="I152" s="58"/>
      <c r="J152" s="9"/>
      <c r="K152" s="9"/>
      <c r="L152" s="9"/>
      <c r="M152" s="9"/>
      <c r="N152" s="9"/>
      <c r="O152" s="9"/>
      <c r="P152" s="9"/>
      <c r="Q152" s="9"/>
      <c r="R152" s="9"/>
      <c r="S152" s="9"/>
      <c r="T152" s="9"/>
      <c r="U152" s="9"/>
      <c r="V152" s="9"/>
      <c r="W152" s="9"/>
      <c r="X152" s="9"/>
      <c r="Y152" s="9"/>
      <c r="Z152" s="9"/>
      <c r="AA152" s="9"/>
      <c r="AB152" s="9"/>
      <c r="AC152" s="9"/>
      <c r="AD152" s="9"/>
      <c r="AE152" s="9"/>
      <c r="AF152" s="9"/>
    </row>
    <row r="153" spans="1:32" ht="54.95" customHeight="1" x14ac:dyDescent="0.2">
      <c r="A153" s="56"/>
      <c r="B153" s="9"/>
      <c r="C153" s="9"/>
      <c r="D153" s="9"/>
      <c r="E153" s="9"/>
      <c r="F153" s="9"/>
      <c r="G153" s="9"/>
      <c r="H153" s="9"/>
      <c r="I153" s="58"/>
      <c r="J153" s="9"/>
      <c r="K153" s="9"/>
      <c r="L153" s="9"/>
      <c r="M153" s="9"/>
      <c r="N153" s="9"/>
      <c r="O153" s="9"/>
      <c r="P153" s="9"/>
      <c r="Q153" s="9"/>
      <c r="R153" s="9"/>
      <c r="S153" s="9"/>
      <c r="T153" s="9"/>
      <c r="U153" s="9"/>
      <c r="V153" s="9"/>
      <c r="W153" s="9"/>
      <c r="X153" s="9"/>
      <c r="Y153" s="9"/>
      <c r="Z153" s="9"/>
      <c r="AA153" s="9"/>
      <c r="AB153" s="9"/>
      <c r="AC153" s="9"/>
      <c r="AD153" s="9"/>
      <c r="AE153" s="9"/>
      <c r="AF153" s="9"/>
    </row>
    <row r="154" spans="1:32" ht="54.95" customHeight="1" x14ac:dyDescent="0.2">
      <c r="A154" s="56"/>
      <c r="B154" s="9"/>
      <c r="C154" s="9"/>
      <c r="D154" s="9"/>
      <c r="E154" s="9"/>
      <c r="F154" s="9"/>
      <c r="G154" s="9"/>
      <c r="H154" s="9"/>
      <c r="I154" s="58"/>
      <c r="J154" s="9"/>
      <c r="K154" s="9"/>
      <c r="L154" s="9"/>
      <c r="M154" s="9"/>
      <c r="N154" s="9"/>
      <c r="O154" s="9"/>
      <c r="P154" s="9"/>
      <c r="Q154" s="9"/>
      <c r="R154" s="9"/>
      <c r="S154" s="9"/>
      <c r="T154" s="9"/>
      <c r="U154" s="9"/>
      <c r="V154" s="9"/>
      <c r="W154" s="9"/>
      <c r="X154" s="9"/>
      <c r="Y154" s="9"/>
      <c r="Z154" s="9"/>
      <c r="AA154" s="9"/>
      <c r="AB154" s="9"/>
      <c r="AC154" s="9"/>
      <c r="AD154" s="9"/>
      <c r="AE154" s="9"/>
      <c r="AF154" s="9"/>
    </row>
    <row r="155" spans="1:32" ht="54.95" customHeight="1" x14ac:dyDescent="0.2">
      <c r="A155" s="56"/>
      <c r="B155" s="9"/>
      <c r="C155" s="9"/>
      <c r="D155" s="9"/>
      <c r="E155" s="9"/>
      <c r="F155" s="9"/>
      <c r="G155" s="9"/>
      <c r="H155" s="9"/>
      <c r="I155" s="58"/>
      <c r="J155" s="9"/>
      <c r="K155" s="9"/>
      <c r="L155" s="9"/>
      <c r="M155" s="9"/>
      <c r="N155" s="9"/>
      <c r="O155" s="9"/>
      <c r="P155" s="9"/>
      <c r="Q155" s="9"/>
      <c r="R155" s="9"/>
      <c r="S155" s="9"/>
      <c r="T155" s="9"/>
      <c r="U155" s="9"/>
      <c r="V155" s="9"/>
      <c r="W155" s="9"/>
      <c r="X155" s="9"/>
      <c r="Y155" s="9"/>
      <c r="Z155" s="9"/>
      <c r="AA155" s="9"/>
      <c r="AB155" s="9"/>
      <c r="AC155" s="9"/>
      <c r="AD155" s="9"/>
      <c r="AE155" s="9"/>
      <c r="AF155" s="9"/>
    </row>
    <row r="156" spans="1:32" ht="54.95" customHeight="1" x14ac:dyDescent="0.2">
      <c r="A156" s="56"/>
      <c r="B156" s="9"/>
      <c r="C156" s="9"/>
      <c r="D156" s="9"/>
      <c r="E156" s="9"/>
      <c r="F156" s="9"/>
      <c r="G156" s="9"/>
      <c r="H156" s="9"/>
      <c r="I156" s="58"/>
      <c r="J156" s="9"/>
      <c r="K156" s="9"/>
      <c r="L156" s="9"/>
      <c r="M156" s="9"/>
      <c r="N156" s="9"/>
      <c r="O156" s="9"/>
      <c r="P156" s="9"/>
      <c r="Q156" s="9"/>
      <c r="R156" s="9"/>
      <c r="S156" s="9"/>
      <c r="T156" s="9"/>
      <c r="U156" s="9"/>
      <c r="V156" s="9"/>
      <c r="W156" s="9"/>
      <c r="X156" s="9"/>
      <c r="Y156" s="9"/>
      <c r="Z156" s="9"/>
      <c r="AA156" s="9"/>
      <c r="AB156" s="9"/>
      <c r="AC156" s="9"/>
      <c r="AD156" s="9"/>
      <c r="AE156" s="9"/>
      <c r="AF156" s="9"/>
    </row>
    <row r="157" spans="1:32" ht="54.95" customHeight="1" x14ac:dyDescent="0.2">
      <c r="A157" s="56"/>
      <c r="B157" s="9"/>
      <c r="C157" s="9"/>
      <c r="D157" s="9"/>
      <c r="E157" s="9"/>
      <c r="F157" s="9"/>
      <c r="G157" s="9"/>
      <c r="H157" s="9"/>
      <c r="I157" s="58"/>
      <c r="J157" s="9"/>
      <c r="K157" s="9"/>
      <c r="L157" s="9"/>
      <c r="M157" s="9"/>
      <c r="N157" s="9"/>
      <c r="O157" s="9"/>
      <c r="P157" s="9"/>
      <c r="Q157" s="9"/>
      <c r="R157" s="9"/>
      <c r="S157" s="9"/>
      <c r="T157" s="9"/>
      <c r="U157" s="9"/>
      <c r="V157" s="9"/>
      <c r="W157" s="9"/>
      <c r="X157" s="9"/>
      <c r="Y157" s="9"/>
      <c r="Z157" s="9"/>
      <c r="AA157" s="9"/>
      <c r="AB157" s="9"/>
      <c r="AC157" s="9"/>
      <c r="AD157" s="9"/>
      <c r="AE157" s="9"/>
      <c r="AF157" s="9"/>
    </row>
    <row r="158" spans="1:32" ht="54.95" customHeight="1" x14ac:dyDescent="0.2">
      <c r="A158" s="56"/>
      <c r="B158" s="9"/>
      <c r="C158" s="9"/>
      <c r="D158" s="9"/>
      <c r="E158" s="9"/>
      <c r="F158" s="9"/>
      <c r="G158" s="9"/>
      <c r="H158" s="9"/>
      <c r="I158" s="58"/>
      <c r="J158" s="9"/>
      <c r="K158" s="9"/>
      <c r="L158" s="9"/>
      <c r="M158" s="9"/>
      <c r="N158" s="9"/>
      <c r="O158" s="9"/>
      <c r="P158" s="9"/>
      <c r="Q158" s="9"/>
      <c r="R158" s="9"/>
      <c r="S158" s="9"/>
      <c r="T158" s="9"/>
      <c r="U158" s="9"/>
      <c r="V158" s="9"/>
      <c r="W158" s="9"/>
      <c r="X158" s="9"/>
      <c r="Y158" s="9"/>
      <c r="Z158" s="9"/>
      <c r="AA158" s="9"/>
      <c r="AB158" s="9"/>
      <c r="AC158" s="9"/>
      <c r="AD158" s="9"/>
      <c r="AE158" s="9"/>
      <c r="AF158" s="9"/>
    </row>
    <row r="159" spans="1:32" ht="54.95" customHeight="1" x14ac:dyDescent="0.2">
      <c r="A159" s="56"/>
      <c r="B159" s="9"/>
      <c r="C159" s="9"/>
      <c r="D159" s="9"/>
      <c r="E159" s="9"/>
      <c r="F159" s="9"/>
      <c r="G159" s="9"/>
      <c r="H159" s="9"/>
      <c r="I159" s="58"/>
      <c r="J159" s="9"/>
      <c r="K159" s="9"/>
      <c r="L159" s="9"/>
      <c r="M159" s="9"/>
      <c r="N159" s="9"/>
      <c r="O159" s="9"/>
      <c r="P159" s="9"/>
      <c r="Q159" s="9"/>
      <c r="R159" s="9"/>
      <c r="S159" s="9"/>
      <c r="T159" s="9"/>
      <c r="U159" s="9"/>
      <c r="V159" s="9"/>
      <c r="W159" s="9"/>
      <c r="X159" s="9"/>
      <c r="Y159" s="9"/>
      <c r="Z159" s="9"/>
      <c r="AA159" s="9"/>
      <c r="AB159" s="9"/>
      <c r="AC159" s="9"/>
      <c r="AD159" s="9"/>
      <c r="AE159" s="9"/>
      <c r="AF159" s="9"/>
    </row>
    <row r="160" spans="1:32" ht="54.95" customHeight="1" x14ac:dyDescent="0.2">
      <c r="A160" s="56"/>
      <c r="B160" s="9"/>
      <c r="C160" s="9"/>
      <c r="D160" s="9"/>
      <c r="E160" s="9"/>
      <c r="F160" s="9"/>
      <c r="G160" s="9"/>
      <c r="H160" s="9"/>
      <c r="I160" s="58"/>
      <c r="J160" s="9"/>
      <c r="K160" s="9"/>
      <c r="L160" s="9"/>
      <c r="M160" s="9"/>
      <c r="N160" s="9"/>
      <c r="O160" s="9"/>
      <c r="P160" s="9"/>
      <c r="Q160" s="9"/>
      <c r="R160" s="9"/>
      <c r="S160" s="9"/>
      <c r="T160" s="9"/>
      <c r="U160" s="9"/>
      <c r="V160" s="9"/>
      <c r="W160" s="9"/>
      <c r="X160" s="9"/>
      <c r="Y160" s="9"/>
      <c r="Z160" s="9"/>
      <c r="AA160" s="9"/>
      <c r="AB160" s="9"/>
      <c r="AC160" s="9"/>
      <c r="AD160" s="9"/>
      <c r="AE160" s="9"/>
      <c r="AF160" s="9"/>
    </row>
    <row r="161" spans="1:32" ht="54.95" customHeight="1" x14ac:dyDescent="0.2">
      <c r="A161" s="56"/>
      <c r="B161" s="9"/>
      <c r="C161" s="9"/>
      <c r="D161" s="9"/>
      <c r="E161" s="9"/>
      <c r="F161" s="9"/>
      <c r="G161" s="9"/>
      <c r="H161" s="9"/>
      <c r="I161" s="58"/>
      <c r="J161" s="9"/>
      <c r="K161" s="9"/>
      <c r="L161" s="9"/>
      <c r="M161" s="9"/>
      <c r="N161" s="9"/>
      <c r="O161" s="9"/>
      <c r="P161" s="9"/>
      <c r="Q161" s="9"/>
      <c r="R161" s="9"/>
      <c r="S161" s="9"/>
      <c r="T161" s="9"/>
      <c r="U161" s="9"/>
      <c r="V161" s="9"/>
      <c r="W161" s="9"/>
      <c r="X161" s="9"/>
      <c r="Y161" s="9"/>
      <c r="Z161" s="9"/>
      <c r="AA161" s="9"/>
      <c r="AB161" s="9"/>
      <c r="AC161" s="9"/>
      <c r="AD161" s="9"/>
      <c r="AE161" s="9"/>
      <c r="AF161" s="9"/>
    </row>
    <row r="162" spans="1:32" ht="54.95" customHeight="1" x14ac:dyDescent="0.2">
      <c r="A162" s="56"/>
      <c r="B162" s="9"/>
      <c r="C162" s="9"/>
      <c r="D162" s="9"/>
      <c r="E162" s="9"/>
      <c r="F162" s="9"/>
      <c r="G162" s="9"/>
      <c r="H162" s="9"/>
      <c r="I162" s="58"/>
      <c r="J162" s="9"/>
      <c r="K162" s="9"/>
      <c r="L162" s="9"/>
      <c r="M162" s="9"/>
      <c r="N162" s="9"/>
      <c r="O162" s="9"/>
      <c r="P162" s="9"/>
      <c r="Q162" s="9"/>
      <c r="R162" s="9"/>
      <c r="S162" s="9"/>
      <c r="T162" s="9"/>
      <c r="U162" s="9"/>
      <c r="V162" s="9"/>
      <c r="W162" s="9"/>
      <c r="X162" s="9"/>
      <c r="Y162" s="9"/>
      <c r="Z162" s="9"/>
      <c r="AA162" s="9"/>
      <c r="AB162" s="9"/>
      <c r="AC162" s="9"/>
      <c r="AD162" s="9"/>
      <c r="AE162" s="9"/>
      <c r="AF162" s="9"/>
    </row>
    <row r="163" spans="1:32" ht="54.95" customHeight="1" x14ac:dyDescent="0.2">
      <c r="A163" s="56"/>
      <c r="B163" s="9"/>
      <c r="C163" s="9"/>
      <c r="D163" s="9"/>
      <c r="E163" s="9"/>
      <c r="F163" s="9"/>
      <c r="G163" s="9"/>
      <c r="H163" s="9"/>
      <c r="I163" s="58"/>
      <c r="J163" s="9"/>
      <c r="K163" s="9"/>
      <c r="L163" s="9"/>
      <c r="M163" s="9"/>
      <c r="N163" s="9"/>
      <c r="O163" s="9"/>
      <c r="P163" s="9"/>
      <c r="Q163" s="9"/>
      <c r="R163" s="9"/>
      <c r="S163" s="9"/>
      <c r="T163" s="9"/>
      <c r="U163" s="9"/>
      <c r="V163" s="9"/>
      <c r="W163" s="9"/>
      <c r="X163" s="9"/>
      <c r="Y163" s="9"/>
      <c r="Z163" s="9"/>
      <c r="AA163" s="9"/>
      <c r="AB163" s="9"/>
      <c r="AC163" s="9"/>
      <c r="AD163" s="9"/>
      <c r="AE163" s="9"/>
      <c r="AF163" s="9"/>
    </row>
    <row r="164" spans="1:32" ht="54.95" customHeight="1" x14ac:dyDescent="0.2">
      <c r="A164" s="56"/>
      <c r="B164" s="9"/>
      <c r="C164" s="9"/>
      <c r="D164" s="9"/>
      <c r="E164" s="9"/>
      <c r="F164" s="9"/>
      <c r="G164" s="9"/>
      <c r="H164" s="9"/>
      <c r="I164" s="58"/>
      <c r="J164" s="9"/>
      <c r="K164" s="9"/>
      <c r="L164" s="9"/>
      <c r="M164" s="9"/>
      <c r="N164" s="9"/>
      <c r="O164" s="9"/>
      <c r="P164" s="9"/>
      <c r="Q164" s="9"/>
      <c r="R164" s="9"/>
      <c r="S164" s="9"/>
      <c r="T164" s="9"/>
      <c r="U164" s="9"/>
      <c r="V164" s="9"/>
      <c r="W164" s="9"/>
      <c r="X164" s="9"/>
      <c r="Y164" s="9"/>
      <c r="Z164" s="9"/>
      <c r="AA164" s="9"/>
      <c r="AB164" s="9"/>
      <c r="AC164" s="9"/>
      <c r="AD164" s="9"/>
      <c r="AE164" s="9"/>
      <c r="AF164" s="9"/>
    </row>
    <row r="165" spans="1:32" ht="54.95" customHeight="1" x14ac:dyDescent="0.2">
      <c r="A165" s="56"/>
      <c r="B165" s="9"/>
      <c r="C165" s="9"/>
      <c r="D165" s="9"/>
      <c r="E165" s="9"/>
      <c r="F165" s="9"/>
      <c r="G165" s="9"/>
      <c r="H165" s="9"/>
      <c r="I165" s="58"/>
      <c r="J165" s="9"/>
      <c r="K165" s="9"/>
      <c r="L165" s="9"/>
      <c r="M165" s="9"/>
      <c r="N165" s="9"/>
      <c r="O165" s="9"/>
      <c r="P165" s="9"/>
      <c r="Q165" s="9"/>
      <c r="R165" s="9"/>
      <c r="S165" s="9"/>
      <c r="T165" s="9"/>
      <c r="U165" s="9"/>
      <c r="V165" s="9"/>
      <c r="W165" s="9"/>
      <c r="X165" s="9"/>
      <c r="Y165" s="9"/>
      <c r="Z165" s="9"/>
      <c r="AA165" s="9"/>
      <c r="AB165" s="9"/>
      <c r="AC165" s="9"/>
      <c r="AD165" s="9"/>
      <c r="AE165" s="9"/>
      <c r="AF165" s="9"/>
    </row>
    <row r="166" spans="1:32" ht="54.95" customHeight="1" x14ac:dyDescent="0.2">
      <c r="A166" s="56"/>
      <c r="B166" s="9"/>
      <c r="C166" s="9"/>
      <c r="D166" s="9"/>
      <c r="E166" s="9"/>
      <c r="F166" s="9"/>
      <c r="G166" s="9"/>
      <c r="H166" s="9"/>
      <c r="I166" s="58"/>
      <c r="J166" s="9"/>
      <c r="K166" s="9"/>
      <c r="L166" s="9"/>
      <c r="M166" s="9"/>
      <c r="N166" s="9"/>
      <c r="O166" s="9"/>
      <c r="P166" s="9"/>
      <c r="Q166" s="9"/>
      <c r="R166" s="9"/>
      <c r="S166" s="9"/>
      <c r="T166" s="9"/>
      <c r="U166" s="9"/>
      <c r="V166" s="9"/>
      <c r="W166" s="9"/>
      <c r="X166" s="9"/>
      <c r="Y166" s="9"/>
      <c r="Z166" s="9"/>
      <c r="AA166" s="9"/>
      <c r="AB166" s="9"/>
      <c r="AC166" s="9"/>
      <c r="AD166" s="9"/>
      <c r="AE166" s="9"/>
      <c r="AF166" s="9"/>
    </row>
    <row r="167" spans="1:32" ht="54.95" customHeight="1" x14ac:dyDescent="0.2">
      <c r="A167" s="56"/>
      <c r="B167" s="9"/>
      <c r="C167" s="9"/>
      <c r="D167" s="9"/>
      <c r="E167" s="9"/>
      <c r="F167" s="9"/>
      <c r="G167" s="9"/>
      <c r="H167" s="9"/>
      <c r="I167" s="58"/>
      <c r="J167" s="9"/>
      <c r="K167" s="9"/>
      <c r="L167" s="9"/>
      <c r="M167" s="9"/>
      <c r="N167" s="9"/>
      <c r="O167" s="9"/>
      <c r="P167" s="9"/>
      <c r="Q167" s="9"/>
      <c r="R167" s="9"/>
      <c r="S167" s="9"/>
      <c r="T167" s="9"/>
      <c r="U167" s="9"/>
      <c r="V167" s="9"/>
      <c r="W167" s="9"/>
      <c r="X167" s="9"/>
      <c r="Y167" s="9"/>
      <c r="Z167" s="9"/>
      <c r="AA167" s="9"/>
      <c r="AB167" s="9"/>
      <c r="AC167" s="9"/>
      <c r="AD167" s="9"/>
      <c r="AE167" s="9"/>
      <c r="AF167" s="9"/>
    </row>
    <row r="168" spans="1:32" ht="54.95" customHeight="1" x14ac:dyDescent="0.2">
      <c r="A168" s="56"/>
      <c r="B168" s="9"/>
      <c r="C168" s="9"/>
      <c r="D168" s="9"/>
      <c r="E168" s="9"/>
      <c r="F168" s="9"/>
      <c r="G168" s="9"/>
      <c r="H168" s="9"/>
      <c r="I168" s="58"/>
      <c r="J168" s="9"/>
      <c r="K168" s="9"/>
      <c r="L168" s="9"/>
      <c r="M168" s="9"/>
      <c r="N168" s="9"/>
      <c r="O168" s="9"/>
      <c r="P168" s="9"/>
      <c r="Q168" s="9"/>
      <c r="R168" s="9"/>
      <c r="S168" s="9"/>
      <c r="T168" s="9"/>
      <c r="U168" s="9"/>
      <c r="V168" s="9"/>
      <c r="W168" s="9"/>
      <c r="X168" s="9"/>
      <c r="Y168" s="9"/>
      <c r="Z168" s="9"/>
      <c r="AA168" s="9"/>
      <c r="AB168" s="9"/>
      <c r="AC168" s="9"/>
      <c r="AD168" s="9"/>
      <c r="AE168" s="9"/>
      <c r="AF168" s="9"/>
    </row>
    <row r="169" spans="1:32" ht="54.95" customHeight="1" x14ac:dyDescent="0.2">
      <c r="A169" s="56"/>
      <c r="B169" s="9"/>
      <c r="C169" s="9"/>
      <c r="D169" s="9"/>
      <c r="E169" s="9"/>
      <c r="F169" s="9"/>
      <c r="G169" s="9"/>
      <c r="H169" s="9"/>
      <c r="I169" s="58"/>
      <c r="J169" s="9"/>
      <c r="K169" s="9"/>
      <c r="L169" s="9"/>
      <c r="M169" s="9"/>
      <c r="N169" s="9"/>
      <c r="O169" s="9"/>
      <c r="P169" s="9"/>
      <c r="Q169" s="9"/>
      <c r="R169" s="9"/>
      <c r="S169" s="9"/>
      <c r="T169" s="9"/>
      <c r="U169" s="9"/>
      <c r="V169" s="9"/>
      <c r="W169" s="9"/>
      <c r="X169" s="9"/>
      <c r="Y169" s="9"/>
      <c r="Z169" s="9"/>
      <c r="AA169" s="9"/>
      <c r="AB169" s="9"/>
      <c r="AC169" s="9"/>
      <c r="AD169" s="9"/>
      <c r="AE169" s="9"/>
      <c r="AF169" s="9"/>
    </row>
    <row r="170" spans="1:32" ht="54.95" customHeight="1" x14ac:dyDescent="0.2">
      <c r="A170" s="56"/>
      <c r="B170" s="9"/>
      <c r="C170" s="9"/>
      <c r="D170" s="9"/>
      <c r="E170" s="9"/>
      <c r="F170" s="9"/>
      <c r="G170" s="9"/>
      <c r="H170" s="9"/>
      <c r="I170" s="58"/>
      <c r="J170" s="9"/>
      <c r="K170" s="9"/>
      <c r="L170" s="9"/>
      <c r="M170" s="9"/>
      <c r="N170" s="9"/>
      <c r="O170" s="9"/>
      <c r="P170" s="9"/>
      <c r="Q170" s="9"/>
      <c r="R170" s="9"/>
      <c r="S170" s="9"/>
      <c r="T170" s="9"/>
      <c r="U170" s="9"/>
      <c r="V170" s="9"/>
      <c r="W170" s="9"/>
      <c r="X170" s="9"/>
      <c r="Y170" s="9"/>
      <c r="Z170" s="9"/>
      <c r="AA170" s="9"/>
      <c r="AB170" s="9"/>
      <c r="AC170" s="9"/>
      <c r="AD170" s="9"/>
      <c r="AE170" s="9"/>
      <c r="AF170" s="9"/>
    </row>
    <row r="171" spans="1:32" ht="54.95" customHeight="1" x14ac:dyDescent="0.2">
      <c r="A171" s="56"/>
      <c r="B171" s="9"/>
      <c r="C171" s="9"/>
      <c r="D171" s="9"/>
      <c r="E171" s="9"/>
      <c r="F171" s="9"/>
      <c r="G171" s="9"/>
      <c r="H171" s="9"/>
      <c r="I171" s="58"/>
      <c r="J171" s="9"/>
      <c r="K171" s="9"/>
      <c r="L171" s="9"/>
      <c r="M171" s="9"/>
      <c r="N171" s="9"/>
      <c r="O171" s="9"/>
      <c r="P171" s="9"/>
      <c r="Q171" s="9"/>
      <c r="R171" s="9"/>
      <c r="S171" s="9"/>
      <c r="T171" s="9"/>
      <c r="U171" s="9"/>
      <c r="V171" s="9"/>
      <c r="W171" s="9"/>
      <c r="X171" s="9"/>
      <c r="Y171" s="9"/>
      <c r="Z171" s="9"/>
      <c r="AA171" s="9"/>
      <c r="AB171" s="9"/>
      <c r="AC171" s="9"/>
      <c r="AD171" s="9"/>
      <c r="AE171" s="9"/>
      <c r="AF171" s="9"/>
    </row>
    <row r="172" spans="1:32" ht="54.95" customHeight="1" x14ac:dyDescent="0.2">
      <c r="A172" s="56"/>
      <c r="B172" s="9"/>
      <c r="C172" s="9"/>
      <c r="D172" s="9"/>
      <c r="E172" s="9"/>
      <c r="F172" s="9"/>
      <c r="G172" s="9"/>
      <c r="H172" s="9"/>
      <c r="I172" s="58"/>
      <c r="J172" s="9"/>
      <c r="K172" s="9"/>
      <c r="L172" s="9"/>
      <c r="M172" s="9"/>
      <c r="N172" s="9"/>
      <c r="O172" s="9"/>
      <c r="P172" s="9"/>
      <c r="Q172" s="9"/>
      <c r="R172" s="9"/>
      <c r="S172" s="9"/>
      <c r="T172" s="9"/>
      <c r="U172" s="9"/>
      <c r="V172" s="9"/>
      <c r="W172" s="9"/>
      <c r="X172" s="9"/>
      <c r="Y172" s="9"/>
      <c r="Z172" s="9"/>
      <c r="AA172" s="9"/>
      <c r="AB172" s="9"/>
      <c r="AC172" s="9"/>
      <c r="AD172" s="9"/>
      <c r="AE172" s="9"/>
      <c r="AF172" s="9"/>
    </row>
    <row r="173" spans="1:32" ht="54.95" customHeight="1" x14ac:dyDescent="0.2">
      <c r="A173" s="56"/>
      <c r="B173" s="9"/>
      <c r="C173" s="9"/>
      <c r="D173" s="9"/>
      <c r="E173" s="9"/>
      <c r="F173" s="9"/>
      <c r="G173" s="9"/>
      <c r="H173" s="9"/>
      <c r="I173" s="58"/>
      <c r="J173" s="9"/>
      <c r="K173" s="9"/>
      <c r="L173" s="9"/>
      <c r="M173" s="9"/>
      <c r="N173" s="9"/>
      <c r="O173" s="9"/>
      <c r="P173" s="9"/>
      <c r="Q173" s="9"/>
      <c r="R173" s="9"/>
      <c r="S173" s="9"/>
      <c r="T173" s="9"/>
      <c r="U173" s="9"/>
      <c r="V173" s="9"/>
      <c r="W173" s="9"/>
      <c r="X173" s="9"/>
      <c r="Y173" s="9"/>
      <c r="Z173" s="9"/>
      <c r="AA173" s="9"/>
      <c r="AB173" s="9"/>
      <c r="AC173" s="9"/>
      <c r="AD173" s="9"/>
      <c r="AE173" s="9"/>
      <c r="AF173" s="9"/>
    </row>
    <row r="174" spans="1:32" ht="54.95" customHeight="1" x14ac:dyDescent="0.2">
      <c r="A174" s="56"/>
      <c r="B174" s="9"/>
      <c r="C174" s="9"/>
      <c r="D174" s="9"/>
      <c r="E174" s="9"/>
      <c r="F174" s="9"/>
      <c r="G174" s="9"/>
      <c r="H174" s="9"/>
      <c r="I174" s="58"/>
      <c r="J174" s="9"/>
      <c r="K174" s="9"/>
      <c r="L174" s="9"/>
      <c r="M174" s="9"/>
      <c r="N174" s="9"/>
      <c r="O174" s="9"/>
      <c r="P174" s="9"/>
      <c r="Q174" s="9"/>
      <c r="R174" s="9"/>
      <c r="S174" s="9"/>
      <c r="T174" s="9"/>
      <c r="U174" s="9"/>
      <c r="V174" s="9"/>
      <c r="W174" s="9"/>
      <c r="X174" s="9"/>
      <c r="Y174" s="9"/>
      <c r="Z174" s="9"/>
      <c r="AA174" s="9"/>
      <c r="AB174" s="9"/>
      <c r="AC174" s="9"/>
      <c r="AD174" s="9"/>
      <c r="AE174" s="9"/>
      <c r="AF174" s="9"/>
    </row>
    <row r="175" spans="1:32" ht="54.95" customHeight="1" x14ac:dyDescent="0.2">
      <c r="A175" s="56"/>
      <c r="B175" s="9"/>
      <c r="C175" s="9"/>
      <c r="D175" s="9"/>
      <c r="E175" s="9"/>
      <c r="F175" s="9"/>
      <c r="G175" s="9"/>
      <c r="H175" s="9"/>
      <c r="I175" s="58"/>
      <c r="J175" s="9"/>
      <c r="K175" s="9"/>
      <c r="L175" s="9"/>
      <c r="M175" s="9"/>
      <c r="N175" s="9"/>
      <c r="O175" s="9"/>
      <c r="P175" s="9"/>
      <c r="Q175" s="9"/>
      <c r="R175" s="9"/>
      <c r="S175" s="9"/>
      <c r="T175" s="9"/>
      <c r="U175" s="9"/>
      <c r="V175" s="9"/>
      <c r="W175" s="9"/>
      <c r="X175" s="9"/>
      <c r="Y175" s="9"/>
      <c r="Z175" s="9"/>
      <c r="AA175" s="9"/>
      <c r="AB175" s="9"/>
      <c r="AC175" s="9"/>
      <c r="AD175" s="9"/>
      <c r="AE175" s="9"/>
      <c r="AF175" s="9"/>
    </row>
    <row r="176" spans="1:32" ht="54.95" customHeight="1" x14ac:dyDescent="0.2">
      <c r="A176" s="56"/>
      <c r="B176" s="9"/>
      <c r="C176" s="9"/>
      <c r="D176" s="9"/>
      <c r="E176" s="9"/>
      <c r="F176" s="9"/>
      <c r="G176" s="9"/>
      <c r="H176" s="9"/>
      <c r="I176" s="58"/>
      <c r="J176" s="9"/>
      <c r="K176" s="9"/>
      <c r="L176" s="9"/>
      <c r="M176" s="9"/>
      <c r="N176" s="9"/>
      <c r="O176" s="9"/>
      <c r="P176" s="9"/>
      <c r="Q176" s="9"/>
      <c r="R176" s="9"/>
      <c r="S176" s="9"/>
      <c r="T176" s="9"/>
      <c r="U176" s="9"/>
      <c r="V176" s="9"/>
      <c r="W176" s="9"/>
      <c r="X176" s="9"/>
      <c r="Y176" s="9"/>
      <c r="Z176" s="9"/>
      <c r="AA176" s="9"/>
      <c r="AB176" s="9"/>
      <c r="AC176" s="9"/>
      <c r="AD176" s="9"/>
      <c r="AE176" s="9"/>
      <c r="AF176" s="9"/>
    </row>
    <row r="177" spans="1:32" ht="54.95" customHeight="1" x14ac:dyDescent="0.2">
      <c r="A177" s="56"/>
      <c r="B177" s="9"/>
      <c r="C177" s="9"/>
      <c r="D177" s="9"/>
      <c r="E177" s="9"/>
      <c r="F177" s="9"/>
      <c r="G177" s="9"/>
      <c r="H177" s="9"/>
      <c r="I177" s="58"/>
      <c r="J177" s="9"/>
      <c r="K177" s="9"/>
      <c r="L177" s="9"/>
      <c r="M177" s="9"/>
      <c r="N177" s="9"/>
      <c r="O177" s="9"/>
      <c r="P177" s="9"/>
      <c r="Q177" s="9"/>
      <c r="R177" s="9"/>
      <c r="S177" s="9"/>
      <c r="T177" s="9"/>
      <c r="U177" s="9"/>
      <c r="V177" s="9"/>
      <c r="W177" s="9"/>
      <c r="X177" s="9"/>
      <c r="Y177" s="9"/>
      <c r="Z177" s="9"/>
      <c r="AA177" s="9"/>
      <c r="AB177" s="9"/>
      <c r="AC177" s="9"/>
      <c r="AD177" s="9"/>
      <c r="AE177" s="9"/>
      <c r="AF177" s="9"/>
    </row>
    <row r="178" spans="1:32" ht="54.95" customHeight="1" x14ac:dyDescent="0.2">
      <c r="A178" s="56"/>
      <c r="B178" s="9"/>
      <c r="C178" s="9"/>
      <c r="D178" s="9"/>
      <c r="E178" s="9"/>
      <c r="F178" s="9"/>
      <c r="G178" s="9"/>
      <c r="H178" s="9"/>
      <c r="I178" s="58"/>
      <c r="J178" s="9"/>
      <c r="K178" s="9"/>
      <c r="L178" s="9"/>
      <c r="M178" s="9"/>
      <c r="N178" s="9"/>
      <c r="O178" s="9"/>
      <c r="P178" s="9"/>
      <c r="Q178" s="9"/>
      <c r="R178" s="9"/>
      <c r="S178" s="9"/>
      <c r="T178" s="9"/>
      <c r="U178" s="9"/>
      <c r="V178" s="9"/>
      <c r="W178" s="9"/>
      <c r="X178" s="9"/>
      <c r="Y178" s="9"/>
      <c r="Z178" s="9"/>
      <c r="AA178" s="9"/>
      <c r="AB178" s="9"/>
      <c r="AC178" s="9"/>
      <c r="AD178" s="9"/>
      <c r="AE178" s="9"/>
      <c r="AF178" s="9"/>
    </row>
    <row r="179" spans="1:32" ht="54.95" customHeight="1" x14ac:dyDescent="0.2">
      <c r="A179" s="56"/>
      <c r="B179" s="9"/>
      <c r="C179" s="9"/>
      <c r="D179" s="9"/>
      <c r="E179" s="9"/>
      <c r="F179" s="9"/>
      <c r="G179" s="9"/>
      <c r="H179" s="9"/>
      <c r="I179" s="58"/>
      <c r="J179" s="9"/>
      <c r="K179" s="9"/>
      <c r="L179" s="9"/>
      <c r="M179" s="9"/>
      <c r="N179" s="9"/>
      <c r="O179" s="9"/>
      <c r="P179" s="9"/>
      <c r="Q179" s="9"/>
      <c r="R179" s="9"/>
      <c r="S179" s="9"/>
      <c r="T179" s="9"/>
      <c r="U179" s="9"/>
      <c r="V179" s="9"/>
      <c r="W179" s="9"/>
      <c r="X179" s="9"/>
      <c r="Y179" s="9"/>
      <c r="Z179" s="9"/>
      <c r="AA179" s="9"/>
      <c r="AB179" s="9"/>
      <c r="AC179" s="9"/>
      <c r="AD179" s="9"/>
      <c r="AE179" s="9"/>
      <c r="AF179" s="9"/>
    </row>
    <row r="180" spans="1:32" ht="54.95" customHeight="1" x14ac:dyDescent="0.2">
      <c r="A180" s="56"/>
      <c r="B180" s="9"/>
      <c r="C180" s="9"/>
      <c r="D180" s="9"/>
      <c r="E180" s="9"/>
      <c r="F180" s="9"/>
      <c r="G180" s="9"/>
      <c r="H180" s="9"/>
      <c r="I180" s="58"/>
      <c r="J180" s="9"/>
      <c r="K180" s="9"/>
      <c r="L180" s="9"/>
      <c r="M180" s="9"/>
      <c r="N180" s="9"/>
      <c r="O180" s="9"/>
      <c r="P180" s="9"/>
      <c r="Q180" s="9"/>
      <c r="R180" s="9"/>
      <c r="S180" s="9"/>
      <c r="T180" s="9"/>
      <c r="U180" s="9"/>
      <c r="V180" s="9"/>
      <c r="W180" s="9"/>
      <c r="X180" s="9"/>
      <c r="Y180" s="9"/>
      <c r="Z180" s="9"/>
      <c r="AA180" s="9"/>
      <c r="AB180" s="9"/>
      <c r="AC180" s="9"/>
      <c r="AD180" s="9"/>
      <c r="AE180" s="9"/>
      <c r="AF180" s="9"/>
    </row>
    <row r="181" spans="1:32" ht="54.95" customHeight="1" x14ac:dyDescent="0.2">
      <c r="A181" s="56"/>
      <c r="B181" s="9"/>
      <c r="C181" s="9"/>
      <c r="D181" s="9"/>
      <c r="E181" s="9"/>
      <c r="F181" s="9"/>
      <c r="G181" s="9"/>
      <c r="H181" s="9"/>
      <c r="I181" s="58"/>
      <c r="J181" s="9"/>
      <c r="K181" s="9"/>
      <c r="L181" s="9"/>
      <c r="M181" s="9"/>
      <c r="N181" s="9"/>
      <c r="O181" s="9"/>
      <c r="P181" s="9"/>
      <c r="Q181" s="9"/>
      <c r="R181" s="9"/>
      <c r="S181" s="9"/>
      <c r="T181" s="9"/>
      <c r="U181" s="9"/>
      <c r="V181" s="9"/>
      <c r="W181" s="9"/>
      <c r="X181" s="9"/>
      <c r="Y181" s="9"/>
      <c r="Z181" s="9"/>
      <c r="AA181" s="9"/>
      <c r="AB181" s="9"/>
      <c r="AC181" s="9"/>
      <c r="AD181" s="9"/>
      <c r="AE181" s="9"/>
      <c r="AF181" s="9"/>
    </row>
    <row r="182" spans="1:32" ht="54.95" customHeight="1" x14ac:dyDescent="0.2">
      <c r="A182" s="56"/>
      <c r="B182" s="9"/>
      <c r="C182" s="9"/>
      <c r="D182" s="9"/>
      <c r="E182" s="9"/>
      <c r="F182" s="9"/>
      <c r="G182" s="9"/>
      <c r="H182" s="9"/>
      <c r="I182" s="58"/>
      <c r="J182" s="9"/>
      <c r="K182" s="9"/>
      <c r="L182" s="9"/>
      <c r="M182" s="9"/>
      <c r="N182" s="9"/>
      <c r="O182" s="9"/>
      <c r="P182" s="9"/>
      <c r="Q182" s="9"/>
      <c r="R182" s="9"/>
      <c r="S182" s="9"/>
      <c r="T182" s="9"/>
      <c r="U182" s="9"/>
      <c r="V182" s="9"/>
      <c r="W182" s="9"/>
      <c r="X182" s="9"/>
      <c r="Y182" s="9"/>
      <c r="Z182" s="9"/>
      <c r="AA182" s="9"/>
      <c r="AB182" s="9"/>
      <c r="AC182" s="9"/>
      <c r="AD182" s="9"/>
      <c r="AE182" s="9"/>
      <c r="AF182" s="9"/>
    </row>
    <row r="183" spans="1:32" ht="54.95" customHeight="1" x14ac:dyDescent="0.2">
      <c r="A183" s="56"/>
      <c r="B183" s="9"/>
      <c r="C183" s="9"/>
      <c r="D183" s="9"/>
      <c r="E183" s="9"/>
      <c r="F183" s="9"/>
      <c r="G183" s="9"/>
      <c r="H183" s="9"/>
      <c r="I183" s="58"/>
      <c r="J183" s="9"/>
      <c r="K183" s="9"/>
      <c r="L183" s="9"/>
      <c r="M183" s="9"/>
      <c r="N183" s="9"/>
      <c r="O183" s="9"/>
      <c r="P183" s="9"/>
      <c r="Q183" s="9"/>
      <c r="R183" s="9"/>
      <c r="S183" s="9"/>
      <c r="T183" s="9"/>
      <c r="U183" s="9"/>
      <c r="V183" s="9"/>
      <c r="W183" s="9"/>
      <c r="X183" s="9"/>
      <c r="Y183" s="9"/>
      <c r="Z183" s="9"/>
      <c r="AA183" s="9"/>
      <c r="AB183" s="9"/>
      <c r="AC183" s="9"/>
      <c r="AD183" s="9"/>
      <c r="AE183" s="9"/>
      <c r="AF183" s="9"/>
    </row>
    <row r="184" spans="1:32" ht="54.95" customHeight="1" x14ac:dyDescent="0.2">
      <c r="A184" s="56"/>
      <c r="B184" s="9"/>
      <c r="C184" s="9"/>
      <c r="D184" s="9"/>
      <c r="E184" s="9"/>
      <c r="F184" s="9"/>
      <c r="G184" s="9"/>
      <c r="H184" s="9"/>
      <c r="I184" s="58"/>
      <c r="J184" s="9"/>
      <c r="K184" s="9"/>
      <c r="L184" s="9"/>
      <c r="M184" s="9"/>
      <c r="N184" s="9"/>
      <c r="O184" s="9"/>
      <c r="P184" s="9"/>
      <c r="Q184" s="9"/>
      <c r="R184" s="9"/>
      <c r="S184" s="9"/>
      <c r="T184" s="9"/>
      <c r="U184" s="9"/>
      <c r="V184" s="9"/>
      <c r="W184" s="9"/>
      <c r="X184" s="9"/>
      <c r="Y184" s="9"/>
      <c r="Z184" s="9"/>
      <c r="AA184" s="9"/>
      <c r="AB184" s="9"/>
      <c r="AC184" s="9"/>
      <c r="AD184" s="9"/>
      <c r="AE184" s="9"/>
      <c r="AF184" s="9"/>
    </row>
    <row r="185" spans="1:32" ht="54.95" customHeight="1" x14ac:dyDescent="0.2">
      <c r="A185" s="56"/>
      <c r="B185" s="9"/>
      <c r="C185" s="9"/>
      <c r="D185" s="9"/>
      <c r="E185" s="9"/>
      <c r="F185" s="9"/>
      <c r="G185" s="9"/>
      <c r="H185" s="9"/>
      <c r="I185" s="58"/>
      <c r="J185" s="9"/>
      <c r="K185" s="9"/>
      <c r="L185" s="9"/>
      <c r="M185" s="9"/>
      <c r="N185" s="9"/>
      <c r="O185" s="9"/>
      <c r="P185" s="9"/>
      <c r="Q185" s="9"/>
      <c r="R185" s="9"/>
      <c r="S185" s="9"/>
      <c r="T185" s="9"/>
      <c r="U185" s="9"/>
      <c r="V185" s="9"/>
      <c r="W185" s="9"/>
      <c r="X185" s="9"/>
      <c r="Y185" s="9"/>
      <c r="Z185" s="9"/>
      <c r="AA185" s="9"/>
      <c r="AB185" s="9"/>
      <c r="AC185" s="9"/>
      <c r="AD185" s="9"/>
      <c r="AE185" s="9"/>
      <c r="AF185" s="9"/>
    </row>
    <row r="186" spans="1:32" ht="54.95" customHeight="1" x14ac:dyDescent="0.2">
      <c r="A186" s="56"/>
      <c r="B186" s="9"/>
      <c r="C186" s="9"/>
      <c r="D186" s="9"/>
      <c r="E186" s="9"/>
      <c r="F186" s="9"/>
      <c r="G186" s="9"/>
      <c r="H186" s="9"/>
      <c r="I186" s="58"/>
      <c r="J186" s="9"/>
      <c r="K186" s="9"/>
      <c r="L186" s="9"/>
      <c r="M186" s="9"/>
      <c r="N186" s="9"/>
      <c r="O186" s="9"/>
      <c r="P186" s="9"/>
      <c r="Q186" s="9"/>
      <c r="R186" s="9"/>
      <c r="S186" s="9"/>
      <c r="T186" s="9"/>
      <c r="U186" s="9"/>
      <c r="V186" s="9"/>
      <c r="W186" s="9"/>
      <c r="X186" s="9"/>
      <c r="Y186" s="9"/>
      <c r="Z186" s="9"/>
      <c r="AA186" s="9"/>
      <c r="AB186" s="9"/>
      <c r="AC186" s="9"/>
      <c r="AD186" s="9"/>
      <c r="AE186" s="9"/>
      <c r="AF186" s="9"/>
    </row>
    <row r="187" spans="1:32" ht="54.95" customHeight="1" x14ac:dyDescent="0.2">
      <c r="A187" s="56"/>
      <c r="B187" s="9"/>
      <c r="C187" s="9"/>
      <c r="D187" s="9"/>
      <c r="E187" s="9"/>
      <c r="F187" s="9"/>
      <c r="G187" s="9"/>
      <c r="H187" s="9"/>
      <c r="I187" s="58"/>
      <c r="J187" s="9"/>
      <c r="K187" s="9"/>
      <c r="L187" s="9"/>
      <c r="M187" s="9"/>
      <c r="N187" s="9"/>
      <c r="O187" s="9"/>
      <c r="P187" s="9"/>
      <c r="Q187" s="9"/>
      <c r="R187" s="9"/>
      <c r="S187" s="9"/>
      <c r="T187" s="9"/>
      <c r="U187" s="9"/>
      <c r="V187" s="9"/>
      <c r="W187" s="9"/>
      <c r="X187" s="9"/>
      <c r="Y187" s="9"/>
      <c r="Z187" s="9"/>
      <c r="AA187" s="9"/>
      <c r="AB187" s="9"/>
      <c r="AC187" s="9"/>
      <c r="AD187" s="9"/>
      <c r="AE187" s="9"/>
      <c r="AF187" s="9"/>
    </row>
    <row r="188" spans="1:32" ht="54.95" customHeight="1" x14ac:dyDescent="0.2">
      <c r="A188" s="56"/>
      <c r="B188" s="9"/>
      <c r="C188" s="9"/>
      <c r="D188" s="9"/>
      <c r="E188" s="9"/>
      <c r="F188" s="9"/>
      <c r="G188" s="9"/>
      <c r="H188" s="9"/>
      <c r="I188" s="58"/>
      <c r="J188" s="9"/>
      <c r="K188" s="9"/>
      <c r="L188" s="9"/>
      <c r="M188" s="9"/>
      <c r="N188" s="9"/>
      <c r="O188" s="9"/>
      <c r="P188" s="9"/>
      <c r="Q188" s="9"/>
      <c r="R188" s="9"/>
      <c r="S188" s="9"/>
      <c r="T188" s="9"/>
      <c r="U188" s="9"/>
      <c r="V188" s="9"/>
      <c r="W188" s="9"/>
      <c r="X188" s="9"/>
      <c r="Y188" s="9"/>
      <c r="Z188" s="9"/>
      <c r="AA188" s="9"/>
      <c r="AB188" s="9"/>
      <c r="AC188" s="9"/>
      <c r="AD188" s="9"/>
      <c r="AE188" s="9"/>
      <c r="AF188" s="9"/>
    </row>
    <row r="189" spans="1:32" ht="54.95" customHeight="1" x14ac:dyDescent="0.2">
      <c r="A189" s="56"/>
      <c r="B189" s="9"/>
      <c r="C189" s="9"/>
      <c r="D189" s="9"/>
      <c r="E189" s="9"/>
      <c r="F189" s="9"/>
      <c r="G189" s="9"/>
      <c r="H189" s="9"/>
      <c r="I189" s="58"/>
      <c r="J189" s="9"/>
      <c r="K189" s="9"/>
      <c r="L189" s="9"/>
      <c r="M189" s="9"/>
      <c r="N189" s="9"/>
      <c r="O189" s="9"/>
      <c r="P189" s="9"/>
      <c r="Q189" s="9"/>
      <c r="R189" s="9"/>
      <c r="S189" s="9"/>
      <c r="T189" s="9"/>
      <c r="U189" s="9"/>
      <c r="V189" s="9"/>
      <c r="W189" s="9"/>
      <c r="X189" s="9"/>
      <c r="Y189" s="9"/>
      <c r="Z189" s="9"/>
      <c r="AA189" s="9"/>
      <c r="AB189" s="9"/>
      <c r="AC189" s="9"/>
      <c r="AD189" s="9"/>
      <c r="AE189" s="9"/>
      <c r="AF189" s="9"/>
    </row>
    <row r="190" spans="1:32" ht="54.95" customHeight="1" x14ac:dyDescent="0.2">
      <c r="A190" s="56"/>
      <c r="B190" s="9"/>
      <c r="C190" s="9"/>
      <c r="D190" s="9"/>
      <c r="E190" s="9"/>
      <c r="F190" s="9"/>
      <c r="G190" s="9"/>
      <c r="H190" s="9"/>
      <c r="I190" s="58"/>
      <c r="J190" s="9"/>
      <c r="K190" s="9"/>
      <c r="L190" s="9"/>
      <c r="M190" s="9"/>
      <c r="N190" s="9"/>
      <c r="O190" s="9"/>
      <c r="P190" s="9"/>
      <c r="Q190" s="9"/>
      <c r="R190" s="9"/>
      <c r="S190" s="9"/>
      <c r="T190" s="9"/>
      <c r="U190" s="9"/>
      <c r="V190" s="9"/>
      <c r="W190" s="9"/>
      <c r="X190" s="9"/>
      <c r="Y190" s="9"/>
      <c r="Z190" s="9"/>
      <c r="AA190" s="9"/>
      <c r="AB190" s="9"/>
      <c r="AC190" s="9"/>
      <c r="AD190" s="9"/>
      <c r="AE190" s="9"/>
      <c r="AF190" s="9"/>
    </row>
    <row r="191" spans="1:32" ht="54.95" customHeight="1" x14ac:dyDescent="0.2">
      <c r="A191" s="56"/>
      <c r="B191" s="9"/>
      <c r="C191" s="9"/>
      <c r="D191" s="9"/>
      <c r="E191" s="9"/>
      <c r="F191" s="9"/>
      <c r="G191" s="9"/>
      <c r="H191" s="9"/>
      <c r="I191" s="58"/>
      <c r="J191" s="9"/>
      <c r="K191" s="9"/>
      <c r="L191" s="9"/>
      <c r="M191" s="9"/>
      <c r="N191" s="9"/>
      <c r="O191" s="9"/>
      <c r="P191" s="9"/>
      <c r="Q191" s="9"/>
      <c r="R191" s="9"/>
      <c r="S191" s="9"/>
      <c r="T191" s="9"/>
      <c r="U191" s="9"/>
      <c r="V191" s="9"/>
      <c r="W191" s="9"/>
      <c r="X191" s="9"/>
      <c r="Y191" s="9"/>
      <c r="Z191" s="9"/>
      <c r="AA191" s="9"/>
      <c r="AB191" s="9"/>
      <c r="AC191" s="9"/>
      <c r="AD191" s="9"/>
      <c r="AE191" s="9"/>
      <c r="AF191" s="9"/>
    </row>
    <row r="192" spans="1:32" ht="54.95" customHeight="1" x14ac:dyDescent="0.2">
      <c r="A192" s="56"/>
      <c r="B192" s="9"/>
      <c r="C192" s="9"/>
      <c r="D192" s="9"/>
      <c r="E192" s="9"/>
      <c r="F192" s="9"/>
      <c r="G192" s="9"/>
      <c r="H192" s="9"/>
      <c r="I192" s="58"/>
      <c r="J192" s="9"/>
      <c r="K192" s="9"/>
      <c r="L192" s="9"/>
      <c r="M192" s="9"/>
      <c r="N192" s="9"/>
      <c r="O192" s="9"/>
      <c r="P192" s="9"/>
      <c r="Q192" s="9"/>
      <c r="R192" s="9"/>
      <c r="S192" s="9"/>
      <c r="T192" s="9"/>
      <c r="U192" s="9"/>
      <c r="V192" s="9"/>
      <c r="W192" s="9"/>
      <c r="X192" s="9"/>
      <c r="Y192" s="9"/>
      <c r="Z192" s="9"/>
      <c r="AA192" s="9"/>
      <c r="AB192" s="9"/>
      <c r="AC192" s="9"/>
      <c r="AD192" s="9"/>
      <c r="AE192" s="9"/>
      <c r="AF192" s="9"/>
    </row>
    <row r="193" spans="1:32" ht="54.95" customHeight="1" x14ac:dyDescent="0.2">
      <c r="A193" s="56"/>
      <c r="B193" s="9"/>
      <c r="C193" s="9"/>
      <c r="D193" s="9"/>
      <c r="E193" s="9"/>
      <c r="F193" s="9"/>
      <c r="G193" s="9"/>
      <c r="H193" s="9"/>
      <c r="I193" s="58"/>
      <c r="J193" s="9"/>
      <c r="K193" s="9"/>
      <c r="L193" s="9"/>
      <c r="M193" s="9"/>
      <c r="N193" s="9"/>
      <c r="O193" s="9"/>
      <c r="P193" s="9"/>
      <c r="Q193" s="9"/>
      <c r="R193" s="9"/>
      <c r="S193" s="9"/>
      <c r="T193" s="9"/>
      <c r="U193" s="9"/>
      <c r="V193" s="9"/>
      <c r="W193" s="9"/>
      <c r="X193" s="9"/>
      <c r="Y193" s="9"/>
      <c r="Z193" s="9"/>
      <c r="AA193" s="9"/>
      <c r="AB193" s="9"/>
      <c r="AC193" s="9"/>
      <c r="AD193" s="9"/>
      <c r="AE193" s="9"/>
      <c r="AF193" s="9"/>
    </row>
    <row r="194" spans="1:32" ht="54.95" customHeight="1" x14ac:dyDescent="0.2">
      <c r="A194" s="56"/>
      <c r="B194" s="9"/>
      <c r="C194" s="9"/>
      <c r="D194" s="9"/>
      <c r="E194" s="9"/>
      <c r="F194" s="9"/>
      <c r="G194" s="9"/>
      <c r="H194" s="9"/>
      <c r="I194" s="58"/>
      <c r="J194" s="9"/>
      <c r="K194" s="9"/>
      <c r="L194" s="9"/>
      <c r="M194" s="9"/>
      <c r="N194" s="9"/>
      <c r="O194" s="9"/>
      <c r="P194" s="9"/>
      <c r="Q194" s="9"/>
      <c r="R194" s="9"/>
      <c r="S194" s="9"/>
      <c r="T194" s="9"/>
      <c r="U194" s="9"/>
      <c r="V194" s="9"/>
      <c r="W194" s="9"/>
      <c r="X194" s="9"/>
      <c r="Y194" s="9"/>
      <c r="Z194" s="9"/>
      <c r="AA194" s="9"/>
      <c r="AB194" s="9"/>
      <c r="AC194" s="9"/>
      <c r="AD194" s="9"/>
      <c r="AE194" s="9"/>
      <c r="AF194" s="9"/>
    </row>
    <row r="195" spans="1:32" ht="54.95" customHeight="1" x14ac:dyDescent="0.2">
      <c r="A195" s="56"/>
      <c r="B195" s="9"/>
      <c r="C195" s="9"/>
      <c r="D195" s="9"/>
      <c r="E195" s="9"/>
      <c r="F195" s="9"/>
      <c r="G195" s="9"/>
      <c r="H195" s="9"/>
      <c r="I195" s="58"/>
      <c r="J195" s="9"/>
      <c r="K195" s="9"/>
      <c r="L195" s="9"/>
      <c r="M195" s="9"/>
      <c r="N195" s="9"/>
      <c r="O195" s="9"/>
      <c r="P195" s="9"/>
      <c r="Q195" s="9"/>
      <c r="R195" s="9"/>
      <c r="S195" s="9"/>
      <c r="T195" s="9"/>
      <c r="U195" s="9"/>
      <c r="V195" s="9"/>
      <c r="W195" s="9"/>
      <c r="X195" s="9"/>
      <c r="Y195" s="9"/>
      <c r="Z195" s="9"/>
      <c r="AA195" s="9"/>
      <c r="AB195" s="9"/>
      <c r="AC195" s="9"/>
      <c r="AD195" s="9"/>
      <c r="AE195" s="9"/>
      <c r="AF195" s="9"/>
    </row>
    <row r="196" spans="1:32" ht="54.95" customHeight="1" x14ac:dyDescent="0.2">
      <c r="A196" s="56"/>
      <c r="B196" s="9"/>
      <c r="C196" s="9"/>
      <c r="D196" s="9"/>
      <c r="E196" s="9"/>
      <c r="F196" s="9"/>
      <c r="G196" s="9"/>
      <c r="H196" s="9"/>
      <c r="I196" s="58"/>
      <c r="J196" s="9"/>
      <c r="K196" s="9"/>
      <c r="L196" s="9"/>
      <c r="M196" s="9"/>
      <c r="N196" s="9"/>
      <c r="O196" s="9"/>
      <c r="P196" s="9"/>
      <c r="Q196" s="9"/>
      <c r="R196" s="9"/>
      <c r="S196" s="9"/>
      <c r="T196" s="9"/>
      <c r="U196" s="9"/>
      <c r="V196" s="9"/>
      <c r="W196" s="9"/>
      <c r="X196" s="9"/>
      <c r="Y196" s="9"/>
      <c r="Z196" s="9"/>
      <c r="AA196" s="9"/>
      <c r="AB196" s="9"/>
      <c r="AC196" s="9"/>
      <c r="AD196" s="9"/>
      <c r="AE196" s="9"/>
      <c r="AF196" s="9"/>
    </row>
    <row r="197" spans="1:32" ht="54.95" customHeight="1" x14ac:dyDescent="0.2">
      <c r="A197" s="56"/>
      <c r="B197" s="9"/>
      <c r="C197" s="9"/>
      <c r="D197" s="9"/>
      <c r="E197" s="9"/>
      <c r="F197" s="9"/>
      <c r="G197" s="9"/>
      <c r="H197" s="9"/>
      <c r="I197" s="58"/>
      <c r="J197" s="9"/>
      <c r="K197" s="9"/>
      <c r="L197" s="9"/>
      <c r="M197" s="9"/>
      <c r="N197" s="9"/>
      <c r="O197" s="9"/>
      <c r="P197" s="9"/>
      <c r="Q197" s="9"/>
      <c r="R197" s="9"/>
      <c r="S197" s="9"/>
      <c r="T197" s="9"/>
      <c r="U197" s="9"/>
      <c r="V197" s="9"/>
      <c r="W197" s="9"/>
      <c r="X197" s="9"/>
      <c r="Y197" s="9"/>
      <c r="Z197" s="9"/>
      <c r="AA197" s="9"/>
      <c r="AB197" s="9"/>
      <c r="AC197" s="9"/>
      <c r="AD197" s="9"/>
      <c r="AE197" s="9"/>
      <c r="AF197" s="9"/>
    </row>
    <row r="198" spans="1:32" ht="54.95" customHeight="1" x14ac:dyDescent="0.2">
      <c r="A198" s="56"/>
      <c r="B198" s="9"/>
      <c r="C198" s="9"/>
      <c r="D198" s="9"/>
      <c r="E198" s="9"/>
      <c r="F198" s="9"/>
      <c r="G198" s="9"/>
      <c r="H198" s="9"/>
      <c r="I198" s="58"/>
      <c r="J198" s="9"/>
      <c r="K198" s="9"/>
      <c r="L198" s="9"/>
      <c r="M198" s="9"/>
      <c r="N198" s="9"/>
      <c r="O198" s="9"/>
      <c r="P198" s="9"/>
      <c r="Q198" s="9"/>
      <c r="R198" s="9"/>
      <c r="S198" s="9"/>
      <c r="T198" s="9"/>
      <c r="U198" s="9"/>
      <c r="V198" s="9"/>
      <c r="W198" s="9"/>
      <c r="X198" s="9"/>
      <c r="Y198" s="9"/>
      <c r="Z198" s="9"/>
      <c r="AA198" s="9"/>
      <c r="AB198" s="9"/>
      <c r="AC198" s="9"/>
      <c r="AD198" s="9"/>
      <c r="AE198" s="9"/>
      <c r="AF198" s="9"/>
    </row>
    <row r="199" spans="1:32" ht="54.95" customHeight="1" x14ac:dyDescent="0.2">
      <c r="A199" s="56"/>
      <c r="B199" s="9"/>
      <c r="C199" s="9"/>
      <c r="D199" s="9"/>
      <c r="E199" s="9"/>
      <c r="F199" s="9"/>
      <c r="G199" s="9"/>
      <c r="H199" s="9"/>
      <c r="I199" s="58"/>
      <c r="J199" s="9"/>
      <c r="K199" s="9"/>
      <c r="L199" s="9"/>
      <c r="M199" s="9"/>
      <c r="N199" s="9"/>
      <c r="O199" s="9"/>
      <c r="P199" s="9"/>
      <c r="Q199" s="9"/>
      <c r="R199" s="9"/>
      <c r="S199" s="9"/>
      <c r="T199" s="9"/>
      <c r="U199" s="9"/>
      <c r="V199" s="9"/>
      <c r="W199" s="9"/>
      <c r="X199" s="9"/>
      <c r="Y199" s="9"/>
      <c r="Z199" s="9"/>
      <c r="AA199" s="9"/>
      <c r="AB199" s="9"/>
      <c r="AC199" s="9"/>
      <c r="AD199" s="9"/>
      <c r="AE199" s="9"/>
      <c r="AF199" s="9"/>
    </row>
    <row r="200" spans="1:32" ht="54.95" customHeight="1" x14ac:dyDescent="0.2">
      <c r="A200" s="56"/>
      <c r="B200" s="9"/>
      <c r="C200" s="9"/>
      <c r="D200" s="9"/>
      <c r="E200" s="9"/>
      <c r="F200" s="9"/>
      <c r="G200" s="9"/>
      <c r="H200" s="9"/>
      <c r="I200" s="58"/>
      <c r="J200" s="9"/>
      <c r="K200" s="9"/>
      <c r="L200" s="9"/>
      <c r="M200" s="9"/>
      <c r="N200" s="9"/>
      <c r="O200" s="9"/>
      <c r="P200" s="9"/>
      <c r="Q200" s="9"/>
      <c r="R200" s="9"/>
      <c r="S200" s="9"/>
      <c r="T200" s="9"/>
      <c r="U200" s="9"/>
      <c r="V200" s="9"/>
      <c r="W200" s="9"/>
      <c r="X200" s="9"/>
      <c r="Y200" s="9"/>
      <c r="Z200" s="9"/>
      <c r="AA200" s="9"/>
      <c r="AB200" s="9"/>
      <c r="AC200" s="9"/>
      <c r="AD200" s="9"/>
      <c r="AE200" s="9"/>
      <c r="AF200" s="9"/>
    </row>
    <row r="201" spans="1:32" ht="54.95" customHeight="1" x14ac:dyDescent="0.2">
      <c r="A201" s="56"/>
      <c r="B201" s="9"/>
      <c r="C201" s="9"/>
      <c r="D201" s="9"/>
      <c r="E201" s="9"/>
      <c r="F201" s="9"/>
      <c r="G201" s="9"/>
      <c r="H201" s="9"/>
      <c r="I201" s="58"/>
      <c r="J201" s="9"/>
      <c r="K201" s="9"/>
      <c r="L201" s="9"/>
      <c r="M201" s="9"/>
      <c r="N201" s="9"/>
      <c r="O201" s="9"/>
      <c r="P201" s="9"/>
      <c r="Q201" s="9"/>
      <c r="R201" s="9"/>
      <c r="S201" s="9"/>
      <c r="T201" s="9"/>
      <c r="U201" s="9"/>
      <c r="V201" s="9"/>
      <c r="W201" s="9"/>
      <c r="X201" s="9"/>
      <c r="Y201" s="9"/>
      <c r="Z201" s="9"/>
      <c r="AA201" s="9"/>
      <c r="AB201" s="9"/>
      <c r="AC201" s="9"/>
      <c r="AD201" s="9"/>
      <c r="AE201" s="9"/>
      <c r="AF201" s="9"/>
    </row>
    <row r="202" spans="1:32" ht="54.95" customHeight="1" x14ac:dyDescent="0.2">
      <c r="A202" s="56"/>
      <c r="B202" s="9"/>
      <c r="C202" s="9"/>
      <c r="D202" s="9"/>
      <c r="E202" s="9"/>
      <c r="F202" s="9"/>
      <c r="G202" s="9"/>
      <c r="H202" s="9"/>
      <c r="I202" s="58"/>
      <c r="J202" s="9"/>
      <c r="K202" s="9"/>
      <c r="L202" s="9"/>
      <c r="M202" s="9"/>
      <c r="N202" s="9"/>
      <c r="O202" s="9"/>
      <c r="P202" s="9"/>
      <c r="Q202" s="9"/>
      <c r="R202" s="9"/>
      <c r="S202" s="9"/>
      <c r="T202" s="9"/>
      <c r="U202" s="9"/>
      <c r="V202" s="9"/>
      <c r="W202" s="9"/>
      <c r="X202" s="9"/>
      <c r="Y202" s="9"/>
      <c r="Z202" s="9"/>
      <c r="AA202" s="9"/>
      <c r="AB202" s="9"/>
      <c r="AC202" s="9"/>
      <c r="AD202" s="9"/>
      <c r="AE202" s="9"/>
      <c r="AF202" s="9"/>
    </row>
    <row r="203" spans="1:32" ht="54.95" customHeight="1" x14ac:dyDescent="0.2">
      <c r="A203" s="56"/>
      <c r="B203" s="9"/>
      <c r="C203" s="9"/>
      <c r="D203" s="9"/>
      <c r="E203" s="9"/>
      <c r="F203" s="9"/>
      <c r="G203" s="9"/>
      <c r="H203" s="9"/>
      <c r="I203" s="58"/>
      <c r="J203" s="9"/>
      <c r="K203" s="9"/>
      <c r="L203" s="9"/>
      <c r="M203" s="9"/>
      <c r="N203" s="9"/>
      <c r="O203" s="9"/>
      <c r="P203" s="9"/>
      <c r="Q203" s="9"/>
      <c r="R203" s="9"/>
      <c r="S203" s="9"/>
      <c r="T203" s="9"/>
      <c r="U203" s="9"/>
      <c r="V203" s="9"/>
      <c r="W203" s="9"/>
      <c r="X203" s="9"/>
      <c r="Y203" s="9"/>
      <c r="Z203" s="9"/>
      <c r="AA203" s="9"/>
      <c r="AB203" s="9"/>
      <c r="AC203" s="9"/>
      <c r="AD203" s="9"/>
      <c r="AE203" s="9"/>
      <c r="AF203" s="9"/>
    </row>
    <row r="204" spans="1:32" ht="54.95" customHeight="1" x14ac:dyDescent="0.2">
      <c r="A204" s="56"/>
      <c r="B204" s="9"/>
      <c r="C204" s="9"/>
      <c r="D204" s="9"/>
      <c r="E204" s="9"/>
      <c r="F204" s="9"/>
      <c r="G204" s="9"/>
      <c r="H204" s="9"/>
      <c r="I204" s="58"/>
      <c r="J204" s="9"/>
      <c r="K204" s="9"/>
      <c r="L204" s="9"/>
      <c r="M204" s="9"/>
      <c r="N204" s="9"/>
      <c r="O204" s="9"/>
      <c r="P204" s="9"/>
      <c r="Q204" s="9"/>
      <c r="R204" s="9"/>
      <c r="S204" s="9"/>
      <c r="T204" s="9"/>
      <c r="U204" s="9"/>
      <c r="V204" s="9"/>
      <c r="W204" s="9"/>
      <c r="X204" s="9"/>
      <c r="Y204" s="9"/>
      <c r="Z204" s="9"/>
      <c r="AA204" s="9"/>
      <c r="AB204" s="9"/>
      <c r="AC204" s="9"/>
      <c r="AD204" s="9"/>
      <c r="AE204" s="9"/>
      <c r="AF204" s="9"/>
    </row>
    <row r="205" spans="1:32" ht="54.95" customHeight="1" x14ac:dyDescent="0.2">
      <c r="A205" s="56"/>
      <c r="B205" s="9"/>
      <c r="C205" s="9"/>
      <c r="D205" s="9"/>
      <c r="E205" s="9"/>
      <c r="F205" s="9"/>
      <c r="G205" s="9"/>
      <c r="H205" s="9"/>
      <c r="I205" s="58"/>
      <c r="J205" s="9"/>
      <c r="K205" s="9"/>
      <c r="L205" s="9"/>
      <c r="M205" s="9"/>
      <c r="N205" s="9"/>
      <c r="O205" s="9"/>
      <c r="P205" s="9"/>
      <c r="Q205" s="9"/>
      <c r="R205" s="9"/>
      <c r="S205" s="9"/>
      <c r="T205" s="9"/>
      <c r="U205" s="9"/>
      <c r="V205" s="9"/>
      <c r="W205" s="9"/>
      <c r="X205" s="9"/>
      <c r="Y205" s="9"/>
      <c r="Z205" s="9"/>
      <c r="AA205" s="9"/>
      <c r="AB205" s="9"/>
      <c r="AC205" s="9"/>
      <c r="AD205" s="9"/>
      <c r="AE205" s="9"/>
      <c r="AF205" s="9"/>
    </row>
    <row r="206" spans="1:32" ht="54.95" customHeight="1" x14ac:dyDescent="0.2">
      <c r="A206" s="56"/>
      <c r="B206" s="9"/>
      <c r="C206" s="9"/>
      <c r="D206" s="9"/>
      <c r="E206" s="9"/>
      <c r="F206" s="9"/>
      <c r="G206" s="9"/>
      <c r="H206" s="9"/>
      <c r="I206" s="58"/>
      <c r="J206" s="9"/>
      <c r="K206" s="9"/>
      <c r="L206" s="9"/>
      <c r="M206" s="9"/>
      <c r="N206" s="9"/>
      <c r="O206" s="9"/>
      <c r="P206" s="9"/>
      <c r="Q206" s="9"/>
      <c r="R206" s="9"/>
      <c r="S206" s="9"/>
      <c r="T206" s="9"/>
      <c r="U206" s="9"/>
      <c r="V206" s="9"/>
      <c r="W206" s="9"/>
      <c r="X206" s="9"/>
      <c r="Y206" s="9"/>
      <c r="Z206" s="9"/>
      <c r="AA206" s="9"/>
      <c r="AB206" s="9"/>
      <c r="AC206" s="9"/>
      <c r="AD206" s="9"/>
      <c r="AE206" s="9"/>
      <c r="AF206" s="9"/>
    </row>
    <row r="207" spans="1:32" ht="54.95" customHeight="1" x14ac:dyDescent="0.2">
      <c r="A207" s="56"/>
      <c r="B207" s="9"/>
      <c r="C207" s="9"/>
      <c r="D207" s="9"/>
      <c r="E207" s="9"/>
      <c r="F207" s="9"/>
      <c r="G207" s="9"/>
      <c r="H207" s="9"/>
      <c r="I207" s="58"/>
      <c r="J207" s="9"/>
      <c r="K207" s="9"/>
      <c r="L207" s="9"/>
      <c r="M207" s="9"/>
      <c r="N207" s="9"/>
      <c r="O207" s="9"/>
      <c r="P207" s="9"/>
      <c r="Q207" s="9"/>
      <c r="R207" s="9"/>
      <c r="S207" s="9"/>
      <c r="T207" s="9"/>
      <c r="U207" s="9"/>
      <c r="V207" s="9"/>
      <c r="W207" s="9"/>
      <c r="X207" s="9"/>
      <c r="Y207" s="9"/>
      <c r="Z207" s="9"/>
      <c r="AA207" s="9"/>
      <c r="AB207" s="9"/>
      <c r="AC207" s="9"/>
      <c r="AD207" s="9"/>
      <c r="AE207" s="9"/>
      <c r="AF207" s="9"/>
    </row>
    <row r="208" spans="1:32" ht="54.95" customHeight="1" x14ac:dyDescent="0.2">
      <c r="A208" s="56"/>
      <c r="B208" s="9"/>
      <c r="C208" s="9"/>
      <c r="D208" s="9"/>
      <c r="E208" s="9"/>
      <c r="F208" s="9"/>
      <c r="G208" s="9"/>
      <c r="H208" s="9"/>
      <c r="I208" s="58"/>
      <c r="J208" s="9"/>
      <c r="K208" s="9"/>
      <c r="L208" s="9"/>
      <c r="M208" s="9"/>
      <c r="N208" s="9"/>
      <c r="O208" s="9"/>
      <c r="P208" s="9"/>
      <c r="Q208" s="9"/>
      <c r="R208" s="9"/>
      <c r="S208" s="9"/>
      <c r="T208" s="9"/>
      <c r="U208" s="9"/>
      <c r="V208" s="9"/>
      <c r="W208" s="9"/>
      <c r="X208" s="9"/>
      <c r="Y208" s="9"/>
      <c r="Z208" s="9"/>
      <c r="AA208" s="9"/>
      <c r="AB208" s="9"/>
      <c r="AC208" s="9"/>
      <c r="AD208" s="9"/>
      <c r="AE208" s="9"/>
      <c r="AF208" s="9"/>
    </row>
    <row r="209" spans="1:32" ht="54.95" customHeight="1" x14ac:dyDescent="0.2">
      <c r="A209" s="56"/>
      <c r="B209" s="9"/>
      <c r="C209" s="9"/>
      <c r="D209" s="9"/>
      <c r="E209" s="9"/>
      <c r="F209" s="9"/>
      <c r="G209" s="9"/>
      <c r="H209" s="9"/>
      <c r="I209" s="58"/>
      <c r="J209" s="9"/>
      <c r="K209" s="9"/>
      <c r="L209" s="9"/>
      <c r="M209" s="9"/>
      <c r="N209" s="9"/>
      <c r="O209" s="9"/>
      <c r="P209" s="9"/>
      <c r="Q209" s="9"/>
      <c r="R209" s="9"/>
      <c r="S209" s="9"/>
      <c r="T209" s="9"/>
      <c r="U209" s="9"/>
      <c r="V209" s="9"/>
      <c r="W209" s="9"/>
      <c r="X209" s="9"/>
      <c r="Y209" s="9"/>
      <c r="Z209" s="9"/>
      <c r="AA209" s="9"/>
      <c r="AB209" s="9"/>
      <c r="AC209" s="9"/>
      <c r="AD209" s="9"/>
      <c r="AE209" s="9"/>
      <c r="AF209" s="9"/>
    </row>
    <row r="210" spans="1:32" ht="54.95" customHeight="1" x14ac:dyDescent="0.2">
      <c r="A210" s="56"/>
      <c r="B210" s="9"/>
      <c r="C210" s="9"/>
      <c r="D210" s="9"/>
      <c r="E210" s="9"/>
      <c r="F210" s="9"/>
      <c r="G210" s="9"/>
      <c r="H210" s="9"/>
      <c r="I210" s="58"/>
      <c r="J210" s="9"/>
      <c r="K210" s="9"/>
      <c r="L210" s="9"/>
      <c r="M210" s="9"/>
      <c r="N210" s="9"/>
      <c r="O210" s="9"/>
      <c r="P210" s="9"/>
      <c r="Q210" s="9"/>
      <c r="R210" s="9"/>
      <c r="S210" s="9"/>
      <c r="T210" s="9"/>
      <c r="U210" s="9"/>
      <c r="V210" s="9"/>
      <c r="W210" s="9"/>
      <c r="X210" s="9"/>
      <c r="Y210" s="9"/>
      <c r="Z210" s="9"/>
      <c r="AA210" s="9"/>
      <c r="AB210" s="9"/>
      <c r="AC210" s="9"/>
      <c r="AD210" s="9"/>
      <c r="AE210" s="9"/>
      <c r="AF210" s="9"/>
    </row>
    <row r="211" spans="1:32" ht="54.95" customHeight="1" x14ac:dyDescent="0.2">
      <c r="A211" s="56"/>
      <c r="B211" s="9"/>
      <c r="C211" s="9"/>
      <c r="D211" s="9"/>
      <c r="E211" s="9"/>
      <c r="F211" s="9"/>
      <c r="G211" s="9"/>
      <c r="H211" s="9"/>
      <c r="I211" s="58"/>
      <c r="J211" s="9"/>
      <c r="K211" s="9"/>
      <c r="L211" s="9"/>
      <c r="M211" s="9"/>
      <c r="N211" s="9"/>
      <c r="O211" s="9"/>
      <c r="P211" s="9"/>
      <c r="Q211" s="9"/>
      <c r="R211" s="9"/>
      <c r="S211" s="9"/>
      <c r="T211" s="9"/>
      <c r="U211" s="9"/>
      <c r="V211" s="9"/>
      <c r="W211" s="9"/>
      <c r="X211" s="9"/>
      <c r="Y211" s="9"/>
      <c r="Z211" s="9"/>
      <c r="AA211" s="9"/>
      <c r="AB211" s="9"/>
      <c r="AC211" s="9"/>
      <c r="AD211" s="9"/>
      <c r="AE211" s="9"/>
      <c r="AF211" s="9"/>
    </row>
    <row r="212" spans="1:32" ht="54.95" customHeight="1" x14ac:dyDescent="0.2">
      <c r="A212" s="56"/>
      <c r="B212" s="9"/>
      <c r="C212" s="9"/>
      <c r="D212" s="9"/>
      <c r="E212" s="9"/>
      <c r="F212" s="9"/>
      <c r="G212" s="9"/>
      <c r="H212" s="9"/>
      <c r="I212" s="58"/>
      <c r="J212" s="9"/>
      <c r="K212" s="9"/>
      <c r="L212" s="9"/>
      <c r="M212" s="9"/>
      <c r="N212" s="9"/>
      <c r="O212" s="9"/>
      <c r="P212" s="9"/>
      <c r="Q212" s="9"/>
      <c r="R212" s="9"/>
      <c r="S212" s="9"/>
      <c r="T212" s="9"/>
      <c r="U212" s="9"/>
      <c r="V212" s="9"/>
      <c r="W212" s="9"/>
      <c r="X212" s="9"/>
      <c r="Y212" s="9"/>
      <c r="Z212" s="9"/>
      <c r="AA212" s="9"/>
      <c r="AB212" s="9"/>
      <c r="AC212" s="9"/>
      <c r="AD212" s="9"/>
      <c r="AE212" s="9"/>
      <c r="AF212" s="9"/>
    </row>
    <row r="213" spans="1:32" ht="54.95" customHeight="1" x14ac:dyDescent="0.2">
      <c r="A213" s="56"/>
      <c r="B213" s="9"/>
      <c r="C213" s="9"/>
      <c r="D213" s="9"/>
      <c r="E213" s="9"/>
      <c r="F213" s="9"/>
      <c r="G213" s="9"/>
      <c r="H213" s="9"/>
      <c r="I213" s="58"/>
      <c r="J213" s="9"/>
      <c r="K213" s="9"/>
      <c r="L213" s="9"/>
      <c r="M213" s="9"/>
      <c r="N213" s="9"/>
      <c r="O213" s="9"/>
      <c r="P213" s="9"/>
      <c r="Q213" s="9"/>
      <c r="R213" s="9"/>
      <c r="S213" s="9"/>
      <c r="T213" s="9"/>
      <c r="U213" s="9"/>
      <c r="V213" s="9"/>
      <c r="W213" s="9"/>
      <c r="X213" s="9"/>
      <c r="Y213" s="9"/>
      <c r="Z213" s="9"/>
      <c r="AA213" s="9"/>
      <c r="AB213" s="9"/>
      <c r="AC213" s="9"/>
      <c r="AD213" s="9"/>
      <c r="AE213" s="9"/>
      <c r="AF213" s="9"/>
    </row>
    <row r="214" spans="1:32" ht="54.95" customHeight="1" x14ac:dyDescent="0.2">
      <c r="A214" s="56"/>
      <c r="B214" s="9"/>
      <c r="C214" s="9"/>
      <c r="D214" s="9"/>
      <c r="E214" s="9"/>
      <c r="F214" s="9"/>
      <c r="G214" s="9"/>
      <c r="H214" s="9"/>
      <c r="I214" s="58"/>
      <c r="J214" s="9"/>
      <c r="K214" s="9"/>
      <c r="L214" s="9"/>
      <c r="M214" s="9"/>
      <c r="N214" s="9"/>
      <c r="O214" s="9"/>
      <c r="P214" s="9"/>
      <c r="Q214" s="9"/>
      <c r="R214" s="9"/>
      <c r="S214" s="9"/>
      <c r="T214" s="9"/>
      <c r="U214" s="9"/>
      <c r="V214" s="9"/>
      <c r="W214" s="9"/>
      <c r="X214" s="9"/>
      <c r="Y214" s="9"/>
      <c r="Z214" s="9"/>
      <c r="AA214" s="9"/>
      <c r="AB214" s="9"/>
      <c r="AC214" s="9"/>
      <c r="AD214" s="9"/>
      <c r="AE214" s="9"/>
      <c r="AF214" s="9"/>
    </row>
    <row r="215" spans="1:32" ht="54.95" customHeight="1" x14ac:dyDescent="0.2">
      <c r="A215" s="56"/>
      <c r="B215" s="9"/>
      <c r="C215" s="9"/>
      <c r="D215" s="9"/>
      <c r="E215" s="9"/>
      <c r="F215" s="9"/>
      <c r="G215" s="9"/>
      <c r="H215" s="9"/>
      <c r="I215" s="58"/>
      <c r="J215" s="9"/>
      <c r="K215" s="9"/>
      <c r="L215" s="9"/>
      <c r="M215" s="9"/>
      <c r="N215" s="9"/>
      <c r="O215" s="9"/>
      <c r="P215" s="9"/>
      <c r="Q215" s="9"/>
      <c r="R215" s="9"/>
      <c r="S215" s="9"/>
      <c r="T215" s="9"/>
      <c r="U215" s="9"/>
      <c r="V215" s="9"/>
      <c r="W215" s="9"/>
      <c r="X215" s="9"/>
      <c r="Y215" s="9"/>
      <c r="Z215" s="9"/>
      <c r="AA215" s="9"/>
      <c r="AB215" s="9"/>
      <c r="AC215" s="9"/>
      <c r="AD215" s="9"/>
      <c r="AE215" s="9"/>
      <c r="AF215" s="9"/>
    </row>
    <row r="216" spans="1:32" ht="54.95" customHeight="1" x14ac:dyDescent="0.2">
      <c r="A216" s="56"/>
      <c r="B216" s="9"/>
      <c r="C216" s="9"/>
      <c r="D216" s="9"/>
      <c r="E216" s="9"/>
      <c r="F216" s="9"/>
      <c r="G216" s="9"/>
      <c r="H216" s="9"/>
      <c r="I216" s="58"/>
      <c r="J216" s="9"/>
      <c r="K216" s="9"/>
      <c r="L216" s="9"/>
      <c r="M216" s="9"/>
      <c r="N216" s="9"/>
      <c r="O216" s="9"/>
      <c r="P216" s="9"/>
      <c r="Q216" s="9"/>
      <c r="R216" s="9"/>
      <c r="S216" s="9"/>
      <c r="T216" s="9"/>
      <c r="U216" s="9"/>
      <c r="V216" s="9"/>
      <c r="W216" s="9"/>
      <c r="X216" s="9"/>
      <c r="Y216" s="9"/>
      <c r="Z216" s="9"/>
      <c r="AA216" s="9"/>
      <c r="AB216" s="9"/>
      <c r="AC216" s="9"/>
      <c r="AD216" s="9"/>
      <c r="AE216" s="9"/>
      <c r="AF216" s="9"/>
    </row>
    <row r="217" spans="1:32" ht="54.95" customHeight="1" x14ac:dyDescent="0.2">
      <c r="A217" s="56"/>
      <c r="B217" s="9"/>
      <c r="C217" s="9"/>
      <c r="D217" s="9"/>
      <c r="E217" s="9"/>
      <c r="F217" s="9"/>
      <c r="G217" s="9"/>
      <c r="H217" s="9"/>
      <c r="I217" s="58"/>
      <c r="J217" s="9"/>
      <c r="K217" s="9"/>
      <c r="L217" s="9"/>
      <c r="M217" s="9"/>
      <c r="N217" s="9"/>
      <c r="O217" s="9"/>
      <c r="P217" s="9"/>
      <c r="Q217" s="9"/>
      <c r="R217" s="9"/>
      <c r="S217" s="9"/>
      <c r="T217" s="9"/>
      <c r="U217" s="9"/>
      <c r="V217" s="9"/>
      <c r="W217" s="9"/>
      <c r="X217" s="9"/>
      <c r="Y217" s="9"/>
      <c r="Z217" s="9"/>
      <c r="AA217" s="9"/>
      <c r="AB217" s="9"/>
      <c r="AC217" s="9"/>
      <c r="AD217" s="9"/>
      <c r="AE217" s="9"/>
      <c r="AF217" s="9"/>
    </row>
    <row r="218" spans="1:32" ht="54.95" customHeight="1" x14ac:dyDescent="0.2">
      <c r="A218" s="56"/>
      <c r="B218" s="9"/>
      <c r="C218" s="9"/>
      <c r="D218" s="9"/>
      <c r="E218" s="9"/>
      <c r="F218" s="9"/>
      <c r="G218" s="9"/>
      <c r="H218" s="9"/>
      <c r="I218" s="58"/>
      <c r="J218" s="9"/>
      <c r="K218" s="9"/>
      <c r="L218" s="9"/>
      <c r="M218" s="9"/>
      <c r="N218" s="9"/>
      <c r="O218" s="9"/>
      <c r="P218" s="9"/>
      <c r="Q218" s="9"/>
      <c r="R218" s="9"/>
      <c r="S218" s="9"/>
      <c r="T218" s="9"/>
      <c r="U218" s="9"/>
      <c r="V218" s="9"/>
      <c r="W218" s="9"/>
      <c r="X218" s="9"/>
      <c r="Y218" s="9"/>
      <c r="Z218" s="9"/>
      <c r="AA218" s="9"/>
      <c r="AB218" s="9"/>
      <c r="AC218" s="9"/>
      <c r="AD218" s="9"/>
      <c r="AE218" s="9"/>
      <c r="AF218" s="9"/>
    </row>
    <row r="219" spans="1:32" ht="54.95" customHeight="1" x14ac:dyDescent="0.2">
      <c r="A219" s="56"/>
      <c r="B219" s="9"/>
      <c r="C219" s="9"/>
      <c r="D219" s="9"/>
      <c r="E219" s="9"/>
      <c r="F219" s="9"/>
      <c r="G219" s="9"/>
      <c r="H219" s="9"/>
      <c r="I219" s="58"/>
      <c r="J219" s="9"/>
      <c r="K219" s="9"/>
      <c r="L219" s="9"/>
      <c r="M219" s="9"/>
      <c r="N219" s="9"/>
      <c r="O219" s="9"/>
      <c r="P219" s="9"/>
      <c r="Q219" s="9"/>
      <c r="R219" s="9"/>
      <c r="S219" s="9"/>
      <c r="T219" s="9"/>
      <c r="U219" s="9"/>
      <c r="V219" s="9"/>
      <c r="W219" s="9"/>
      <c r="X219" s="9"/>
      <c r="Y219" s="9"/>
      <c r="Z219" s="9"/>
      <c r="AA219" s="9"/>
      <c r="AB219" s="9"/>
      <c r="AC219" s="9"/>
      <c r="AD219" s="9"/>
      <c r="AE219" s="9"/>
      <c r="AF219" s="9"/>
    </row>
    <row r="220" spans="1:32" ht="54.95" customHeight="1" x14ac:dyDescent="0.2">
      <c r="A220" s="56"/>
      <c r="B220" s="9"/>
      <c r="C220" s="9"/>
      <c r="D220" s="9"/>
      <c r="E220" s="9"/>
      <c r="F220" s="9"/>
      <c r="G220" s="9"/>
      <c r="H220" s="9"/>
      <c r="I220" s="58"/>
      <c r="J220" s="9"/>
      <c r="K220" s="9"/>
      <c r="L220" s="9"/>
      <c r="M220" s="9"/>
      <c r="N220" s="9"/>
      <c r="O220" s="9"/>
      <c r="P220" s="9"/>
      <c r="Q220" s="9"/>
      <c r="R220" s="9"/>
      <c r="S220" s="9"/>
      <c r="T220" s="9"/>
      <c r="U220" s="9"/>
      <c r="V220" s="9"/>
      <c r="W220" s="9"/>
      <c r="X220" s="9"/>
      <c r="Y220" s="9"/>
      <c r="Z220" s="9"/>
      <c r="AA220" s="9"/>
      <c r="AB220" s="9"/>
      <c r="AC220" s="9"/>
      <c r="AD220" s="9"/>
      <c r="AE220" s="9"/>
      <c r="AF220" s="9"/>
    </row>
    <row r="221" spans="1:32" ht="54.95" customHeight="1" x14ac:dyDescent="0.2">
      <c r="A221" s="56"/>
      <c r="B221" s="9"/>
      <c r="C221" s="9"/>
      <c r="D221" s="9"/>
      <c r="E221" s="9"/>
      <c r="F221" s="9"/>
      <c r="G221" s="9"/>
      <c r="H221" s="9"/>
      <c r="I221" s="58"/>
      <c r="J221" s="9"/>
      <c r="K221" s="9"/>
      <c r="L221" s="9"/>
      <c r="M221" s="9"/>
      <c r="N221" s="9"/>
      <c r="O221" s="9"/>
      <c r="P221" s="9"/>
      <c r="Q221" s="9"/>
      <c r="R221" s="9"/>
      <c r="S221" s="9"/>
      <c r="T221" s="9"/>
      <c r="U221" s="9"/>
      <c r="V221" s="9"/>
      <c r="W221" s="9"/>
      <c r="X221" s="9"/>
      <c r="Y221" s="9"/>
      <c r="Z221" s="9"/>
      <c r="AA221" s="9"/>
      <c r="AB221" s="9"/>
      <c r="AC221" s="9"/>
      <c r="AD221" s="9"/>
      <c r="AE221" s="9"/>
      <c r="AF221" s="9"/>
    </row>
    <row r="222" spans="1:32" ht="54.95" customHeight="1" x14ac:dyDescent="0.2">
      <c r="A222" s="56"/>
      <c r="B222" s="9"/>
      <c r="C222" s="9"/>
      <c r="D222" s="9"/>
      <c r="E222" s="9"/>
      <c r="F222" s="9"/>
      <c r="G222" s="9"/>
      <c r="H222" s="9"/>
      <c r="I222" s="58"/>
      <c r="J222" s="9"/>
      <c r="K222" s="9"/>
      <c r="L222" s="9"/>
      <c r="M222" s="9"/>
      <c r="N222" s="9"/>
      <c r="O222" s="9"/>
      <c r="P222" s="9"/>
      <c r="Q222" s="9"/>
      <c r="R222" s="9"/>
      <c r="S222" s="9"/>
      <c r="T222" s="9"/>
      <c r="U222" s="9"/>
      <c r="V222" s="9"/>
      <c r="W222" s="9"/>
      <c r="X222" s="9"/>
      <c r="Y222" s="9"/>
      <c r="Z222" s="9"/>
      <c r="AA222" s="9"/>
      <c r="AB222" s="9"/>
      <c r="AC222" s="9"/>
      <c r="AD222" s="9"/>
      <c r="AE222" s="9"/>
      <c r="AF222" s="9"/>
    </row>
    <row r="223" spans="1:32" ht="54.95" customHeight="1" x14ac:dyDescent="0.2">
      <c r="A223" s="56"/>
      <c r="B223" s="9"/>
      <c r="C223" s="9"/>
      <c r="D223" s="9"/>
      <c r="E223" s="9"/>
      <c r="F223" s="9"/>
      <c r="G223" s="9"/>
      <c r="H223" s="9"/>
      <c r="I223" s="58"/>
      <c r="J223" s="9"/>
      <c r="K223" s="9"/>
      <c r="L223" s="9"/>
      <c r="M223" s="9"/>
      <c r="N223" s="9"/>
      <c r="O223" s="9"/>
      <c r="P223" s="9"/>
      <c r="Q223" s="9"/>
      <c r="R223" s="9"/>
      <c r="S223" s="9"/>
      <c r="T223" s="9"/>
      <c r="U223" s="9"/>
      <c r="V223" s="9"/>
      <c r="W223" s="9"/>
      <c r="X223" s="9"/>
      <c r="Y223" s="9"/>
      <c r="Z223" s="9"/>
      <c r="AA223" s="9"/>
      <c r="AB223" s="9"/>
      <c r="AC223" s="9"/>
      <c r="AD223" s="9"/>
      <c r="AE223" s="9"/>
      <c r="AF223" s="9"/>
    </row>
    <row r="224" spans="1:32" ht="54.95" customHeight="1" x14ac:dyDescent="0.2">
      <c r="A224" s="56"/>
      <c r="B224" s="9"/>
      <c r="C224" s="9"/>
      <c r="D224" s="9"/>
      <c r="E224" s="9"/>
      <c r="F224" s="9"/>
      <c r="G224" s="9"/>
      <c r="H224" s="9"/>
      <c r="I224" s="58"/>
      <c r="J224" s="9"/>
      <c r="K224" s="9"/>
      <c r="L224" s="9"/>
      <c r="M224" s="9"/>
      <c r="N224" s="9"/>
      <c r="O224" s="9"/>
      <c r="P224" s="9"/>
      <c r="Q224" s="9"/>
      <c r="R224" s="9"/>
      <c r="S224" s="9"/>
      <c r="T224" s="9"/>
      <c r="U224" s="9"/>
      <c r="V224" s="9"/>
      <c r="W224" s="9"/>
      <c r="X224" s="9"/>
      <c r="Y224" s="9"/>
      <c r="Z224" s="9"/>
      <c r="AA224" s="9"/>
      <c r="AB224" s="9"/>
      <c r="AC224" s="9"/>
      <c r="AD224" s="9"/>
      <c r="AE224" s="9"/>
      <c r="AF224" s="9"/>
    </row>
    <row r="225" spans="1:32" ht="54.95" customHeight="1" x14ac:dyDescent="0.2">
      <c r="A225" s="56"/>
      <c r="B225" s="9"/>
      <c r="C225" s="9"/>
      <c r="D225" s="9"/>
      <c r="E225" s="9"/>
      <c r="F225" s="9"/>
      <c r="G225" s="9"/>
      <c r="H225" s="9"/>
      <c r="I225" s="58"/>
      <c r="J225" s="9"/>
      <c r="K225" s="9"/>
      <c r="L225" s="9"/>
      <c r="M225" s="9"/>
      <c r="N225" s="9"/>
      <c r="O225" s="9"/>
      <c r="P225" s="9"/>
      <c r="Q225" s="9"/>
      <c r="R225" s="9"/>
      <c r="S225" s="9"/>
      <c r="T225" s="9"/>
      <c r="U225" s="9"/>
      <c r="V225" s="9"/>
      <c r="W225" s="9"/>
      <c r="X225" s="9"/>
      <c r="Y225" s="9"/>
      <c r="Z225" s="9"/>
      <c r="AA225" s="9"/>
      <c r="AB225" s="9"/>
      <c r="AC225" s="9"/>
      <c r="AD225" s="9"/>
      <c r="AE225" s="9"/>
      <c r="AF225" s="9"/>
    </row>
    <row r="226" spans="1:32" ht="54.95" customHeight="1" x14ac:dyDescent="0.2">
      <c r="A226" s="56"/>
      <c r="B226" s="9"/>
      <c r="C226" s="9"/>
      <c r="D226" s="9"/>
      <c r="E226" s="9"/>
      <c r="F226" s="9"/>
      <c r="G226" s="9"/>
      <c r="H226" s="9"/>
      <c r="I226" s="58"/>
      <c r="J226" s="9"/>
      <c r="K226" s="9"/>
      <c r="L226" s="9"/>
      <c r="M226" s="9"/>
      <c r="N226" s="9"/>
      <c r="O226" s="9"/>
      <c r="P226" s="9"/>
      <c r="Q226" s="9"/>
      <c r="R226" s="9"/>
      <c r="S226" s="9"/>
      <c r="T226" s="9"/>
      <c r="U226" s="9"/>
      <c r="V226" s="9"/>
      <c r="W226" s="9"/>
      <c r="X226" s="9"/>
      <c r="Y226" s="9"/>
      <c r="Z226" s="9"/>
      <c r="AA226" s="9"/>
      <c r="AB226" s="9"/>
      <c r="AC226" s="9"/>
      <c r="AD226" s="9"/>
      <c r="AE226" s="9"/>
      <c r="AF226" s="9"/>
    </row>
    <row r="227" spans="1:32" ht="54.95" customHeight="1" x14ac:dyDescent="0.2">
      <c r="A227" s="56"/>
      <c r="B227" s="9"/>
      <c r="C227" s="9"/>
      <c r="D227" s="9"/>
      <c r="E227" s="9"/>
      <c r="F227" s="9"/>
      <c r="G227" s="9"/>
      <c r="H227" s="9"/>
      <c r="I227" s="58"/>
      <c r="J227" s="9"/>
      <c r="K227" s="9"/>
      <c r="L227" s="9"/>
      <c r="M227" s="9"/>
      <c r="N227" s="9"/>
      <c r="O227" s="9"/>
      <c r="P227" s="9"/>
      <c r="Q227" s="9"/>
      <c r="R227" s="9"/>
      <c r="S227" s="9"/>
      <c r="T227" s="9"/>
      <c r="U227" s="9"/>
      <c r="V227" s="9"/>
      <c r="W227" s="9"/>
      <c r="X227" s="9"/>
      <c r="Y227" s="9"/>
      <c r="Z227" s="9"/>
      <c r="AA227" s="9"/>
      <c r="AB227" s="9"/>
      <c r="AC227" s="9"/>
      <c r="AD227" s="9"/>
      <c r="AE227" s="9"/>
      <c r="AF227" s="9"/>
    </row>
    <row r="228" spans="1:32" ht="54.95" customHeight="1" x14ac:dyDescent="0.2">
      <c r="A228" s="56"/>
      <c r="B228" s="9"/>
      <c r="C228" s="9"/>
      <c r="D228" s="9"/>
      <c r="E228" s="9"/>
      <c r="F228" s="9"/>
      <c r="G228" s="9"/>
      <c r="H228" s="9"/>
      <c r="I228" s="58"/>
      <c r="J228" s="9"/>
      <c r="K228" s="9"/>
      <c r="L228" s="9"/>
      <c r="M228" s="9"/>
      <c r="N228" s="9"/>
      <c r="O228" s="9"/>
      <c r="P228" s="9"/>
      <c r="Q228" s="9"/>
      <c r="R228" s="9"/>
      <c r="S228" s="9"/>
      <c r="T228" s="9"/>
      <c r="U228" s="9"/>
      <c r="V228" s="9"/>
      <c r="W228" s="9"/>
      <c r="X228" s="9"/>
      <c r="Y228" s="9"/>
      <c r="Z228" s="9"/>
      <c r="AA228" s="9"/>
      <c r="AB228" s="9"/>
      <c r="AC228" s="9"/>
      <c r="AD228" s="9"/>
      <c r="AE228" s="9"/>
      <c r="AF228" s="9"/>
    </row>
    <row r="229" spans="1:32" ht="54.95" customHeight="1" x14ac:dyDescent="0.2">
      <c r="A229" s="56"/>
      <c r="B229" s="9"/>
      <c r="C229" s="9"/>
      <c r="D229" s="9"/>
      <c r="E229" s="9"/>
      <c r="F229" s="9"/>
      <c r="G229" s="9"/>
      <c r="H229" s="9"/>
      <c r="I229" s="58"/>
      <c r="J229" s="9"/>
      <c r="K229" s="9"/>
      <c r="L229" s="9"/>
      <c r="M229" s="9"/>
      <c r="N229" s="9"/>
      <c r="O229" s="9"/>
      <c r="P229" s="9"/>
      <c r="Q229" s="9"/>
      <c r="R229" s="9"/>
      <c r="S229" s="9"/>
      <c r="T229" s="9"/>
      <c r="U229" s="9"/>
      <c r="V229" s="9"/>
      <c r="W229" s="9"/>
      <c r="X229" s="9"/>
      <c r="Y229" s="9"/>
      <c r="Z229" s="9"/>
      <c r="AA229" s="9"/>
      <c r="AB229" s="9"/>
      <c r="AC229" s="9"/>
      <c r="AD229" s="9"/>
      <c r="AE229" s="9"/>
      <c r="AF229" s="9"/>
    </row>
    <row r="230" spans="1:32" ht="54.95" customHeight="1" x14ac:dyDescent="0.2">
      <c r="A230" s="56"/>
      <c r="B230" s="9"/>
      <c r="C230" s="9"/>
      <c r="D230" s="9"/>
      <c r="E230" s="9"/>
      <c r="F230" s="9"/>
      <c r="G230" s="9"/>
      <c r="H230" s="9"/>
      <c r="I230" s="58"/>
      <c r="J230" s="9"/>
      <c r="K230" s="9"/>
      <c r="L230" s="9"/>
      <c r="M230" s="9"/>
      <c r="N230" s="9"/>
      <c r="O230" s="9"/>
      <c r="P230" s="9"/>
      <c r="Q230" s="9"/>
      <c r="R230" s="9"/>
      <c r="S230" s="9"/>
      <c r="T230" s="9"/>
      <c r="U230" s="9"/>
      <c r="V230" s="9"/>
      <c r="W230" s="9"/>
      <c r="X230" s="9"/>
      <c r="Y230" s="9"/>
      <c r="Z230" s="9"/>
      <c r="AA230" s="9"/>
      <c r="AB230" s="9"/>
      <c r="AC230" s="9"/>
      <c r="AD230" s="9"/>
      <c r="AE230" s="9"/>
      <c r="AF230" s="9"/>
    </row>
    <row r="231" spans="1:32" ht="54.95" customHeight="1" x14ac:dyDescent="0.2">
      <c r="A231" s="56"/>
      <c r="B231" s="9"/>
      <c r="C231" s="9"/>
      <c r="D231" s="9"/>
      <c r="E231" s="9"/>
      <c r="F231" s="9"/>
      <c r="G231" s="9"/>
      <c r="H231" s="9"/>
      <c r="I231" s="58"/>
      <c r="J231" s="9"/>
      <c r="K231" s="9"/>
      <c r="L231" s="9"/>
      <c r="M231" s="9"/>
      <c r="N231" s="9"/>
      <c r="O231" s="9"/>
      <c r="P231" s="9"/>
      <c r="Q231" s="9"/>
      <c r="R231" s="9"/>
      <c r="S231" s="9"/>
      <c r="T231" s="9"/>
      <c r="U231" s="9"/>
      <c r="V231" s="9"/>
      <c r="W231" s="9"/>
      <c r="X231" s="9"/>
      <c r="Y231" s="9"/>
      <c r="Z231" s="9"/>
      <c r="AA231" s="9"/>
      <c r="AB231" s="9"/>
      <c r="AC231" s="9"/>
      <c r="AD231" s="9"/>
      <c r="AE231" s="9"/>
      <c r="AF231" s="9"/>
    </row>
    <row r="232" spans="1:32" ht="54.95" customHeight="1" x14ac:dyDescent="0.2">
      <c r="A232" s="56"/>
      <c r="B232" s="9"/>
      <c r="C232" s="9"/>
      <c r="D232" s="9"/>
      <c r="E232" s="9"/>
      <c r="F232" s="9"/>
      <c r="G232" s="9"/>
      <c r="H232" s="9"/>
      <c r="I232" s="58"/>
      <c r="J232" s="9"/>
      <c r="K232" s="9"/>
      <c r="L232" s="9"/>
      <c r="M232" s="9"/>
      <c r="N232" s="9"/>
      <c r="O232" s="9"/>
      <c r="P232" s="9"/>
      <c r="Q232" s="9"/>
      <c r="R232" s="9"/>
      <c r="S232" s="9"/>
      <c r="T232" s="9"/>
      <c r="U232" s="9"/>
      <c r="V232" s="9"/>
      <c r="W232" s="9"/>
      <c r="X232" s="9"/>
      <c r="Y232" s="9"/>
      <c r="Z232" s="9"/>
      <c r="AA232" s="9"/>
      <c r="AB232" s="9"/>
      <c r="AC232" s="9"/>
      <c r="AD232" s="9"/>
      <c r="AE232" s="9"/>
      <c r="AF232" s="9"/>
    </row>
    <row r="233" spans="1:32" ht="54.95" customHeight="1" x14ac:dyDescent="0.2">
      <c r="A233" s="56"/>
      <c r="B233" s="9"/>
      <c r="C233" s="9"/>
      <c r="D233" s="9"/>
      <c r="E233" s="9"/>
      <c r="F233" s="9"/>
      <c r="G233" s="9"/>
      <c r="H233" s="9"/>
      <c r="I233" s="58"/>
      <c r="J233" s="9"/>
      <c r="K233" s="9"/>
      <c r="L233" s="9"/>
      <c r="M233" s="9"/>
      <c r="N233" s="9"/>
      <c r="O233" s="9"/>
      <c r="P233" s="9"/>
      <c r="Q233" s="9"/>
      <c r="R233" s="9"/>
      <c r="S233" s="9"/>
      <c r="T233" s="9"/>
      <c r="U233" s="9"/>
      <c r="V233" s="9"/>
      <c r="W233" s="9"/>
      <c r="X233" s="9"/>
      <c r="Y233" s="9"/>
      <c r="Z233" s="9"/>
      <c r="AA233" s="9"/>
      <c r="AB233" s="9"/>
      <c r="AC233" s="9"/>
      <c r="AD233" s="9"/>
      <c r="AE233" s="9"/>
      <c r="AF233" s="9"/>
    </row>
    <row r="234" spans="1:32" ht="54.95" customHeight="1" x14ac:dyDescent="0.2">
      <c r="A234" s="56"/>
      <c r="B234" s="9"/>
      <c r="C234" s="9"/>
      <c r="D234" s="9"/>
      <c r="E234" s="9"/>
      <c r="F234" s="9"/>
      <c r="G234" s="9"/>
      <c r="H234" s="9"/>
      <c r="I234" s="58"/>
      <c r="J234" s="9"/>
      <c r="K234" s="9"/>
      <c r="L234" s="9"/>
      <c r="M234" s="9"/>
      <c r="N234" s="9"/>
      <c r="O234" s="9"/>
      <c r="P234" s="9"/>
      <c r="Q234" s="9"/>
      <c r="R234" s="9"/>
      <c r="S234" s="9"/>
      <c r="T234" s="9"/>
      <c r="U234" s="9"/>
      <c r="V234" s="9"/>
      <c r="W234" s="9"/>
      <c r="X234" s="9"/>
      <c r="Y234" s="9"/>
      <c r="Z234" s="9"/>
      <c r="AA234" s="9"/>
      <c r="AB234" s="9"/>
      <c r="AC234" s="9"/>
      <c r="AD234" s="9"/>
      <c r="AE234" s="9"/>
      <c r="AF234" s="9"/>
    </row>
    <row r="235" spans="1:32" ht="54.95" customHeight="1" x14ac:dyDescent="0.2">
      <c r="A235" s="56"/>
      <c r="B235" s="9"/>
      <c r="C235" s="9"/>
      <c r="D235" s="9"/>
      <c r="E235" s="9"/>
      <c r="F235" s="9"/>
      <c r="G235" s="9"/>
      <c r="H235" s="9"/>
      <c r="I235" s="58"/>
      <c r="J235" s="9"/>
      <c r="K235" s="9"/>
      <c r="L235" s="9"/>
      <c r="M235" s="9"/>
      <c r="N235" s="9"/>
      <c r="O235" s="9"/>
      <c r="P235" s="9"/>
      <c r="Q235" s="9"/>
      <c r="R235" s="9"/>
      <c r="S235" s="9"/>
      <c r="T235" s="9"/>
      <c r="U235" s="9"/>
      <c r="V235" s="9"/>
      <c r="W235" s="9"/>
      <c r="X235" s="9"/>
      <c r="Y235" s="9"/>
      <c r="Z235" s="9"/>
      <c r="AA235" s="9"/>
      <c r="AB235" s="9"/>
      <c r="AC235" s="9"/>
      <c r="AD235" s="9"/>
      <c r="AE235" s="9"/>
      <c r="AF235" s="9"/>
    </row>
    <row r="236" spans="1:32" ht="54.95" customHeight="1" x14ac:dyDescent="0.2">
      <c r="A236" s="56"/>
      <c r="B236" s="9"/>
      <c r="C236" s="9"/>
      <c r="D236" s="9"/>
      <c r="E236" s="9"/>
      <c r="F236" s="9"/>
      <c r="G236" s="9"/>
      <c r="H236" s="9"/>
      <c r="I236" s="58"/>
      <c r="J236" s="9"/>
      <c r="K236" s="9"/>
      <c r="L236" s="9"/>
      <c r="M236" s="9"/>
      <c r="N236" s="9"/>
      <c r="O236" s="9"/>
      <c r="P236" s="9"/>
      <c r="Q236" s="9"/>
      <c r="R236" s="9"/>
      <c r="S236" s="9"/>
      <c r="T236" s="9"/>
      <c r="U236" s="9"/>
      <c r="V236" s="9"/>
      <c r="W236" s="9"/>
      <c r="X236" s="9"/>
      <c r="Y236" s="9"/>
      <c r="Z236" s="9"/>
      <c r="AA236" s="9"/>
      <c r="AB236" s="9"/>
      <c r="AC236" s="9"/>
      <c r="AD236" s="9"/>
      <c r="AE236" s="9"/>
      <c r="AF236" s="9"/>
    </row>
    <row r="237" spans="1:32" ht="54.95" customHeight="1" x14ac:dyDescent="0.2">
      <c r="A237" s="56"/>
      <c r="B237" s="9"/>
      <c r="C237" s="9"/>
      <c r="D237" s="9"/>
      <c r="E237" s="9"/>
      <c r="F237" s="9"/>
      <c r="G237" s="9"/>
      <c r="H237" s="9"/>
      <c r="I237" s="58"/>
      <c r="J237" s="9"/>
      <c r="K237" s="9"/>
      <c r="L237" s="9"/>
      <c r="M237" s="9"/>
      <c r="N237" s="9"/>
      <c r="O237" s="9"/>
      <c r="P237" s="9"/>
      <c r="Q237" s="9"/>
      <c r="R237" s="9"/>
      <c r="S237" s="9"/>
      <c r="T237" s="9"/>
      <c r="U237" s="9"/>
      <c r="V237" s="9"/>
      <c r="W237" s="9"/>
      <c r="X237" s="9"/>
      <c r="Y237" s="9"/>
      <c r="Z237" s="9"/>
      <c r="AA237" s="9"/>
      <c r="AB237" s="9"/>
      <c r="AC237" s="9"/>
      <c r="AD237" s="9"/>
      <c r="AE237" s="9"/>
      <c r="AF237" s="9"/>
    </row>
    <row r="238" spans="1:32" ht="54.95" customHeight="1" x14ac:dyDescent="0.2">
      <c r="A238" s="56"/>
      <c r="B238" s="9"/>
      <c r="C238" s="9"/>
      <c r="D238" s="9"/>
      <c r="E238" s="9"/>
      <c r="F238" s="9"/>
      <c r="G238" s="9"/>
      <c r="H238" s="9"/>
      <c r="I238" s="58"/>
      <c r="J238" s="9"/>
      <c r="K238" s="9"/>
      <c r="L238" s="9"/>
      <c r="M238" s="9"/>
      <c r="N238" s="9"/>
      <c r="O238" s="9"/>
      <c r="P238" s="9"/>
      <c r="Q238" s="9"/>
      <c r="R238" s="9"/>
      <c r="S238" s="9"/>
      <c r="T238" s="9"/>
      <c r="U238" s="9"/>
      <c r="V238" s="9"/>
      <c r="W238" s="9"/>
      <c r="X238" s="9"/>
      <c r="Y238" s="9"/>
      <c r="Z238" s="9"/>
      <c r="AA238" s="9"/>
      <c r="AB238" s="9"/>
      <c r="AC238" s="9"/>
      <c r="AD238" s="9"/>
      <c r="AE238" s="9"/>
      <c r="AF238" s="9"/>
    </row>
    <row r="239" spans="1:32" ht="54.95" customHeight="1" x14ac:dyDescent="0.2">
      <c r="A239" s="56"/>
      <c r="B239" s="9"/>
      <c r="C239" s="9"/>
      <c r="D239" s="9"/>
      <c r="E239" s="9"/>
      <c r="F239" s="9"/>
      <c r="G239" s="9"/>
      <c r="H239" s="9"/>
      <c r="I239" s="58"/>
      <c r="J239" s="9"/>
      <c r="K239" s="9"/>
      <c r="L239" s="9"/>
      <c r="M239" s="9"/>
      <c r="N239" s="9"/>
      <c r="O239" s="9"/>
      <c r="P239" s="9"/>
      <c r="Q239" s="9"/>
      <c r="R239" s="9"/>
      <c r="S239" s="9"/>
      <c r="T239" s="9"/>
      <c r="U239" s="9"/>
      <c r="V239" s="9"/>
      <c r="W239" s="9"/>
      <c r="X239" s="9"/>
      <c r="Y239" s="9"/>
      <c r="Z239" s="9"/>
      <c r="AA239" s="9"/>
      <c r="AB239" s="9"/>
      <c r="AC239" s="9"/>
      <c r="AD239" s="9"/>
      <c r="AE239" s="9"/>
      <c r="AF239" s="9"/>
    </row>
    <row r="240" spans="1:32" ht="54.95" customHeight="1" x14ac:dyDescent="0.2">
      <c r="A240" s="56"/>
      <c r="B240" s="9"/>
      <c r="C240" s="9"/>
      <c r="D240" s="9"/>
      <c r="E240" s="9"/>
      <c r="F240" s="9"/>
      <c r="G240" s="9"/>
      <c r="H240" s="9"/>
      <c r="I240" s="58"/>
      <c r="J240" s="9"/>
      <c r="K240" s="9"/>
      <c r="L240" s="9"/>
      <c r="M240" s="9"/>
      <c r="N240" s="9"/>
      <c r="O240" s="9"/>
      <c r="P240" s="9"/>
      <c r="Q240" s="9"/>
      <c r="R240" s="9"/>
      <c r="S240" s="9"/>
      <c r="T240" s="9"/>
      <c r="U240" s="9"/>
      <c r="V240" s="9"/>
      <c r="W240" s="9"/>
      <c r="X240" s="9"/>
      <c r="Y240" s="9"/>
      <c r="Z240" s="9"/>
      <c r="AA240" s="9"/>
      <c r="AB240" s="9"/>
      <c r="AC240" s="9"/>
      <c r="AD240" s="9"/>
      <c r="AE240" s="9"/>
      <c r="AF240" s="9"/>
    </row>
    <row r="241" spans="1:32" ht="54.95" customHeight="1" x14ac:dyDescent="0.2">
      <c r="A241" s="56"/>
      <c r="B241" s="9"/>
      <c r="C241" s="9"/>
      <c r="D241" s="9"/>
      <c r="E241" s="9"/>
      <c r="F241" s="9"/>
      <c r="G241" s="9"/>
      <c r="H241" s="9"/>
      <c r="I241" s="58"/>
      <c r="J241" s="9"/>
      <c r="K241" s="9"/>
      <c r="L241" s="9"/>
      <c r="M241" s="9"/>
      <c r="N241" s="9"/>
      <c r="O241" s="9"/>
      <c r="P241" s="9"/>
      <c r="Q241" s="9"/>
      <c r="R241" s="9"/>
      <c r="S241" s="9"/>
      <c r="T241" s="9"/>
      <c r="U241" s="9"/>
      <c r="V241" s="9"/>
      <c r="W241" s="9"/>
      <c r="X241" s="9"/>
      <c r="Y241" s="9"/>
      <c r="Z241" s="9"/>
      <c r="AA241" s="9"/>
      <c r="AB241" s="9"/>
      <c r="AC241" s="9"/>
      <c r="AD241" s="9"/>
      <c r="AE241" s="9"/>
      <c r="AF241" s="9"/>
    </row>
    <row r="242" spans="1:32" ht="54.95" customHeight="1" x14ac:dyDescent="0.2">
      <c r="A242" s="56"/>
      <c r="B242" s="9"/>
      <c r="C242" s="9"/>
      <c r="D242" s="9"/>
      <c r="E242" s="9"/>
      <c r="F242" s="9"/>
      <c r="G242" s="9"/>
      <c r="H242" s="9"/>
      <c r="I242" s="58"/>
      <c r="J242" s="9"/>
      <c r="K242" s="9"/>
      <c r="L242" s="9"/>
      <c r="M242" s="9"/>
      <c r="N242" s="9"/>
      <c r="O242" s="9"/>
      <c r="P242" s="9"/>
      <c r="Q242" s="9"/>
      <c r="R242" s="9"/>
      <c r="S242" s="9"/>
      <c r="T242" s="9"/>
      <c r="U242" s="9"/>
      <c r="V242" s="9"/>
      <c r="W242" s="9"/>
      <c r="X242" s="9"/>
      <c r="Y242" s="9"/>
      <c r="Z242" s="9"/>
      <c r="AA242" s="9"/>
      <c r="AB242" s="9"/>
      <c r="AC242" s="9"/>
      <c r="AD242" s="9"/>
      <c r="AE242" s="9"/>
      <c r="AF242" s="9"/>
    </row>
    <row r="243" spans="1:32" ht="54.95" customHeight="1" x14ac:dyDescent="0.2">
      <c r="A243" s="56"/>
      <c r="B243" s="9"/>
      <c r="C243" s="9"/>
      <c r="D243" s="9"/>
      <c r="E243" s="9"/>
      <c r="F243" s="9"/>
      <c r="G243" s="9"/>
      <c r="H243" s="9"/>
      <c r="I243" s="58"/>
      <c r="J243" s="9"/>
      <c r="K243" s="9"/>
      <c r="L243" s="9"/>
      <c r="M243" s="9"/>
      <c r="N243" s="9"/>
      <c r="O243" s="9"/>
      <c r="P243" s="9"/>
      <c r="Q243" s="9"/>
      <c r="R243" s="9"/>
      <c r="S243" s="9"/>
      <c r="T243" s="9"/>
      <c r="U243" s="9"/>
      <c r="V243" s="9"/>
      <c r="W243" s="9"/>
      <c r="X243" s="9"/>
      <c r="Y243" s="9"/>
      <c r="Z243" s="9"/>
      <c r="AA243" s="9"/>
      <c r="AB243" s="9"/>
      <c r="AC243" s="9"/>
      <c r="AD243" s="9"/>
      <c r="AE243" s="9"/>
      <c r="AF243" s="9"/>
    </row>
    <row r="244" spans="1:32" ht="54.95" customHeight="1" x14ac:dyDescent="0.2">
      <c r="A244" s="56"/>
      <c r="B244" s="9"/>
      <c r="C244" s="9"/>
      <c r="D244" s="9"/>
      <c r="E244" s="9"/>
      <c r="F244" s="9"/>
      <c r="G244" s="9"/>
      <c r="H244" s="9"/>
      <c r="I244" s="58"/>
      <c r="J244" s="9"/>
      <c r="K244" s="9"/>
      <c r="L244" s="9"/>
      <c r="M244" s="9"/>
      <c r="N244" s="9"/>
      <c r="O244" s="9"/>
      <c r="P244" s="9"/>
      <c r="Q244" s="9"/>
      <c r="R244" s="9"/>
      <c r="S244" s="9"/>
      <c r="T244" s="9"/>
      <c r="U244" s="9"/>
      <c r="V244" s="9"/>
      <c r="W244" s="9"/>
      <c r="X244" s="9"/>
      <c r="Y244" s="9"/>
      <c r="Z244" s="9"/>
      <c r="AA244" s="9"/>
      <c r="AB244" s="9"/>
      <c r="AC244" s="9"/>
      <c r="AD244" s="9"/>
      <c r="AE244" s="9"/>
      <c r="AF244" s="9"/>
    </row>
    <row r="245" spans="1:32" ht="54.95" customHeight="1" x14ac:dyDescent="0.2">
      <c r="A245" s="56"/>
      <c r="B245" s="9"/>
      <c r="C245" s="9"/>
      <c r="D245" s="9"/>
      <c r="E245" s="9"/>
      <c r="F245" s="9"/>
      <c r="G245" s="9"/>
      <c r="H245" s="9"/>
      <c r="I245" s="58"/>
      <c r="J245" s="9"/>
      <c r="K245" s="9"/>
      <c r="L245" s="9"/>
      <c r="M245" s="9"/>
      <c r="N245" s="9"/>
      <c r="O245" s="9"/>
      <c r="P245" s="9"/>
      <c r="Q245" s="9"/>
      <c r="R245" s="9"/>
      <c r="S245" s="9"/>
      <c r="T245" s="9"/>
      <c r="U245" s="9"/>
      <c r="V245" s="9"/>
      <c r="W245" s="9"/>
      <c r="X245" s="9"/>
      <c r="Y245" s="9"/>
      <c r="Z245" s="9"/>
      <c r="AA245" s="9"/>
      <c r="AB245" s="9"/>
      <c r="AC245" s="9"/>
      <c r="AD245" s="9"/>
      <c r="AE245" s="9"/>
      <c r="AF245" s="9"/>
    </row>
    <row r="246" spans="1:32" ht="54.95" customHeight="1" x14ac:dyDescent="0.2">
      <c r="A246" s="56"/>
      <c r="B246" s="9"/>
      <c r="C246" s="9"/>
      <c r="D246" s="9"/>
      <c r="E246" s="9"/>
      <c r="F246" s="9"/>
      <c r="G246" s="9"/>
      <c r="H246" s="9"/>
      <c r="I246" s="58"/>
      <c r="J246" s="9"/>
      <c r="K246" s="9"/>
      <c r="L246" s="9"/>
      <c r="M246" s="9"/>
      <c r="N246" s="9"/>
      <c r="O246" s="9"/>
      <c r="P246" s="9"/>
      <c r="Q246" s="9"/>
      <c r="R246" s="9"/>
      <c r="S246" s="9"/>
      <c r="T246" s="9"/>
      <c r="U246" s="9"/>
      <c r="V246" s="9"/>
      <c r="W246" s="9"/>
      <c r="X246" s="9"/>
      <c r="Y246" s="9"/>
      <c r="Z246" s="9"/>
      <c r="AA246" s="9"/>
      <c r="AB246" s="9"/>
      <c r="AC246" s="9"/>
      <c r="AD246" s="9"/>
      <c r="AE246" s="9"/>
      <c r="AF246" s="9"/>
    </row>
    <row r="247" spans="1:32" ht="54.95" customHeight="1" x14ac:dyDescent="0.2">
      <c r="A247" s="56"/>
      <c r="B247" s="9"/>
      <c r="C247" s="9"/>
      <c r="D247" s="9"/>
      <c r="E247" s="9"/>
      <c r="F247" s="9"/>
      <c r="G247" s="9"/>
      <c r="H247" s="9"/>
      <c r="I247" s="58"/>
      <c r="J247" s="9"/>
      <c r="K247" s="9"/>
      <c r="L247" s="9"/>
      <c r="M247" s="9"/>
      <c r="N247" s="9"/>
      <c r="O247" s="9"/>
      <c r="P247" s="9"/>
      <c r="Q247" s="9"/>
      <c r="R247" s="9"/>
      <c r="S247" s="9"/>
      <c r="T247" s="9"/>
      <c r="U247" s="9"/>
      <c r="V247" s="9"/>
      <c r="W247" s="9"/>
      <c r="X247" s="9"/>
      <c r="Y247" s="9"/>
      <c r="Z247" s="9"/>
      <c r="AA247" s="9"/>
      <c r="AB247" s="9"/>
      <c r="AC247" s="9"/>
      <c r="AD247" s="9"/>
      <c r="AE247" s="9"/>
      <c r="AF247" s="9"/>
    </row>
    <row r="248" spans="1:32" ht="54.95" customHeight="1" x14ac:dyDescent="0.2">
      <c r="A248" s="56"/>
      <c r="B248" s="9"/>
      <c r="C248" s="9"/>
      <c r="D248" s="9"/>
      <c r="E248" s="9"/>
      <c r="F248" s="9"/>
      <c r="G248" s="9"/>
      <c r="H248" s="9"/>
      <c r="I248" s="58"/>
      <c r="J248" s="9"/>
      <c r="K248" s="9"/>
      <c r="L248" s="9"/>
      <c r="M248" s="9"/>
      <c r="N248" s="9"/>
      <c r="O248" s="9"/>
      <c r="P248" s="9"/>
      <c r="Q248" s="9"/>
      <c r="R248" s="9"/>
      <c r="S248" s="9"/>
      <c r="T248" s="9"/>
      <c r="U248" s="9"/>
      <c r="V248" s="9"/>
      <c r="W248" s="9"/>
      <c r="X248" s="9"/>
      <c r="Y248" s="9"/>
      <c r="Z248" s="9"/>
      <c r="AA248" s="9"/>
      <c r="AB248" s="9"/>
      <c r="AC248" s="9"/>
      <c r="AD248" s="9"/>
      <c r="AE248" s="9"/>
      <c r="AF248" s="9"/>
    </row>
    <row r="249" spans="1:32" ht="54.95" customHeight="1" x14ac:dyDescent="0.2">
      <c r="A249" s="56"/>
      <c r="B249" s="9"/>
      <c r="C249" s="9"/>
      <c r="D249" s="9"/>
      <c r="E249" s="9"/>
      <c r="F249" s="9"/>
      <c r="G249" s="9"/>
      <c r="H249" s="9"/>
      <c r="I249" s="58"/>
      <c r="J249" s="9"/>
      <c r="K249" s="9"/>
      <c r="L249" s="9"/>
      <c r="M249" s="9"/>
      <c r="N249" s="9"/>
      <c r="O249" s="9"/>
      <c r="P249" s="9"/>
      <c r="Q249" s="9"/>
      <c r="R249" s="9"/>
      <c r="S249" s="9"/>
      <c r="T249" s="9"/>
      <c r="U249" s="9"/>
      <c r="V249" s="9"/>
      <c r="W249" s="9"/>
      <c r="X249" s="9"/>
      <c r="Y249" s="9"/>
      <c r="Z249" s="9"/>
      <c r="AA249" s="9"/>
      <c r="AB249" s="9"/>
      <c r="AC249" s="9"/>
      <c r="AD249" s="9"/>
      <c r="AE249" s="9"/>
      <c r="AF249" s="9"/>
    </row>
    <row r="250" spans="1:32" ht="54.95" customHeight="1" x14ac:dyDescent="0.2">
      <c r="A250" s="56"/>
      <c r="B250" s="9"/>
      <c r="C250" s="9"/>
      <c r="D250" s="9"/>
      <c r="E250" s="9"/>
      <c r="F250" s="9"/>
      <c r="G250" s="9"/>
      <c r="H250" s="9"/>
      <c r="I250" s="58"/>
      <c r="J250" s="9"/>
      <c r="K250" s="9"/>
      <c r="L250" s="9"/>
      <c r="M250" s="9"/>
      <c r="N250" s="9"/>
      <c r="O250" s="9"/>
      <c r="P250" s="9"/>
      <c r="Q250" s="9"/>
      <c r="R250" s="9"/>
      <c r="S250" s="9"/>
      <c r="T250" s="9"/>
      <c r="U250" s="9"/>
      <c r="V250" s="9"/>
      <c r="W250" s="9"/>
      <c r="X250" s="9"/>
      <c r="Y250" s="9"/>
      <c r="Z250" s="9"/>
      <c r="AA250" s="9"/>
      <c r="AB250" s="9"/>
      <c r="AC250" s="9"/>
      <c r="AD250" s="9"/>
      <c r="AE250" s="9"/>
      <c r="AF250" s="9"/>
    </row>
    <row r="251" spans="1:32" ht="54.95" customHeight="1" x14ac:dyDescent="0.2">
      <c r="A251" s="56"/>
      <c r="B251" s="9"/>
      <c r="C251" s="9"/>
      <c r="D251" s="9"/>
      <c r="E251" s="9"/>
      <c r="F251" s="9"/>
      <c r="G251" s="9"/>
      <c r="H251" s="9"/>
      <c r="I251" s="58"/>
      <c r="J251" s="9"/>
      <c r="K251" s="9"/>
      <c r="L251" s="9"/>
      <c r="M251" s="9"/>
      <c r="N251" s="9"/>
      <c r="O251" s="9"/>
      <c r="P251" s="9"/>
      <c r="Q251" s="9"/>
      <c r="R251" s="9"/>
      <c r="S251" s="9"/>
      <c r="T251" s="9"/>
      <c r="U251" s="9"/>
      <c r="V251" s="9"/>
      <c r="W251" s="9"/>
      <c r="X251" s="9"/>
      <c r="Y251" s="9"/>
      <c r="Z251" s="9"/>
      <c r="AA251" s="9"/>
      <c r="AB251" s="9"/>
      <c r="AC251" s="9"/>
      <c r="AD251" s="9"/>
      <c r="AE251" s="9"/>
      <c r="AF251" s="9"/>
    </row>
    <row r="252" spans="1:32" ht="54.95" customHeight="1" x14ac:dyDescent="0.2">
      <c r="A252" s="56"/>
      <c r="B252" s="9"/>
      <c r="C252" s="9"/>
      <c r="D252" s="9"/>
      <c r="E252" s="9"/>
      <c r="F252" s="9"/>
      <c r="G252" s="9"/>
      <c r="H252" s="9"/>
      <c r="I252" s="58"/>
      <c r="J252" s="9"/>
      <c r="K252" s="9"/>
      <c r="L252" s="9"/>
      <c r="M252" s="9"/>
      <c r="N252" s="9"/>
      <c r="O252" s="9"/>
      <c r="P252" s="9"/>
      <c r="Q252" s="9"/>
      <c r="R252" s="9"/>
      <c r="S252" s="9"/>
      <c r="T252" s="9"/>
      <c r="U252" s="9"/>
      <c r="V252" s="9"/>
      <c r="W252" s="9"/>
      <c r="X252" s="9"/>
      <c r="Y252" s="9"/>
      <c r="Z252" s="9"/>
      <c r="AA252" s="9"/>
      <c r="AB252" s="9"/>
      <c r="AC252" s="9"/>
      <c r="AD252" s="9"/>
      <c r="AE252" s="9"/>
      <c r="AF252" s="9"/>
    </row>
    <row r="253" spans="1:32" ht="54.95" customHeight="1" x14ac:dyDescent="0.2">
      <c r="A253" s="56"/>
      <c r="B253" s="9"/>
      <c r="C253" s="9"/>
      <c r="D253" s="9"/>
      <c r="E253" s="9"/>
      <c r="F253" s="9"/>
      <c r="G253" s="9"/>
      <c r="H253" s="9"/>
      <c r="I253" s="58"/>
      <c r="J253" s="9"/>
      <c r="K253" s="9"/>
      <c r="L253" s="9"/>
      <c r="M253" s="9"/>
      <c r="N253" s="9"/>
      <c r="O253" s="9"/>
      <c r="P253" s="9"/>
      <c r="Q253" s="9"/>
      <c r="R253" s="9"/>
      <c r="S253" s="9"/>
      <c r="T253" s="9"/>
      <c r="U253" s="9"/>
      <c r="V253" s="9"/>
      <c r="W253" s="9"/>
      <c r="X253" s="9"/>
      <c r="Y253" s="9"/>
      <c r="Z253" s="9"/>
      <c r="AA253" s="9"/>
      <c r="AB253" s="9"/>
      <c r="AC253" s="9"/>
      <c r="AD253" s="9"/>
      <c r="AE253" s="9"/>
      <c r="AF253" s="9"/>
    </row>
    <row r="254" spans="1:32" ht="54.95" customHeight="1" x14ac:dyDescent="0.2">
      <c r="A254" s="56"/>
      <c r="B254" s="9"/>
      <c r="C254" s="9"/>
      <c r="D254" s="9"/>
      <c r="E254" s="9"/>
      <c r="F254" s="9"/>
      <c r="G254" s="9"/>
      <c r="H254" s="9"/>
      <c r="I254" s="58"/>
      <c r="J254" s="9"/>
      <c r="K254" s="9"/>
      <c r="L254" s="9"/>
      <c r="M254" s="9"/>
      <c r="N254" s="9"/>
      <c r="O254" s="9"/>
      <c r="P254" s="9"/>
      <c r="Q254" s="9"/>
      <c r="R254" s="9"/>
      <c r="S254" s="9"/>
      <c r="T254" s="9"/>
      <c r="U254" s="9"/>
      <c r="V254" s="9"/>
      <c r="W254" s="9"/>
      <c r="X254" s="9"/>
      <c r="Y254" s="9"/>
      <c r="Z254" s="9"/>
      <c r="AA254" s="9"/>
      <c r="AB254" s="9"/>
      <c r="AC254" s="9"/>
      <c r="AD254" s="9"/>
      <c r="AE254" s="9"/>
      <c r="AF254" s="9"/>
    </row>
    <row r="255" spans="1:32" ht="54.95" customHeight="1" x14ac:dyDescent="0.2">
      <c r="A255" s="56"/>
      <c r="B255" s="9"/>
      <c r="C255" s="9"/>
      <c r="D255" s="9"/>
      <c r="E255" s="9"/>
      <c r="F255" s="9"/>
      <c r="G255" s="9"/>
      <c r="H255" s="9"/>
      <c r="I255" s="58"/>
      <c r="J255" s="9"/>
      <c r="K255" s="9"/>
      <c r="L255" s="9"/>
      <c r="M255" s="9"/>
      <c r="N255" s="9"/>
      <c r="O255" s="9"/>
      <c r="P255" s="9"/>
      <c r="Q255" s="9"/>
      <c r="R255" s="9"/>
      <c r="S255" s="9"/>
      <c r="T255" s="9"/>
      <c r="U255" s="9"/>
      <c r="V255" s="9"/>
      <c r="W255" s="9"/>
      <c r="X255" s="9"/>
      <c r="Y255" s="9"/>
      <c r="Z255" s="9"/>
      <c r="AA255" s="9"/>
      <c r="AB255" s="9"/>
      <c r="AC255" s="9"/>
      <c r="AD255" s="9"/>
      <c r="AE255" s="9"/>
      <c r="AF255" s="9"/>
    </row>
    <row r="256" spans="1:32" ht="54.95" customHeight="1" x14ac:dyDescent="0.2">
      <c r="A256" s="56"/>
      <c r="B256" s="9"/>
      <c r="C256" s="9"/>
      <c r="D256" s="9"/>
      <c r="E256" s="9"/>
      <c r="F256" s="9"/>
      <c r="G256" s="9"/>
      <c r="H256" s="9"/>
      <c r="I256" s="58"/>
      <c r="J256" s="9"/>
      <c r="K256" s="9"/>
      <c r="L256" s="9"/>
      <c r="M256" s="9"/>
      <c r="N256" s="9"/>
      <c r="O256" s="9"/>
      <c r="P256" s="9"/>
      <c r="Q256" s="9"/>
      <c r="R256" s="9"/>
      <c r="S256" s="9"/>
      <c r="T256" s="9"/>
      <c r="U256" s="9"/>
      <c r="V256" s="9"/>
      <c r="W256" s="9"/>
      <c r="X256" s="9"/>
      <c r="Y256" s="9"/>
      <c r="Z256" s="9"/>
      <c r="AA256" s="9"/>
      <c r="AB256" s="9"/>
      <c r="AC256" s="9"/>
      <c r="AD256" s="9"/>
      <c r="AE256" s="9"/>
      <c r="AF256" s="9"/>
    </row>
    <row r="257" spans="1:32" ht="54.95" customHeight="1" x14ac:dyDescent="0.2">
      <c r="A257" s="56"/>
      <c r="B257" s="9"/>
      <c r="C257" s="9"/>
      <c r="D257" s="9"/>
      <c r="E257" s="9"/>
      <c r="F257" s="9"/>
      <c r="G257" s="9"/>
      <c r="H257" s="9"/>
      <c r="I257" s="58"/>
      <c r="J257" s="9"/>
      <c r="K257" s="9"/>
      <c r="L257" s="9"/>
      <c r="M257" s="9"/>
      <c r="N257" s="9"/>
      <c r="O257" s="9"/>
      <c r="P257" s="9"/>
      <c r="Q257" s="9"/>
      <c r="R257" s="9"/>
      <c r="S257" s="9"/>
      <c r="T257" s="9"/>
      <c r="U257" s="9"/>
      <c r="V257" s="9"/>
      <c r="W257" s="9"/>
      <c r="X257" s="9"/>
      <c r="Y257" s="9"/>
      <c r="Z257" s="9"/>
      <c r="AA257" s="9"/>
      <c r="AB257" s="9"/>
      <c r="AC257" s="9"/>
      <c r="AD257" s="9"/>
      <c r="AE257" s="9"/>
      <c r="AF257" s="9"/>
    </row>
    <row r="258" spans="1:32" ht="54.95" customHeight="1" x14ac:dyDescent="0.2">
      <c r="A258" s="56"/>
      <c r="B258" s="9"/>
      <c r="C258" s="9"/>
      <c r="D258" s="9"/>
      <c r="E258" s="9"/>
      <c r="F258" s="9"/>
      <c r="G258" s="9"/>
      <c r="H258" s="9"/>
      <c r="I258" s="58"/>
      <c r="J258" s="9"/>
      <c r="K258" s="9"/>
      <c r="L258" s="9"/>
      <c r="M258" s="9"/>
      <c r="N258" s="9"/>
      <c r="O258" s="9"/>
      <c r="P258" s="9"/>
      <c r="Q258" s="9"/>
      <c r="R258" s="9"/>
      <c r="S258" s="9"/>
      <c r="T258" s="9"/>
      <c r="U258" s="9"/>
      <c r="V258" s="9"/>
      <c r="W258" s="9"/>
      <c r="X258" s="9"/>
      <c r="Y258" s="9"/>
      <c r="Z258" s="9"/>
      <c r="AA258" s="9"/>
      <c r="AB258" s="9"/>
      <c r="AC258" s="9"/>
      <c r="AD258" s="9"/>
      <c r="AE258" s="9"/>
      <c r="AF258" s="9"/>
    </row>
    <row r="259" spans="1:32" ht="54.95" customHeight="1" x14ac:dyDescent="0.2">
      <c r="A259" s="56"/>
      <c r="B259" s="9"/>
      <c r="C259" s="9"/>
      <c r="D259" s="9"/>
      <c r="E259" s="9"/>
      <c r="F259" s="9"/>
      <c r="G259" s="9"/>
      <c r="H259" s="9"/>
      <c r="I259" s="58"/>
      <c r="J259" s="9"/>
      <c r="K259" s="9"/>
      <c r="L259" s="9"/>
      <c r="M259" s="9"/>
      <c r="N259" s="9"/>
      <c r="O259" s="9"/>
      <c r="P259" s="9"/>
      <c r="Q259" s="9"/>
      <c r="R259" s="9"/>
      <c r="S259" s="9"/>
      <c r="T259" s="9"/>
      <c r="U259" s="9"/>
      <c r="V259" s="9"/>
      <c r="W259" s="9"/>
      <c r="X259" s="9"/>
      <c r="Y259" s="9"/>
      <c r="Z259" s="9"/>
      <c r="AA259" s="9"/>
      <c r="AB259" s="9"/>
      <c r="AC259" s="9"/>
      <c r="AD259" s="9"/>
      <c r="AE259" s="9"/>
      <c r="AF259" s="9"/>
    </row>
    <row r="260" spans="1:32" ht="54.95" customHeight="1" x14ac:dyDescent="0.2">
      <c r="A260" s="56"/>
      <c r="B260" s="9"/>
      <c r="C260" s="9"/>
      <c r="D260" s="9"/>
      <c r="E260" s="9"/>
      <c r="F260" s="9"/>
      <c r="G260" s="9"/>
      <c r="H260" s="9"/>
      <c r="I260" s="58"/>
      <c r="J260" s="9"/>
      <c r="K260" s="9"/>
      <c r="L260" s="9"/>
      <c r="M260" s="9"/>
      <c r="N260" s="9"/>
      <c r="O260" s="9"/>
      <c r="P260" s="9"/>
      <c r="Q260" s="9"/>
      <c r="R260" s="9"/>
      <c r="S260" s="9"/>
      <c r="T260" s="9"/>
      <c r="U260" s="9"/>
      <c r="V260" s="9"/>
      <c r="W260" s="9"/>
      <c r="X260" s="9"/>
      <c r="Y260" s="9"/>
      <c r="Z260" s="9"/>
      <c r="AA260" s="9"/>
      <c r="AB260" s="9"/>
      <c r="AC260" s="9"/>
      <c r="AD260" s="9"/>
      <c r="AE260" s="9"/>
      <c r="AF260" s="9"/>
    </row>
    <row r="261" spans="1:32" ht="54.95" customHeight="1" x14ac:dyDescent="0.2">
      <c r="A261" s="56"/>
      <c r="B261" s="9"/>
      <c r="C261" s="9"/>
      <c r="D261" s="9"/>
      <c r="E261" s="9"/>
      <c r="F261" s="9"/>
      <c r="G261" s="9"/>
      <c r="H261" s="9"/>
      <c r="I261" s="58"/>
      <c r="J261" s="9"/>
      <c r="K261" s="9"/>
      <c r="L261" s="9"/>
      <c r="M261" s="9"/>
      <c r="N261" s="9"/>
      <c r="O261" s="9"/>
      <c r="P261" s="9"/>
      <c r="Q261" s="9"/>
      <c r="R261" s="9"/>
      <c r="S261" s="9"/>
      <c r="T261" s="9"/>
      <c r="U261" s="9"/>
      <c r="V261" s="9"/>
      <c r="W261" s="9"/>
      <c r="X261" s="9"/>
      <c r="Y261" s="9"/>
      <c r="Z261" s="9"/>
      <c r="AA261" s="9"/>
      <c r="AB261" s="9"/>
      <c r="AC261" s="9"/>
      <c r="AD261" s="9"/>
      <c r="AE261" s="9"/>
      <c r="AF261" s="9"/>
    </row>
    <row r="262" spans="1:32" ht="54.95" customHeight="1" x14ac:dyDescent="0.2">
      <c r="A262" s="56"/>
      <c r="B262" s="9"/>
      <c r="C262" s="9"/>
      <c r="D262" s="9"/>
      <c r="E262" s="9"/>
      <c r="F262" s="9"/>
      <c r="G262" s="9"/>
      <c r="H262" s="9"/>
      <c r="I262" s="58"/>
      <c r="J262" s="9"/>
      <c r="K262" s="9"/>
      <c r="L262" s="9"/>
      <c r="M262" s="9"/>
      <c r="N262" s="9"/>
      <c r="O262" s="9"/>
      <c r="P262" s="9"/>
      <c r="Q262" s="9"/>
      <c r="R262" s="9"/>
      <c r="S262" s="9"/>
      <c r="T262" s="9"/>
      <c r="U262" s="9"/>
      <c r="V262" s="9"/>
      <c r="W262" s="9"/>
      <c r="X262" s="9"/>
      <c r="Y262" s="9"/>
      <c r="Z262" s="9"/>
      <c r="AA262" s="9"/>
      <c r="AB262" s="9"/>
      <c r="AC262" s="9"/>
      <c r="AD262" s="9"/>
      <c r="AE262" s="9"/>
      <c r="AF262" s="9"/>
    </row>
    <row r="263" spans="1:32" ht="54.95" customHeight="1" x14ac:dyDescent="0.2">
      <c r="A263" s="56"/>
      <c r="B263" s="9"/>
      <c r="C263" s="9"/>
      <c r="D263" s="9"/>
      <c r="E263" s="9"/>
      <c r="F263" s="9"/>
      <c r="G263" s="9"/>
      <c r="H263" s="9"/>
      <c r="I263" s="58"/>
      <c r="J263" s="9"/>
      <c r="K263" s="9"/>
      <c r="L263" s="9"/>
      <c r="M263" s="9"/>
      <c r="N263" s="9"/>
      <c r="O263" s="9"/>
      <c r="P263" s="9"/>
      <c r="Q263" s="9"/>
      <c r="R263" s="9"/>
      <c r="S263" s="9"/>
      <c r="T263" s="9"/>
      <c r="U263" s="9"/>
      <c r="V263" s="9"/>
      <c r="W263" s="9"/>
      <c r="X263" s="9"/>
      <c r="Y263" s="9"/>
      <c r="Z263" s="9"/>
      <c r="AA263" s="9"/>
      <c r="AB263" s="9"/>
      <c r="AC263" s="9"/>
      <c r="AD263" s="9"/>
      <c r="AE263" s="9"/>
      <c r="AF263" s="9"/>
    </row>
    <row r="264" spans="1:32" ht="54.95" customHeight="1" x14ac:dyDescent="0.2">
      <c r="A264" s="56"/>
      <c r="B264" s="9"/>
      <c r="C264" s="9"/>
      <c r="D264" s="9"/>
      <c r="E264" s="9"/>
      <c r="F264" s="9"/>
      <c r="G264" s="9"/>
      <c r="H264" s="9"/>
      <c r="I264" s="58"/>
      <c r="J264" s="9"/>
      <c r="K264" s="9"/>
      <c r="L264" s="9"/>
      <c r="M264" s="9"/>
      <c r="N264" s="9"/>
      <c r="O264" s="9"/>
      <c r="P264" s="9"/>
      <c r="Q264" s="9"/>
      <c r="R264" s="9"/>
      <c r="S264" s="9"/>
      <c r="T264" s="9"/>
      <c r="U264" s="9"/>
      <c r="V264" s="9"/>
      <c r="W264" s="9"/>
      <c r="X264" s="9"/>
      <c r="Y264" s="9"/>
      <c r="Z264" s="9"/>
      <c r="AA264" s="9"/>
      <c r="AB264" s="9"/>
      <c r="AC264" s="9"/>
      <c r="AD264" s="9"/>
      <c r="AE264" s="9"/>
      <c r="AF264" s="9"/>
    </row>
    <row r="265" spans="1:32" ht="54.95" customHeight="1" x14ac:dyDescent="0.2">
      <c r="A265" s="56"/>
      <c r="B265" s="9"/>
      <c r="C265" s="9"/>
      <c r="D265" s="9"/>
      <c r="E265" s="9"/>
      <c r="F265" s="9"/>
      <c r="G265" s="9"/>
      <c r="H265" s="9"/>
      <c r="I265" s="58"/>
      <c r="J265" s="9"/>
      <c r="K265" s="9"/>
      <c r="L265" s="9"/>
      <c r="M265" s="9"/>
      <c r="N265" s="9"/>
      <c r="O265" s="9"/>
      <c r="P265" s="9"/>
      <c r="Q265" s="9"/>
      <c r="R265" s="9"/>
      <c r="S265" s="9"/>
      <c r="T265" s="9"/>
      <c r="U265" s="9"/>
      <c r="V265" s="9"/>
      <c r="W265" s="9"/>
      <c r="X265" s="9"/>
      <c r="Y265" s="9"/>
      <c r="Z265" s="9"/>
      <c r="AA265" s="9"/>
      <c r="AB265" s="9"/>
      <c r="AC265" s="9"/>
      <c r="AD265" s="9"/>
      <c r="AE265" s="9"/>
      <c r="AF265" s="9"/>
    </row>
    <row r="266" spans="1:32" ht="54.95" customHeight="1" x14ac:dyDescent="0.2">
      <c r="A266" s="56"/>
      <c r="B266" s="9"/>
      <c r="C266" s="9"/>
      <c r="D266" s="9"/>
      <c r="E266" s="9"/>
      <c r="F266" s="9"/>
      <c r="G266" s="9"/>
      <c r="H266" s="9"/>
      <c r="I266" s="58"/>
      <c r="J266" s="9"/>
      <c r="K266" s="9"/>
      <c r="L266" s="9"/>
      <c r="M266" s="9"/>
      <c r="N266" s="9"/>
      <c r="O266" s="9"/>
      <c r="P266" s="9"/>
      <c r="Q266" s="9"/>
      <c r="R266" s="9"/>
      <c r="S266" s="9"/>
      <c r="T266" s="9"/>
      <c r="U266" s="9"/>
      <c r="V266" s="9"/>
      <c r="W266" s="9"/>
      <c r="X266" s="9"/>
      <c r="Y266" s="9"/>
      <c r="Z266" s="9"/>
      <c r="AA266" s="9"/>
      <c r="AB266" s="9"/>
      <c r="AC266" s="9"/>
      <c r="AD266" s="9"/>
      <c r="AE266" s="9"/>
      <c r="AF266" s="9"/>
    </row>
    <row r="267" spans="1:32" ht="54.95" customHeight="1" x14ac:dyDescent="0.2">
      <c r="A267" s="56"/>
      <c r="B267" s="9"/>
      <c r="C267" s="9"/>
      <c r="D267" s="9"/>
      <c r="E267" s="9"/>
      <c r="F267" s="9"/>
      <c r="G267" s="9"/>
      <c r="H267" s="9"/>
      <c r="I267" s="58"/>
      <c r="J267" s="9"/>
      <c r="K267" s="9"/>
      <c r="L267" s="9"/>
      <c r="M267" s="9"/>
      <c r="N267" s="9"/>
      <c r="O267" s="9"/>
      <c r="P267" s="9"/>
      <c r="Q267" s="9"/>
      <c r="R267" s="9"/>
      <c r="S267" s="9"/>
      <c r="T267" s="9"/>
      <c r="U267" s="9"/>
      <c r="V267" s="9"/>
      <c r="W267" s="9"/>
      <c r="X267" s="9"/>
      <c r="Y267" s="9"/>
      <c r="Z267" s="9"/>
      <c r="AA267" s="9"/>
      <c r="AB267" s="9"/>
      <c r="AC267" s="9"/>
      <c r="AD267" s="9"/>
      <c r="AE267" s="9"/>
      <c r="AF267" s="9"/>
    </row>
    <row r="268" spans="1:32" ht="54.95" customHeight="1" x14ac:dyDescent="0.2">
      <c r="A268" s="56"/>
      <c r="B268" s="9"/>
      <c r="C268" s="9"/>
      <c r="D268" s="9"/>
      <c r="E268" s="9"/>
      <c r="F268" s="9"/>
      <c r="G268" s="9"/>
      <c r="H268" s="9"/>
      <c r="I268" s="58"/>
      <c r="J268" s="9"/>
      <c r="K268" s="9"/>
      <c r="L268" s="9"/>
      <c r="M268" s="9"/>
      <c r="N268" s="9"/>
      <c r="O268" s="9"/>
      <c r="P268" s="9"/>
      <c r="Q268" s="9"/>
      <c r="R268" s="9"/>
      <c r="S268" s="9"/>
      <c r="T268" s="9"/>
      <c r="U268" s="9"/>
      <c r="V268" s="9"/>
      <c r="W268" s="9"/>
      <c r="X268" s="9"/>
      <c r="Y268" s="9"/>
      <c r="Z268" s="9"/>
      <c r="AA268" s="9"/>
      <c r="AB268" s="9"/>
      <c r="AC268" s="9"/>
      <c r="AD268" s="9"/>
      <c r="AE268" s="9"/>
      <c r="AF268" s="9"/>
    </row>
    <row r="269" spans="1:32" ht="54.95" customHeight="1" x14ac:dyDescent="0.2">
      <c r="A269" s="56"/>
      <c r="B269" s="9"/>
      <c r="C269" s="9"/>
      <c r="D269" s="9"/>
      <c r="E269" s="9"/>
      <c r="F269" s="9"/>
      <c r="G269" s="9"/>
      <c r="H269" s="9"/>
      <c r="I269" s="58"/>
      <c r="J269" s="9"/>
      <c r="K269" s="9"/>
      <c r="L269" s="9"/>
      <c r="M269" s="9"/>
      <c r="N269" s="9"/>
      <c r="O269" s="9"/>
      <c r="P269" s="9"/>
      <c r="Q269" s="9"/>
      <c r="R269" s="9"/>
      <c r="S269" s="9"/>
      <c r="T269" s="9"/>
      <c r="U269" s="9"/>
      <c r="V269" s="9"/>
      <c r="W269" s="9"/>
      <c r="X269" s="9"/>
      <c r="Y269" s="9"/>
      <c r="Z269" s="9"/>
      <c r="AA269" s="9"/>
      <c r="AB269" s="9"/>
      <c r="AC269" s="9"/>
      <c r="AD269" s="9"/>
      <c r="AE269" s="9"/>
      <c r="AF269" s="9"/>
    </row>
    <row r="270" spans="1:32" ht="54.95" customHeight="1" x14ac:dyDescent="0.2">
      <c r="A270" s="56"/>
      <c r="B270" s="9"/>
      <c r="C270" s="9"/>
      <c r="D270" s="9"/>
      <c r="E270" s="9"/>
      <c r="F270" s="9"/>
      <c r="G270" s="9"/>
      <c r="H270" s="9"/>
      <c r="I270" s="58"/>
      <c r="J270" s="9"/>
      <c r="K270" s="9"/>
      <c r="L270" s="9"/>
      <c r="M270" s="9"/>
      <c r="N270" s="9"/>
      <c r="O270" s="9"/>
      <c r="P270" s="9"/>
      <c r="Q270" s="9"/>
      <c r="R270" s="9"/>
      <c r="S270" s="9"/>
      <c r="T270" s="9"/>
      <c r="U270" s="9"/>
      <c r="V270" s="9"/>
      <c r="W270" s="9"/>
      <c r="X270" s="9"/>
      <c r="Y270" s="9"/>
      <c r="Z270" s="9"/>
      <c r="AA270" s="9"/>
      <c r="AB270" s="9"/>
      <c r="AC270" s="9"/>
      <c r="AD270" s="9"/>
      <c r="AE270" s="9"/>
      <c r="AF270" s="9"/>
    </row>
    <row r="271" spans="1:32" ht="54.95" customHeight="1" x14ac:dyDescent="0.2">
      <c r="A271" s="56"/>
      <c r="B271" s="9"/>
      <c r="C271" s="9"/>
      <c r="D271" s="9"/>
      <c r="E271" s="9"/>
      <c r="F271" s="9"/>
      <c r="G271" s="9"/>
      <c r="H271" s="9"/>
      <c r="I271" s="58"/>
      <c r="J271" s="9"/>
      <c r="K271" s="9"/>
      <c r="L271" s="9"/>
      <c r="M271" s="9"/>
      <c r="N271" s="9"/>
      <c r="O271" s="9"/>
      <c r="P271" s="9"/>
      <c r="Q271" s="9"/>
      <c r="R271" s="9"/>
      <c r="S271" s="9"/>
      <c r="T271" s="9"/>
      <c r="U271" s="9"/>
      <c r="V271" s="9"/>
      <c r="W271" s="9"/>
      <c r="X271" s="9"/>
      <c r="Y271" s="9"/>
      <c r="Z271" s="9"/>
      <c r="AA271" s="9"/>
      <c r="AB271" s="9"/>
      <c r="AC271" s="9"/>
      <c r="AD271" s="9"/>
      <c r="AE271" s="9"/>
      <c r="AF271" s="9"/>
    </row>
    <row r="272" spans="1:32" ht="54.95" customHeight="1" x14ac:dyDescent="0.2">
      <c r="A272" s="56"/>
      <c r="B272" s="9"/>
      <c r="C272" s="9"/>
      <c r="D272" s="9"/>
      <c r="E272" s="9"/>
      <c r="F272" s="9"/>
      <c r="G272" s="9"/>
      <c r="H272" s="9"/>
      <c r="I272" s="58"/>
      <c r="J272" s="9"/>
      <c r="K272" s="9"/>
      <c r="L272" s="9"/>
      <c r="M272" s="9"/>
      <c r="N272" s="9"/>
      <c r="O272" s="9"/>
      <c r="P272" s="9"/>
      <c r="Q272" s="9"/>
      <c r="R272" s="9"/>
      <c r="S272" s="9"/>
      <c r="T272" s="9"/>
      <c r="U272" s="9"/>
      <c r="V272" s="9"/>
      <c r="W272" s="9"/>
      <c r="X272" s="9"/>
      <c r="Y272" s="9"/>
      <c r="Z272" s="9"/>
      <c r="AA272" s="9"/>
      <c r="AB272" s="9"/>
      <c r="AC272" s="9"/>
      <c r="AD272" s="9"/>
      <c r="AE272" s="9"/>
      <c r="AF272" s="9"/>
    </row>
    <row r="273" spans="1:32" ht="54.95" customHeight="1" x14ac:dyDescent="0.2">
      <c r="A273" s="56"/>
      <c r="B273" s="9"/>
      <c r="C273" s="9"/>
      <c r="D273" s="9"/>
      <c r="E273" s="9"/>
      <c r="F273" s="9"/>
      <c r="G273" s="9"/>
      <c r="H273" s="9"/>
      <c r="I273" s="58"/>
      <c r="J273" s="9"/>
      <c r="K273" s="9"/>
      <c r="L273" s="9"/>
      <c r="M273" s="9"/>
      <c r="N273" s="9"/>
      <c r="O273" s="9"/>
      <c r="P273" s="9"/>
      <c r="Q273" s="9"/>
      <c r="R273" s="9"/>
      <c r="S273" s="9"/>
      <c r="T273" s="9"/>
      <c r="U273" s="9"/>
      <c r="V273" s="9"/>
      <c r="W273" s="9"/>
      <c r="X273" s="9"/>
      <c r="Y273" s="9"/>
      <c r="Z273" s="9"/>
      <c r="AA273" s="9"/>
      <c r="AB273" s="9"/>
      <c r="AC273" s="9"/>
      <c r="AD273" s="9"/>
      <c r="AE273" s="9"/>
      <c r="AF273" s="9"/>
    </row>
    <row r="274" spans="1:32" ht="54.95" customHeight="1" x14ac:dyDescent="0.2">
      <c r="A274" s="56"/>
      <c r="B274" s="9"/>
      <c r="C274" s="9"/>
      <c r="D274" s="9"/>
      <c r="E274" s="9"/>
      <c r="F274" s="9"/>
      <c r="G274" s="9"/>
      <c r="H274" s="9"/>
      <c r="I274" s="58"/>
      <c r="J274" s="9"/>
      <c r="K274" s="9"/>
      <c r="L274" s="9"/>
      <c r="M274" s="9"/>
      <c r="N274" s="9"/>
      <c r="O274" s="9"/>
      <c r="P274" s="9"/>
      <c r="Q274" s="9"/>
      <c r="R274" s="9"/>
      <c r="S274" s="9"/>
      <c r="T274" s="9"/>
      <c r="U274" s="9"/>
      <c r="V274" s="9"/>
      <c r="W274" s="9"/>
      <c r="X274" s="9"/>
      <c r="Y274" s="9"/>
      <c r="Z274" s="9"/>
      <c r="AA274" s="9"/>
      <c r="AB274" s="9"/>
      <c r="AC274" s="9"/>
      <c r="AD274" s="9"/>
      <c r="AE274" s="9"/>
      <c r="AF274" s="9"/>
    </row>
    <row r="275" spans="1:32" ht="54.95" customHeight="1" x14ac:dyDescent="0.2">
      <c r="A275" s="56"/>
      <c r="B275" s="9"/>
      <c r="C275" s="9"/>
      <c r="D275" s="9"/>
      <c r="E275" s="9"/>
      <c r="F275" s="9"/>
      <c r="G275" s="9"/>
      <c r="H275" s="9"/>
      <c r="I275" s="58"/>
      <c r="J275" s="9"/>
      <c r="K275" s="9"/>
      <c r="L275" s="9"/>
      <c r="M275" s="9"/>
      <c r="N275" s="9"/>
      <c r="O275" s="9"/>
      <c r="P275" s="9"/>
      <c r="Q275" s="9"/>
      <c r="R275" s="9"/>
      <c r="S275" s="9"/>
      <c r="T275" s="9"/>
      <c r="U275" s="9"/>
      <c r="V275" s="9"/>
      <c r="W275" s="9"/>
      <c r="X275" s="9"/>
      <c r="Y275" s="9"/>
      <c r="Z275" s="9"/>
      <c r="AA275" s="9"/>
      <c r="AB275" s="9"/>
      <c r="AC275" s="9"/>
      <c r="AD275" s="9"/>
      <c r="AE275" s="9"/>
      <c r="AF275" s="9"/>
    </row>
    <row r="276" spans="1:32" ht="54.95" customHeight="1" x14ac:dyDescent="0.2">
      <c r="A276" s="56"/>
      <c r="B276" s="9"/>
      <c r="C276" s="9"/>
      <c r="D276" s="9"/>
      <c r="E276" s="9"/>
      <c r="F276" s="9"/>
      <c r="G276" s="9"/>
      <c r="H276" s="9"/>
      <c r="I276" s="58"/>
      <c r="J276" s="9"/>
      <c r="K276" s="9"/>
      <c r="L276" s="9"/>
      <c r="M276" s="9"/>
      <c r="N276" s="9"/>
      <c r="O276" s="9"/>
      <c r="P276" s="9"/>
      <c r="Q276" s="9"/>
      <c r="R276" s="9"/>
      <c r="S276" s="9"/>
      <c r="T276" s="9"/>
      <c r="U276" s="9"/>
      <c r="V276" s="9"/>
      <c r="W276" s="9"/>
      <c r="X276" s="9"/>
      <c r="Y276" s="9"/>
      <c r="Z276" s="9"/>
      <c r="AA276" s="9"/>
      <c r="AB276" s="9"/>
      <c r="AC276" s="9"/>
      <c r="AD276" s="9"/>
      <c r="AE276" s="9"/>
      <c r="AF276" s="9"/>
    </row>
    <row r="277" spans="1:32" ht="54.95" customHeight="1" x14ac:dyDescent="0.2">
      <c r="A277" s="56"/>
      <c r="B277" s="9"/>
      <c r="C277" s="9"/>
      <c r="D277" s="9"/>
      <c r="E277" s="9"/>
      <c r="F277" s="9"/>
      <c r="G277" s="9"/>
      <c r="H277" s="9"/>
      <c r="I277" s="58"/>
      <c r="J277" s="9"/>
      <c r="K277" s="9"/>
      <c r="L277" s="9"/>
      <c r="M277" s="9"/>
      <c r="N277" s="9"/>
      <c r="O277" s="9"/>
      <c r="P277" s="9"/>
      <c r="Q277" s="9"/>
      <c r="R277" s="9"/>
      <c r="S277" s="9"/>
      <c r="T277" s="9"/>
      <c r="U277" s="9"/>
      <c r="V277" s="9"/>
      <c r="W277" s="9"/>
      <c r="X277" s="9"/>
      <c r="Y277" s="9"/>
      <c r="Z277" s="9"/>
      <c r="AA277" s="9"/>
      <c r="AB277" s="9"/>
      <c r="AC277" s="9"/>
      <c r="AD277" s="9"/>
      <c r="AE277" s="9"/>
      <c r="AF277" s="9"/>
    </row>
    <row r="278" spans="1:32" ht="54.95" customHeight="1" x14ac:dyDescent="0.2">
      <c r="A278" s="56"/>
      <c r="B278" s="9"/>
      <c r="C278" s="9"/>
      <c r="D278" s="9"/>
      <c r="E278" s="9"/>
      <c r="F278" s="9"/>
      <c r="G278" s="9"/>
      <c r="H278" s="9"/>
      <c r="I278" s="58"/>
      <c r="J278" s="9"/>
      <c r="K278" s="9"/>
      <c r="L278" s="9"/>
      <c r="M278" s="9"/>
      <c r="N278" s="9"/>
      <c r="O278" s="9"/>
      <c r="P278" s="9"/>
      <c r="Q278" s="9"/>
      <c r="R278" s="9"/>
      <c r="S278" s="9"/>
      <c r="T278" s="9"/>
      <c r="U278" s="9"/>
      <c r="V278" s="9"/>
      <c r="W278" s="9"/>
      <c r="X278" s="9"/>
      <c r="Y278" s="9"/>
      <c r="Z278" s="9"/>
      <c r="AA278" s="9"/>
      <c r="AB278" s="9"/>
      <c r="AC278" s="9"/>
      <c r="AD278" s="9"/>
      <c r="AE278" s="9"/>
      <c r="AF278" s="9"/>
    </row>
    <row r="279" spans="1:32" ht="54.95" customHeight="1" x14ac:dyDescent="0.2">
      <c r="A279" s="56"/>
      <c r="B279" s="9"/>
      <c r="C279" s="9"/>
      <c r="D279" s="9"/>
      <c r="E279" s="9"/>
      <c r="F279" s="9"/>
      <c r="G279" s="9"/>
      <c r="H279" s="9"/>
      <c r="I279" s="58"/>
      <c r="J279" s="9"/>
      <c r="K279" s="9"/>
      <c r="L279" s="9"/>
      <c r="M279" s="9"/>
      <c r="N279" s="9"/>
      <c r="O279" s="9"/>
      <c r="P279" s="9"/>
      <c r="Q279" s="9"/>
      <c r="R279" s="9"/>
      <c r="S279" s="9"/>
      <c r="T279" s="9"/>
      <c r="U279" s="9"/>
      <c r="V279" s="9"/>
      <c r="W279" s="9"/>
      <c r="X279" s="9"/>
      <c r="Y279" s="9"/>
      <c r="Z279" s="9"/>
      <c r="AA279" s="9"/>
      <c r="AB279" s="9"/>
      <c r="AC279" s="9"/>
      <c r="AD279" s="9"/>
      <c r="AE279" s="9"/>
      <c r="AF279" s="9"/>
    </row>
    <row r="280" spans="1:32" ht="54.95" customHeight="1" x14ac:dyDescent="0.2">
      <c r="A280" s="56"/>
      <c r="B280" s="9"/>
      <c r="C280" s="9"/>
      <c r="D280" s="9"/>
      <c r="E280" s="9"/>
      <c r="F280" s="9"/>
      <c r="G280" s="9"/>
      <c r="H280" s="9"/>
      <c r="I280" s="58"/>
      <c r="J280" s="9"/>
      <c r="K280" s="9"/>
      <c r="L280" s="9"/>
      <c r="M280" s="9"/>
      <c r="N280" s="9"/>
      <c r="O280" s="9"/>
      <c r="P280" s="9"/>
      <c r="Q280" s="9"/>
      <c r="R280" s="9"/>
      <c r="S280" s="9"/>
      <c r="T280" s="9"/>
      <c r="U280" s="9"/>
      <c r="V280" s="9"/>
      <c r="W280" s="9"/>
      <c r="X280" s="9"/>
      <c r="Y280" s="9"/>
      <c r="Z280" s="9"/>
      <c r="AA280" s="9"/>
      <c r="AB280" s="9"/>
      <c r="AC280" s="9"/>
      <c r="AD280" s="9"/>
      <c r="AE280" s="9"/>
      <c r="AF280" s="9"/>
    </row>
    <row r="281" spans="1:32" ht="54.95" customHeight="1" x14ac:dyDescent="0.2">
      <c r="A281" s="56"/>
      <c r="B281" s="9"/>
      <c r="C281" s="9"/>
      <c r="D281" s="9"/>
      <c r="E281" s="9"/>
      <c r="F281" s="9"/>
      <c r="G281" s="9"/>
      <c r="H281" s="9"/>
      <c r="I281" s="58"/>
      <c r="J281" s="9"/>
      <c r="K281" s="9"/>
      <c r="L281" s="9"/>
      <c r="M281" s="9"/>
      <c r="N281" s="9"/>
      <c r="O281" s="9"/>
      <c r="P281" s="9"/>
      <c r="Q281" s="9"/>
      <c r="R281" s="9"/>
      <c r="S281" s="9"/>
      <c r="T281" s="9"/>
      <c r="U281" s="9"/>
      <c r="V281" s="9"/>
      <c r="W281" s="9"/>
      <c r="X281" s="9"/>
      <c r="Y281" s="9"/>
      <c r="Z281" s="9"/>
      <c r="AA281" s="9"/>
      <c r="AB281" s="9"/>
      <c r="AC281" s="9"/>
      <c r="AD281" s="9"/>
      <c r="AE281" s="9"/>
      <c r="AF281" s="9"/>
    </row>
    <row r="282" spans="1:32" ht="54.95" customHeight="1" x14ac:dyDescent="0.2">
      <c r="A282" s="56"/>
      <c r="B282" s="9"/>
      <c r="C282" s="9"/>
      <c r="D282" s="9"/>
      <c r="E282" s="9"/>
      <c r="F282" s="9"/>
      <c r="G282" s="9"/>
      <c r="H282" s="9"/>
      <c r="I282" s="58"/>
      <c r="J282" s="9"/>
      <c r="K282" s="9"/>
      <c r="L282" s="9"/>
      <c r="M282" s="9"/>
      <c r="N282" s="9"/>
      <c r="O282" s="9"/>
      <c r="P282" s="9"/>
      <c r="Q282" s="9"/>
      <c r="R282" s="9"/>
      <c r="S282" s="9"/>
      <c r="T282" s="9"/>
      <c r="U282" s="9"/>
      <c r="V282" s="9"/>
      <c r="W282" s="9"/>
      <c r="X282" s="9"/>
      <c r="Y282" s="9"/>
      <c r="Z282" s="9"/>
      <c r="AA282" s="9"/>
      <c r="AB282" s="9"/>
      <c r="AC282" s="9"/>
      <c r="AD282" s="9"/>
      <c r="AE282" s="9"/>
      <c r="AF282" s="9"/>
    </row>
    <row r="283" spans="1:32" ht="54.95" customHeight="1" x14ac:dyDescent="0.2">
      <c r="A283" s="56"/>
      <c r="B283" s="9"/>
      <c r="C283" s="9"/>
      <c r="D283" s="9"/>
      <c r="E283" s="9"/>
      <c r="F283" s="9"/>
      <c r="G283" s="9"/>
      <c r="H283" s="9"/>
      <c r="I283" s="58"/>
      <c r="J283" s="9"/>
      <c r="K283" s="9"/>
      <c r="L283" s="9"/>
      <c r="M283" s="9"/>
      <c r="N283" s="9"/>
      <c r="O283" s="9"/>
      <c r="P283" s="9"/>
      <c r="Q283" s="9"/>
      <c r="R283" s="9"/>
      <c r="S283" s="9"/>
      <c r="T283" s="9"/>
      <c r="U283" s="9"/>
      <c r="V283" s="9"/>
      <c r="W283" s="9"/>
      <c r="X283" s="9"/>
      <c r="Y283" s="9"/>
      <c r="Z283" s="9"/>
      <c r="AA283" s="9"/>
      <c r="AB283" s="9"/>
      <c r="AC283" s="9"/>
      <c r="AD283" s="9"/>
      <c r="AE283" s="9"/>
      <c r="AF283" s="9"/>
    </row>
    <row r="284" spans="1:32" ht="54.95" customHeight="1" x14ac:dyDescent="0.2">
      <c r="A284" s="56"/>
      <c r="B284" s="9"/>
      <c r="C284" s="9"/>
      <c r="D284" s="9"/>
      <c r="E284" s="9"/>
      <c r="F284" s="9"/>
      <c r="G284" s="9"/>
      <c r="H284" s="9"/>
      <c r="I284" s="58"/>
      <c r="J284" s="9"/>
      <c r="K284" s="9"/>
      <c r="L284" s="9"/>
      <c r="M284" s="9"/>
      <c r="N284" s="9"/>
      <c r="O284" s="9"/>
      <c r="P284" s="9"/>
      <c r="Q284" s="9"/>
      <c r="R284" s="9"/>
      <c r="S284" s="9"/>
      <c r="T284" s="9"/>
      <c r="U284" s="9"/>
      <c r="V284" s="9"/>
      <c r="W284" s="9"/>
      <c r="X284" s="9"/>
      <c r="Y284" s="9"/>
      <c r="Z284" s="9"/>
      <c r="AA284" s="9"/>
      <c r="AB284" s="9"/>
      <c r="AC284" s="9"/>
      <c r="AD284" s="9"/>
      <c r="AE284" s="9"/>
      <c r="AF284" s="9"/>
    </row>
    <row r="285" spans="1:32" ht="54.95" customHeight="1" x14ac:dyDescent="0.2">
      <c r="A285" s="56"/>
      <c r="B285" s="9"/>
      <c r="C285" s="9"/>
      <c r="D285" s="9"/>
      <c r="E285" s="9"/>
      <c r="F285" s="9"/>
      <c r="G285" s="9"/>
      <c r="H285" s="9"/>
      <c r="I285" s="58"/>
      <c r="J285" s="9"/>
      <c r="K285" s="9"/>
      <c r="L285" s="9"/>
      <c r="M285" s="9"/>
      <c r="N285" s="9"/>
      <c r="O285" s="9"/>
      <c r="P285" s="9"/>
      <c r="Q285" s="9"/>
      <c r="R285" s="9"/>
      <c r="S285" s="9"/>
      <c r="T285" s="9"/>
      <c r="U285" s="9"/>
      <c r="V285" s="9"/>
      <c r="W285" s="9"/>
      <c r="X285" s="9"/>
      <c r="Y285" s="9"/>
      <c r="Z285" s="9"/>
      <c r="AA285" s="9"/>
      <c r="AB285" s="9"/>
      <c r="AC285" s="9"/>
      <c r="AD285" s="9"/>
      <c r="AE285" s="9"/>
      <c r="AF285" s="9"/>
    </row>
    <row r="286" spans="1:32" ht="54.95" customHeight="1" x14ac:dyDescent="0.2">
      <c r="A286" s="56"/>
      <c r="B286" s="9"/>
      <c r="C286" s="9"/>
      <c r="D286" s="9"/>
      <c r="E286" s="9"/>
      <c r="F286" s="9"/>
      <c r="G286" s="9"/>
      <c r="H286" s="9"/>
      <c r="I286" s="58"/>
      <c r="J286" s="9"/>
      <c r="K286" s="9"/>
      <c r="L286" s="9"/>
      <c r="M286" s="9"/>
      <c r="N286" s="9"/>
      <c r="O286" s="9"/>
      <c r="P286" s="9"/>
      <c r="Q286" s="9"/>
      <c r="R286" s="9"/>
      <c r="S286" s="9"/>
      <c r="T286" s="9"/>
      <c r="U286" s="9"/>
      <c r="V286" s="9"/>
      <c r="W286" s="9"/>
      <c r="X286" s="9"/>
      <c r="Y286" s="9"/>
      <c r="Z286" s="9"/>
      <c r="AA286" s="9"/>
      <c r="AB286" s="9"/>
      <c r="AC286" s="9"/>
      <c r="AD286" s="9"/>
      <c r="AE286" s="9"/>
      <c r="AF286" s="9"/>
    </row>
    <row r="287" spans="1:32" ht="54.95" customHeight="1" x14ac:dyDescent="0.2">
      <c r="A287" s="56"/>
      <c r="B287" s="9"/>
      <c r="C287" s="9"/>
      <c r="D287" s="9"/>
      <c r="E287" s="9"/>
      <c r="F287" s="9"/>
      <c r="G287" s="9"/>
      <c r="H287" s="9"/>
      <c r="I287" s="58"/>
      <c r="J287" s="9"/>
      <c r="K287" s="9"/>
      <c r="L287" s="9"/>
      <c r="M287" s="9"/>
      <c r="N287" s="9"/>
      <c r="O287" s="9"/>
      <c r="P287" s="9"/>
      <c r="Q287" s="9"/>
      <c r="R287" s="9"/>
      <c r="S287" s="9"/>
      <c r="T287" s="9"/>
      <c r="U287" s="9"/>
      <c r="V287" s="9"/>
      <c r="W287" s="9"/>
      <c r="X287" s="9"/>
      <c r="Y287" s="9"/>
      <c r="Z287" s="9"/>
      <c r="AA287" s="9"/>
      <c r="AB287" s="9"/>
      <c r="AC287" s="9"/>
      <c r="AD287" s="9"/>
      <c r="AE287" s="9"/>
      <c r="AF287" s="9"/>
    </row>
    <row r="288" spans="1:32" ht="54.95" customHeight="1" x14ac:dyDescent="0.2">
      <c r="A288" s="56"/>
      <c r="B288" s="9"/>
      <c r="C288" s="9"/>
      <c r="D288" s="9"/>
      <c r="E288" s="9"/>
      <c r="F288" s="9"/>
      <c r="G288" s="9"/>
      <c r="H288" s="9"/>
      <c r="I288" s="58"/>
      <c r="J288" s="9"/>
      <c r="K288" s="9"/>
      <c r="L288" s="9"/>
      <c r="M288" s="9"/>
      <c r="N288" s="9"/>
      <c r="O288" s="9"/>
      <c r="P288" s="9"/>
      <c r="Q288" s="9"/>
      <c r="R288" s="9"/>
      <c r="S288" s="9"/>
      <c r="T288" s="9"/>
      <c r="U288" s="9"/>
      <c r="V288" s="9"/>
      <c r="W288" s="9"/>
      <c r="X288" s="9"/>
      <c r="Y288" s="9"/>
      <c r="Z288" s="9"/>
      <c r="AA288" s="9"/>
      <c r="AB288" s="9"/>
      <c r="AC288" s="9"/>
      <c r="AD288" s="9"/>
      <c r="AE288" s="9"/>
      <c r="AF288" s="9"/>
    </row>
    <row r="289" spans="1:32" ht="54.95" customHeight="1" x14ac:dyDescent="0.2">
      <c r="A289" s="56"/>
      <c r="B289" s="9"/>
      <c r="C289" s="9"/>
      <c r="D289" s="9"/>
      <c r="E289" s="9"/>
      <c r="F289" s="9"/>
      <c r="G289" s="9"/>
      <c r="H289" s="9"/>
      <c r="I289" s="58"/>
      <c r="J289" s="9"/>
      <c r="K289" s="9"/>
      <c r="L289" s="9"/>
      <c r="M289" s="9"/>
      <c r="N289" s="9"/>
      <c r="O289" s="9"/>
      <c r="P289" s="9"/>
      <c r="Q289" s="9"/>
      <c r="R289" s="9"/>
      <c r="S289" s="9"/>
      <c r="T289" s="9"/>
      <c r="U289" s="9"/>
      <c r="V289" s="9"/>
      <c r="W289" s="9"/>
      <c r="X289" s="9"/>
      <c r="Y289" s="9"/>
      <c r="Z289" s="9"/>
      <c r="AA289" s="9"/>
      <c r="AB289" s="9"/>
      <c r="AC289" s="9"/>
      <c r="AD289" s="9"/>
      <c r="AE289" s="9"/>
      <c r="AF289" s="9"/>
    </row>
    <row r="290" spans="1:32" ht="54.95" customHeight="1" x14ac:dyDescent="0.2">
      <c r="A290" s="56"/>
      <c r="B290" s="9"/>
      <c r="C290" s="9"/>
      <c r="D290" s="9"/>
      <c r="E290" s="9"/>
      <c r="F290" s="9"/>
      <c r="G290" s="9"/>
      <c r="H290" s="9"/>
      <c r="I290" s="58"/>
      <c r="J290" s="9"/>
      <c r="K290" s="9"/>
      <c r="L290" s="9"/>
      <c r="M290" s="9"/>
      <c r="N290" s="9"/>
      <c r="O290" s="9"/>
      <c r="P290" s="9"/>
      <c r="Q290" s="9"/>
      <c r="R290" s="9"/>
      <c r="S290" s="9"/>
      <c r="T290" s="9"/>
      <c r="U290" s="9"/>
      <c r="V290" s="9"/>
      <c r="W290" s="9"/>
      <c r="X290" s="9"/>
      <c r="Y290" s="9"/>
      <c r="Z290" s="9"/>
      <c r="AA290" s="9"/>
      <c r="AB290" s="9"/>
      <c r="AC290" s="9"/>
      <c r="AD290" s="9"/>
      <c r="AE290" s="9"/>
      <c r="AF290" s="9"/>
    </row>
    <row r="291" spans="1:32" ht="54.95" customHeight="1" x14ac:dyDescent="0.2">
      <c r="A291" s="56"/>
      <c r="B291" s="9"/>
      <c r="C291" s="9"/>
      <c r="D291" s="9"/>
      <c r="E291" s="9"/>
      <c r="F291" s="9"/>
      <c r="G291" s="9"/>
      <c r="H291" s="9"/>
      <c r="I291" s="58"/>
      <c r="J291" s="9"/>
      <c r="K291" s="9"/>
      <c r="L291" s="9"/>
      <c r="M291" s="9"/>
      <c r="N291" s="9"/>
      <c r="O291" s="9"/>
      <c r="P291" s="9"/>
      <c r="Q291" s="9"/>
      <c r="R291" s="9"/>
      <c r="S291" s="9"/>
      <c r="T291" s="9"/>
      <c r="U291" s="9"/>
      <c r="V291" s="9"/>
      <c r="W291" s="9"/>
      <c r="X291" s="9"/>
      <c r="Y291" s="9"/>
      <c r="Z291" s="9"/>
      <c r="AA291" s="9"/>
      <c r="AB291" s="9"/>
      <c r="AC291" s="9"/>
      <c r="AD291" s="9"/>
      <c r="AE291" s="9"/>
      <c r="AF291" s="9"/>
    </row>
    <row r="292" spans="1:32" ht="54.95" customHeight="1" x14ac:dyDescent="0.2">
      <c r="A292" s="56"/>
      <c r="B292" s="9"/>
      <c r="C292" s="9"/>
      <c r="D292" s="9"/>
      <c r="E292" s="9"/>
      <c r="F292" s="9"/>
      <c r="G292" s="9"/>
      <c r="H292" s="9"/>
      <c r="I292" s="58"/>
      <c r="J292" s="9"/>
      <c r="K292" s="9"/>
      <c r="L292" s="9"/>
      <c r="M292" s="9"/>
      <c r="N292" s="9"/>
      <c r="O292" s="9"/>
      <c r="P292" s="9"/>
      <c r="Q292" s="9"/>
      <c r="R292" s="9"/>
      <c r="S292" s="9"/>
      <c r="T292" s="9"/>
      <c r="U292" s="9"/>
      <c r="V292" s="9"/>
      <c r="W292" s="9"/>
      <c r="X292" s="9"/>
      <c r="Y292" s="9"/>
      <c r="Z292" s="9"/>
      <c r="AA292" s="9"/>
      <c r="AB292" s="9"/>
      <c r="AC292" s="9"/>
      <c r="AD292" s="9"/>
      <c r="AE292" s="9"/>
      <c r="AF292" s="9"/>
    </row>
    <row r="293" spans="1:32" ht="54.95" customHeight="1" x14ac:dyDescent="0.2">
      <c r="A293" s="56"/>
      <c r="B293" s="9"/>
      <c r="C293" s="9"/>
      <c r="D293" s="9"/>
      <c r="E293" s="9"/>
      <c r="F293" s="9"/>
      <c r="G293" s="9"/>
      <c r="H293" s="9"/>
      <c r="I293" s="58"/>
      <c r="J293" s="9"/>
      <c r="K293" s="9"/>
      <c r="L293" s="9"/>
      <c r="M293" s="9"/>
      <c r="N293" s="9"/>
      <c r="O293" s="9"/>
      <c r="P293" s="9"/>
      <c r="Q293" s="9"/>
      <c r="R293" s="9"/>
      <c r="S293" s="9"/>
      <c r="T293" s="9"/>
      <c r="U293" s="9"/>
      <c r="V293" s="9"/>
      <c r="W293" s="9"/>
      <c r="X293" s="9"/>
      <c r="Y293" s="9"/>
      <c r="Z293" s="9"/>
      <c r="AA293" s="9"/>
      <c r="AB293" s="9"/>
      <c r="AC293" s="9"/>
      <c r="AD293" s="9"/>
      <c r="AE293" s="9"/>
      <c r="AF293" s="9"/>
    </row>
    <row r="294" spans="1:32" ht="54.95" customHeight="1" x14ac:dyDescent="0.2">
      <c r="A294" s="56"/>
      <c r="B294" s="9"/>
      <c r="C294" s="9"/>
      <c r="D294" s="9"/>
      <c r="E294" s="9"/>
      <c r="F294" s="9"/>
      <c r="G294" s="9"/>
      <c r="H294" s="9"/>
      <c r="I294" s="58"/>
      <c r="J294" s="9"/>
      <c r="K294" s="9"/>
      <c r="L294" s="9"/>
      <c r="M294" s="9"/>
      <c r="N294" s="9"/>
      <c r="O294" s="9"/>
      <c r="P294" s="9"/>
      <c r="Q294" s="9"/>
      <c r="R294" s="9"/>
      <c r="S294" s="9"/>
      <c r="T294" s="9"/>
      <c r="U294" s="9"/>
      <c r="V294" s="9"/>
      <c r="W294" s="9"/>
      <c r="X294" s="9"/>
      <c r="Y294" s="9"/>
      <c r="Z294" s="9"/>
      <c r="AA294" s="9"/>
      <c r="AB294" s="9"/>
      <c r="AC294" s="9"/>
      <c r="AD294" s="9"/>
      <c r="AE294" s="9"/>
      <c r="AF294" s="9"/>
    </row>
    <row r="295" spans="1:32" ht="54.95" customHeight="1" x14ac:dyDescent="0.2">
      <c r="A295" s="56"/>
      <c r="B295" s="9"/>
      <c r="C295" s="9"/>
      <c r="D295" s="9"/>
      <c r="E295" s="9"/>
      <c r="F295" s="9"/>
      <c r="G295" s="9"/>
      <c r="H295" s="9"/>
      <c r="I295" s="58"/>
      <c r="J295" s="9"/>
      <c r="K295" s="9"/>
      <c r="L295" s="9"/>
      <c r="M295" s="9"/>
      <c r="N295" s="9"/>
      <c r="O295" s="9"/>
      <c r="P295" s="9"/>
      <c r="Q295" s="9"/>
      <c r="R295" s="9"/>
      <c r="S295" s="9"/>
      <c r="T295" s="9"/>
      <c r="U295" s="9"/>
      <c r="V295" s="9"/>
      <c r="W295" s="9"/>
      <c r="X295" s="9"/>
      <c r="Y295" s="9"/>
      <c r="Z295" s="9"/>
      <c r="AA295" s="9"/>
      <c r="AB295" s="9"/>
      <c r="AC295" s="9"/>
      <c r="AD295" s="9"/>
      <c r="AE295" s="9"/>
      <c r="AF295" s="9"/>
    </row>
    <row r="296" spans="1:32" ht="54.95" customHeight="1" x14ac:dyDescent="0.2">
      <c r="A296" s="56"/>
      <c r="B296" s="9"/>
      <c r="C296" s="9"/>
      <c r="D296" s="9"/>
      <c r="E296" s="9"/>
      <c r="F296" s="9"/>
      <c r="G296" s="9"/>
      <c r="H296" s="9"/>
      <c r="I296" s="58"/>
      <c r="J296" s="9"/>
      <c r="K296" s="9"/>
      <c r="L296" s="9"/>
      <c r="M296" s="9"/>
      <c r="N296" s="9"/>
      <c r="O296" s="9"/>
      <c r="P296" s="9"/>
      <c r="Q296" s="9"/>
      <c r="R296" s="9"/>
      <c r="S296" s="9"/>
      <c r="T296" s="9"/>
      <c r="U296" s="9"/>
      <c r="V296" s="9"/>
      <c r="W296" s="9"/>
      <c r="X296" s="9"/>
      <c r="Y296" s="9"/>
      <c r="Z296" s="9"/>
      <c r="AA296" s="9"/>
      <c r="AB296" s="9"/>
      <c r="AC296" s="9"/>
      <c r="AD296" s="9"/>
      <c r="AE296" s="9"/>
      <c r="AF296" s="9"/>
    </row>
    <row r="297" spans="1:32" ht="54.95" customHeight="1" x14ac:dyDescent="0.2">
      <c r="A297" s="56"/>
      <c r="B297" s="9"/>
      <c r="C297" s="9"/>
      <c r="D297" s="9"/>
      <c r="E297" s="9"/>
      <c r="F297" s="9"/>
      <c r="G297" s="9"/>
      <c r="H297" s="9"/>
      <c r="I297" s="58"/>
      <c r="J297" s="9"/>
      <c r="K297" s="9"/>
      <c r="L297" s="9"/>
      <c r="M297" s="9"/>
      <c r="N297" s="9"/>
      <c r="O297" s="9"/>
      <c r="P297" s="9"/>
      <c r="Q297" s="9"/>
      <c r="R297" s="9"/>
      <c r="S297" s="9"/>
      <c r="T297" s="9"/>
      <c r="U297" s="9"/>
      <c r="V297" s="9"/>
      <c r="W297" s="9"/>
      <c r="X297" s="9"/>
      <c r="Y297" s="9"/>
      <c r="Z297" s="9"/>
      <c r="AA297" s="9"/>
      <c r="AB297" s="9"/>
      <c r="AC297" s="9"/>
      <c r="AD297" s="9"/>
      <c r="AE297" s="9"/>
      <c r="AF297" s="9"/>
    </row>
    <row r="298" spans="1:32" ht="54.95" customHeight="1" x14ac:dyDescent="0.2">
      <c r="A298" s="56"/>
      <c r="B298" s="9"/>
      <c r="C298" s="9"/>
      <c r="D298" s="9"/>
      <c r="E298" s="9"/>
      <c r="F298" s="9"/>
      <c r="G298" s="9"/>
      <c r="H298" s="9"/>
      <c r="I298" s="58"/>
      <c r="J298" s="9"/>
      <c r="K298" s="9"/>
      <c r="L298" s="9"/>
      <c r="M298" s="9"/>
      <c r="N298" s="9"/>
      <c r="O298" s="9"/>
      <c r="P298" s="9"/>
      <c r="Q298" s="9"/>
      <c r="R298" s="9"/>
      <c r="S298" s="9"/>
      <c r="T298" s="9"/>
      <c r="U298" s="9"/>
      <c r="V298" s="9"/>
      <c r="W298" s="9"/>
      <c r="X298" s="9"/>
      <c r="Y298" s="9"/>
      <c r="Z298" s="9"/>
      <c r="AA298" s="9"/>
      <c r="AB298" s="9"/>
      <c r="AC298" s="9"/>
      <c r="AD298" s="9"/>
      <c r="AE298" s="9"/>
      <c r="AF298" s="9"/>
    </row>
    <row r="299" spans="1:32" ht="54.95" customHeight="1" x14ac:dyDescent="0.2">
      <c r="A299" s="56"/>
      <c r="B299" s="9"/>
      <c r="C299" s="9"/>
      <c r="D299" s="9"/>
      <c r="E299" s="9"/>
      <c r="F299" s="9"/>
      <c r="G299" s="9"/>
      <c r="H299" s="9"/>
      <c r="I299" s="58"/>
      <c r="J299" s="9"/>
      <c r="K299" s="9"/>
      <c r="L299" s="9"/>
      <c r="M299" s="9"/>
      <c r="N299" s="9"/>
      <c r="O299" s="9"/>
      <c r="P299" s="9"/>
      <c r="Q299" s="9"/>
      <c r="R299" s="9"/>
      <c r="S299" s="9"/>
      <c r="T299" s="9"/>
      <c r="U299" s="9"/>
      <c r="V299" s="9"/>
      <c r="W299" s="9"/>
      <c r="X299" s="9"/>
      <c r="Y299" s="9"/>
      <c r="Z299" s="9"/>
      <c r="AA299" s="9"/>
      <c r="AB299" s="9"/>
      <c r="AC299" s="9"/>
      <c r="AD299" s="9"/>
      <c r="AE299" s="9"/>
      <c r="AF299" s="9"/>
    </row>
    <row r="300" spans="1:32" ht="54.95" customHeight="1" x14ac:dyDescent="0.2">
      <c r="A300" s="56"/>
      <c r="B300" s="9"/>
      <c r="C300" s="9"/>
      <c r="D300" s="9"/>
      <c r="E300" s="9"/>
      <c r="F300" s="9"/>
      <c r="G300" s="9"/>
      <c r="H300" s="9"/>
      <c r="I300" s="58"/>
      <c r="J300" s="9"/>
      <c r="K300" s="9"/>
      <c r="L300" s="9"/>
      <c r="M300" s="9"/>
      <c r="N300" s="9"/>
      <c r="O300" s="9"/>
      <c r="P300" s="9"/>
      <c r="Q300" s="9"/>
      <c r="R300" s="9"/>
      <c r="S300" s="9"/>
      <c r="T300" s="9"/>
      <c r="U300" s="9"/>
      <c r="V300" s="9"/>
      <c r="W300" s="9"/>
      <c r="X300" s="9"/>
      <c r="Y300" s="9"/>
      <c r="Z300" s="9"/>
      <c r="AA300" s="9"/>
      <c r="AB300" s="9"/>
      <c r="AC300" s="9"/>
      <c r="AD300" s="9"/>
      <c r="AE300" s="9"/>
      <c r="AF300" s="9"/>
    </row>
    <row r="301" spans="1:32" ht="54.95" customHeight="1" x14ac:dyDescent="0.2">
      <c r="A301" s="56"/>
      <c r="B301" s="9"/>
      <c r="C301" s="9"/>
      <c r="D301" s="9"/>
      <c r="E301" s="9"/>
      <c r="F301" s="9"/>
      <c r="G301" s="9"/>
      <c r="H301" s="9"/>
      <c r="I301" s="58"/>
      <c r="J301" s="9"/>
      <c r="K301" s="9"/>
      <c r="L301" s="9"/>
      <c r="M301" s="9"/>
      <c r="N301" s="9"/>
      <c r="O301" s="9"/>
      <c r="P301" s="9"/>
      <c r="Q301" s="9"/>
      <c r="R301" s="9"/>
      <c r="S301" s="9"/>
      <c r="T301" s="9"/>
      <c r="U301" s="9"/>
      <c r="V301" s="9"/>
      <c r="W301" s="9"/>
      <c r="X301" s="9"/>
      <c r="Y301" s="9"/>
      <c r="Z301" s="9"/>
      <c r="AA301" s="9"/>
      <c r="AB301" s="9"/>
      <c r="AC301" s="9"/>
      <c r="AD301" s="9"/>
      <c r="AE301" s="9"/>
      <c r="AF301" s="9"/>
    </row>
    <row r="302" spans="1:32" ht="54.95" customHeight="1" x14ac:dyDescent="0.2">
      <c r="A302" s="56"/>
      <c r="B302" s="9"/>
      <c r="C302" s="9"/>
      <c r="D302" s="9"/>
      <c r="E302" s="9"/>
      <c r="F302" s="9"/>
      <c r="G302" s="9"/>
      <c r="H302" s="9"/>
      <c r="I302" s="58"/>
      <c r="J302" s="9"/>
      <c r="K302" s="9"/>
      <c r="L302" s="9"/>
      <c r="M302" s="9"/>
      <c r="N302" s="9"/>
      <c r="O302" s="9"/>
      <c r="P302" s="9"/>
      <c r="Q302" s="9"/>
      <c r="R302" s="9"/>
      <c r="S302" s="9"/>
      <c r="T302" s="9"/>
      <c r="U302" s="9"/>
      <c r="V302" s="9"/>
      <c r="W302" s="9"/>
      <c r="X302" s="9"/>
      <c r="Y302" s="9"/>
      <c r="Z302" s="9"/>
      <c r="AA302" s="9"/>
      <c r="AB302" s="9"/>
      <c r="AC302" s="9"/>
      <c r="AD302" s="9"/>
      <c r="AE302" s="9"/>
      <c r="AF302" s="9"/>
    </row>
    <row r="303" spans="1:32" ht="54.95" customHeight="1" x14ac:dyDescent="0.2">
      <c r="A303" s="56"/>
      <c r="B303" s="9"/>
      <c r="C303" s="9"/>
      <c r="D303" s="9"/>
      <c r="E303" s="9"/>
      <c r="F303" s="9"/>
      <c r="G303" s="9"/>
      <c r="H303" s="9"/>
      <c r="I303" s="58"/>
      <c r="J303" s="9"/>
      <c r="K303" s="9"/>
      <c r="L303" s="9"/>
      <c r="M303" s="9"/>
      <c r="N303" s="9"/>
      <c r="O303" s="9"/>
      <c r="P303" s="9"/>
      <c r="Q303" s="9"/>
      <c r="R303" s="9"/>
      <c r="S303" s="9"/>
      <c r="T303" s="9"/>
      <c r="U303" s="9"/>
      <c r="V303" s="9"/>
      <c r="W303" s="9"/>
      <c r="X303" s="9"/>
      <c r="Y303" s="9"/>
      <c r="Z303" s="9"/>
      <c r="AA303" s="9"/>
      <c r="AB303" s="9"/>
      <c r="AC303" s="9"/>
      <c r="AD303" s="9"/>
      <c r="AE303" s="9"/>
      <c r="AF303" s="9"/>
    </row>
    <row r="304" spans="1:32" ht="54.95" customHeight="1" x14ac:dyDescent="0.2">
      <c r="A304" s="56"/>
      <c r="B304" s="9"/>
      <c r="C304" s="9"/>
      <c r="D304" s="9"/>
      <c r="E304" s="9"/>
      <c r="F304" s="9"/>
      <c r="G304" s="9"/>
      <c r="H304" s="9"/>
      <c r="I304" s="58"/>
      <c r="J304" s="9"/>
      <c r="K304" s="9"/>
      <c r="L304" s="9"/>
      <c r="M304" s="9"/>
      <c r="N304" s="9"/>
      <c r="O304" s="9"/>
      <c r="P304" s="9"/>
      <c r="Q304" s="9"/>
      <c r="R304" s="9"/>
      <c r="S304" s="9"/>
      <c r="T304" s="9"/>
      <c r="U304" s="9"/>
      <c r="V304" s="9"/>
      <c r="W304" s="9"/>
      <c r="X304" s="9"/>
      <c r="Y304" s="9"/>
      <c r="Z304" s="9"/>
      <c r="AA304" s="9"/>
      <c r="AB304" s="9"/>
      <c r="AC304" s="9"/>
      <c r="AD304" s="9"/>
      <c r="AE304" s="9"/>
      <c r="AF304" s="9"/>
    </row>
    <row r="305" spans="1:32" ht="54.95" customHeight="1" x14ac:dyDescent="0.2">
      <c r="A305" s="56"/>
      <c r="B305" s="9"/>
      <c r="C305" s="9"/>
      <c r="D305" s="9"/>
      <c r="E305" s="9"/>
      <c r="F305" s="9"/>
      <c r="G305" s="9"/>
      <c r="H305" s="9"/>
      <c r="I305" s="58"/>
      <c r="J305" s="9"/>
      <c r="K305" s="9"/>
      <c r="L305" s="9"/>
      <c r="M305" s="9"/>
      <c r="N305" s="9"/>
      <c r="O305" s="9"/>
      <c r="P305" s="9"/>
      <c r="Q305" s="9"/>
      <c r="R305" s="9"/>
      <c r="S305" s="9"/>
      <c r="T305" s="9"/>
      <c r="U305" s="9"/>
      <c r="V305" s="9"/>
      <c r="W305" s="9"/>
      <c r="X305" s="9"/>
      <c r="Y305" s="9"/>
      <c r="Z305" s="9"/>
      <c r="AA305" s="9"/>
      <c r="AB305" s="9"/>
      <c r="AC305" s="9"/>
      <c r="AD305" s="9"/>
      <c r="AE305" s="9"/>
      <c r="AF305" s="9"/>
    </row>
    <row r="306" spans="1:32" ht="54.95" customHeight="1" x14ac:dyDescent="0.2">
      <c r="A306" s="56"/>
      <c r="B306" s="9"/>
      <c r="C306" s="9"/>
      <c r="D306" s="9"/>
      <c r="E306" s="9"/>
      <c r="F306" s="9"/>
      <c r="G306" s="9"/>
      <c r="H306" s="9"/>
      <c r="I306" s="58"/>
      <c r="J306" s="9"/>
      <c r="K306" s="9"/>
      <c r="L306" s="9"/>
      <c r="M306" s="9"/>
      <c r="N306" s="9"/>
      <c r="O306" s="9"/>
      <c r="P306" s="9"/>
      <c r="Q306" s="9"/>
      <c r="R306" s="9"/>
      <c r="S306" s="9"/>
      <c r="T306" s="9"/>
      <c r="U306" s="9"/>
      <c r="V306" s="9"/>
      <c r="W306" s="9"/>
      <c r="X306" s="9"/>
      <c r="Y306" s="9"/>
      <c r="Z306" s="9"/>
      <c r="AA306" s="9"/>
      <c r="AB306" s="9"/>
      <c r="AC306" s="9"/>
      <c r="AD306" s="9"/>
      <c r="AE306" s="9"/>
      <c r="AF306" s="9"/>
    </row>
    <row r="307" spans="1:32" ht="54.95" customHeight="1" x14ac:dyDescent="0.2">
      <c r="A307" s="56"/>
      <c r="B307" s="9"/>
      <c r="C307" s="9"/>
      <c r="D307" s="9"/>
      <c r="E307" s="9"/>
      <c r="F307" s="9"/>
      <c r="G307" s="9"/>
      <c r="H307" s="9"/>
      <c r="I307" s="58"/>
      <c r="J307" s="9"/>
      <c r="K307" s="9"/>
      <c r="L307" s="9"/>
      <c r="M307" s="9"/>
      <c r="N307" s="9"/>
      <c r="O307" s="9"/>
      <c r="P307" s="9"/>
      <c r="Q307" s="9"/>
      <c r="R307" s="9"/>
      <c r="S307" s="9"/>
      <c r="T307" s="9"/>
      <c r="U307" s="9"/>
      <c r="V307" s="9"/>
      <c r="W307" s="9"/>
      <c r="X307" s="9"/>
      <c r="Y307" s="9"/>
      <c r="Z307" s="9"/>
      <c r="AA307" s="9"/>
      <c r="AB307" s="9"/>
      <c r="AC307" s="9"/>
      <c r="AD307" s="9"/>
      <c r="AE307" s="9"/>
      <c r="AF307" s="9"/>
    </row>
    <row r="308" spans="1:32" ht="54.95" customHeight="1" x14ac:dyDescent="0.2">
      <c r="A308" s="56"/>
      <c r="B308" s="9"/>
      <c r="C308" s="9"/>
      <c r="D308" s="9"/>
      <c r="E308" s="9"/>
      <c r="F308" s="9"/>
      <c r="G308" s="9"/>
      <c r="H308" s="9"/>
      <c r="I308" s="58"/>
      <c r="J308" s="9"/>
      <c r="K308" s="9"/>
      <c r="L308" s="9"/>
      <c r="M308" s="9"/>
      <c r="N308" s="9"/>
      <c r="O308" s="9"/>
      <c r="P308" s="9"/>
      <c r="Q308" s="9"/>
      <c r="R308" s="9"/>
      <c r="S308" s="9"/>
      <c r="T308" s="9"/>
      <c r="U308" s="9"/>
      <c r="V308" s="9"/>
      <c r="W308" s="9"/>
      <c r="X308" s="9"/>
      <c r="Y308" s="9"/>
      <c r="Z308" s="9"/>
      <c r="AA308" s="9"/>
      <c r="AB308" s="9"/>
      <c r="AC308" s="9"/>
      <c r="AD308" s="9"/>
      <c r="AE308" s="9"/>
      <c r="AF308" s="9"/>
    </row>
    <row r="309" spans="1:32" ht="54.95" customHeight="1" x14ac:dyDescent="0.2">
      <c r="A309" s="56"/>
      <c r="B309" s="9"/>
      <c r="C309" s="9"/>
      <c r="D309" s="9"/>
      <c r="E309" s="9"/>
      <c r="F309" s="9"/>
      <c r="G309" s="9"/>
      <c r="H309" s="9"/>
      <c r="I309" s="58"/>
      <c r="J309" s="9"/>
      <c r="K309" s="9"/>
      <c r="L309" s="9"/>
      <c r="M309" s="9"/>
      <c r="N309" s="9"/>
      <c r="O309" s="9"/>
      <c r="P309" s="9"/>
      <c r="Q309" s="9"/>
      <c r="R309" s="9"/>
      <c r="S309" s="9"/>
      <c r="T309" s="9"/>
      <c r="U309" s="9"/>
      <c r="V309" s="9"/>
      <c r="W309" s="9"/>
      <c r="X309" s="9"/>
      <c r="Y309" s="9"/>
      <c r="Z309" s="9"/>
      <c r="AA309" s="9"/>
      <c r="AB309" s="9"/>
      <c r="AC309" s="9"/>
      <c r="AD309" s="9"/>
      <c r="AE309" s="9"/>
      <c r="AF309" s="9"/>
    </row>
    <row r="310" spans="1:32" ht="54.95" customHeight="1" x14ac:dyDescent="0.2">
      <c r="A310" s="56"/>
      <c r="B310" s="9"/>
      <c r="C310" s="9"/>
      <c r="D310" s="9"/>
      <c r="E310" s="9"/>
      <c r="F310" s="9"/>
      <c r="G310" s="9"/>
      <c r="H310" s="9"/>
      <c r="I310" s="58"/>
      <c r="J310" s="9"/>
      <c r="K310" s="9"/>
      <c r="L310" s="9"/>
      <c r="M310" s="9"/>
      <c r="N310" s="9"/>
      <c r="O310" s="9"/>
      <c r="P310" s="9"/>
      <c r="Q310" s="9"/>
      <c r="R310" s="9"/>
      <c r="S310" s="9"/>
      <c r="T310" s="9"/>
      <c r="U310" s="9"/>
      <c r="V310" s="9"/>
      <c r="W310" s="9"/>
      <c r="X310" s="9"/>
      <c r="Y310" s="9"/>
      <c r="Z310" s="9"/>
      <c r="AA310" s="9"/>
      <c r="AB310" s="9"/>
      <c r="AC310" s="9"/>
      <c r="AD310" s="9"/>
      <c r="AE310" s="9"/>
      <c r="AF310" s="9"/>
    </row>
    <row r="311" spans="1:32" ht="54.95" customHeight="1" x14ac:dyDescent="0.2">
      <c r="A311" s="56"/>
      <c r="B311" s="9"/>
      <c r="C311" s="9"/>
      <c r="D311" s="9"/>
      <c r="E311" s="9"/>
      <c r="F311" s="9"/>
      <c r="G311" s="9"/>
      <c r="H311" s="9"/>
      <c r="I311" s="58"/>
      <c r="J311" s="9"/>
      <c r="K311" s="9"/>
      <c r="L311" s="9"/>
      <c r="M311" s="9"/>
      <c r="N311" s="9"/>
      <c r="O311" s="9"/>
      <c r="P311" s="9"/>
      <c r="Q311" s="9"/>
      <c r="R311" s="9"/>
      <c r="S311" s="9"/>
      <c r="T311" s="9"/>
      <c r="U311" s="9"/>
      <c r="V311" s="9"/>
      <c r="W311" s="9"/>
      <c r="X311" s="9"/>
      <c r="Y311" s="9"/>
      <c r="Z311" s="9"/>
      <c r="AA311" s="9"/>
      <c r="AB311" s="9"/>
      <c r="AC311" s="9"/>
      <c r="AD311" s="9"/>
      <c r="AE311" s="9"/>
      <c r="AF311" s="9"/>
    </row>
    <row r="312" spans="1:32" ht="54.95" customHeight="1" x14ac:dyDescent="0.2">
      <c r="A312" s="56"/>
      <c r="B312" s="9"/>
      <c r="C312" s="9"/>
      <c r="D312" s="9"/>
      <c r="E312" s="9"/>
      <c r="F312" s="9"/>
      <c r="G312" s="9"/>
      <c r="H312" s="9"/>
      <c r="I312" s="58"/>
      <c r="J312" s="9"/>
      <c r="K312" s="9"/>
      <c r="L312" s="9"/>
      <c r="M312" s="9"/>
      <c r="N312" s="9"/>
      <c r="O312" s="9"/>
      <c r="P312" s="9"/>
      <c r="Q312" s="9"/>
      <c r="R312" s="9"/>
      <c r="S312" s="9"/>
      <c r="T312" s="9"/>
      <c r="U312" s="9"/>
      <c r="V312" s="9"/>
      <c r="W312" s="9"/>
      <c r="X312" s="9"/>
      <c r="Y312" s="9"/>
      <c r="Z312" s="9"/>
      <c r="AA312" s="9"/>
      <c r="AB312" s="9"/>
      <c r="AC312" s="9"/>
      <c r="AD312" s="9"/>
      <c r="AE312" s="9"/>
      <c r="AF312" s="9"/>
    </row>
    <row r="313" spans="1:32" ht="54.95" customHeight="1" x14ac:dyDescent="0.2">
      <c r="A313" s="56"/>
      <c r="B313" s="9"/>
      <c r="C313" s="9"/>
      <c r="D313" s="9"/>
      <c r="E313" s="9"/>
      <c r="F313" s="9"/>
      <c r="G313" s="9"/>
      <c r="H313" s="9"/>
      <c r="I313" s="58"/>
      <c r="J313" s="9"/>
      <c r="K313" s="9"/>
      <c r="L313" s="9"/>
      <c r="M313" s="9"/>
      <c r="N313" s="9"/>
      <c r="O313" s="9"/>
      <c r="P313" s="9"/>
      <c r="Q313" s="9"/>
      <c r="R313" s="9"/>
      <c r="S313" s="9"/>
      <c r="T313" s="9"/>
      <c r="U313" s="9"/>
      <c r="V313" s="9"/>
      <c r="W313" s="9"/>
      <c r="X313" s="9"/>
      <c r="Y313" s="9"/>
      <c r="Z313" s="9"/>
      <c r="AA313" s="9"/>
      <c r="AB313" s="9"/>
      <c r="AC313" s="9"/>
      <c r="AD313" s="9"/>
      <c r="AE313" s="9"/>
      <c r="AF313" s="9"/>
    </row>
    <row r="314" spans="1:32" ht="54.95" customHeight="1" x14ac:dyDescent="0.2">
      <c r="A314" s="56"/>
      <c r="B314" s="9"/>
      <c r="C314" s="9"/>
      <c r="D314" s="9"/>
      <c r="E314" s="9"/>
      <c r="F314" s="9"/>
      <c r="G314" s="9"/>
      <c r="H314" s="9"/>
      <c r="I314" s="58"/>
      <c r="J314" s="9"/>
      <c r="K314" s="9"/>
      <c r="L314" s="9"/>
      <c r="M314" s="9"/>
      <c r="N314" s="9"/>
      <c r="O314" s="9"/>
      <c r="P314" s="9"/>
      <c r="Q314" s="9"/>
      <c r="R314" s="9"/>
      <c r="S314" s="9"/>
      <c r="T314" s="9"/>
      <c r="U314" s="9"/>
      <c r="V314" s="9"/>
      <c r="W314" s="9"/>
      <c r="X314" s="9"/>
      <c r="Y314" s="9"/>
      <c r="Z314" s="9"/>
      <c r="AA314" s="9"/>
      <c r="AB314" s="9"/>
      <c r="AC314" s="9"/>
      <c r="AD314" s="9"/>
      <c r="AE314" s="9"/>
      <c r="AF314" s="9"/>
    </row>
    <row r="315" spans="1:32" ht="54.95" customHeight="1" x14ac:dyDescent="0.2">
      <c r="A315" s="56"/>
      <c r="B315" s="9"/>
      <c r="C315" s="9"/>
      <c r="D315" s="9"/>
      <c r="E315" s="9"/>
      <c r="F315" s="9"/>
      <c r="G315" s="9"/>
      <c r="H315" s="9"/>
      <c r="I315" s="58"/>
      <c r="J315" s="9"/>
      <c r="K315" s="9"/>
      <c r="L315" s="9"/>
      <c r="M315" s="9"/>
      <c r="N315" s="9"/>
      <c r="O315" s="9"/>
      <c r="P315" s="9"/>
      <c r="Q315" s="9"/>
      <c r="R315" s="9"/>
      <c r="S315" s="9"/>
      <c r="T315" s="9"/>
      <c r="U315" s="9"/>
      <c r="V315" s="9"/>
      <c r="W315" s="9"/>
      <c r="X315" s="9"/>
      <c r="Y315" s="9"/>
      <c r="Z315" s="9"/>
      <c r="AA315" s="9"/>
      <c r="AB315" s="9"/>
      <c r="AC315" s="9"/>
      <c r="AD315" s="9"/>
      <c r="AE315" s="9"/>
      <c r="AF315" s="9"/>
    </row>
    <row r="316" spans="1:32" ht="54.95" customHeight="1" x14ac:dyDescent="0.2">
      <c r="A316" s="56"/>
      <c r="B316" s="9"/>
      <c r="C316" s="9"/>
      <c r="D316" s="9"/>
      <c r="E316" s="9"/>
      <c r="F316" s="9"/>
      <c r="G316" s="9"/>
      <c r="H316" s="9"/>
      <c r="I316" s="58"/>
      <c r="J316" s="9"/>
      <c r="K316" s="9"/>
      <c r="L316" s="9"/>
      <c r="M316" s="9"/>
      <c r="N316" s="9"/>
      <c r="O316" s="9"/>
      <c r="P316" s="9"/>
      <c r="Q316" s="9"/>
      <c r="R316" s="9"/>
      <c r="S316" s="9"/>
      <c r="T316" s="9"/>
      <c r="U316" s="9"/>
      <c r="V316" s="9"/>
      <c r="W316" s="9"/>
      <c r="X316" s="9"/>
      <c r="Y316" s="9"/>
      <c r="Z316" s="9"/>
      <c r="AA316" s="9"/>
      <c r="AB316" s="9"/>
      <c r="AC316" s="9"/>
      <c r="AD316" s="9"/>
      <c r="AE316" s="9"/>
      <c r="AF316" s="9"/>
    </row>
    <row r="317" spans="1:32" ht="54.95" customHeight="1" x14ac:dyDescent="0.2">
      <c r="A317" s="56"/>
      <c r="B317" s="9"/>
      <c r="C317" s="9"/>
      <c r="D317" s="9"/>
      <c r="E317" s="9"/>
      <c r="F317" s="9"/>
      <c r="G317" s="9"/>
      <c r="H317" s="9"/>
      <c r="I317" s="58"/>
      <c r="J317" s="9"/>
      <c r="K317" s="9"/>
      <c r="L317" s="9"/>
      <c r="M317" s="9"/>
      <c r="N317" s="9"/>
      <c r="O317" s="9"/>
      <c r="P317" s="9"/>
      <c r="Q317" s="9"/>
      <c r="R317" s="9"/>
      <c r="S317" s="9"/>
      <c r="T317" s="9"/>
      <c r="U317" s="9"/>
      <c r="V317" s="9"/>
      <c r="W317" s="9"/>
      <c r="X317" s="9"/>
      <c r="Y317" s="9"/>
      <c r="Z317" s="9"/>
      <c r="AA317" s="9"/>
      <c r="AB317" s="9"/>
      <c r="AC317" s="9"/>
      <c r="AD317" s="9"/>
      <c r="AE317" s="9"/>
      <c r="AF317" s="9"/>
    </row>
    <row r="318" spans="1:32" ht="54.95" customHeight="1" x14ac:dyDescent="0.2">
      <c r="A318" s="56"/>
      <c r="B318" s="9"/>
      <c r="C318" s="9"/>
      <c r="D318" s="9"/>
      <c r="E318" s="9"/>
      <c r="F318" s="9"/>
      <c r="G318" s="9"/>
      <c r="H318" s="9"/>
      <c r="I318" s="58"/>
      <c r="J318" s="9"/>
      <c r="K318" s="9"/>
      <c r="L318" s="9"/>
      <c r="M318" s="9"/>
      <c r="N318" s="9"/>
      <c r="O318" s="9"/>
      <c r="P318" s="9"/>
      <c r="Q318" s="9"/>
      <c r="R318" s="9"/>
      <c r="S318" s="9"/>
      <c r="T318" s="9"/>
      <c r="U318" s="9"/>
      <c r="V318" s="9"/>
      <c r="W318" s="9"/>
      <c r="X318" s="9"/>
      <c r="Y318" s="9"/>
      <c r="Z318" s="9"/>
      <c r="AA318" s="9"/>
      <c r="AB318" s="9"/>
      <c r="AC318" s="9"/>
      <c r="AD318" s="9"/>
      <c r="AE318" s="9"/>
      <c r="AF318" s="9"/>
    </row>
    <row r="319" spans="1:32" ht="54.95" customHeight="1" x14ac:dyDescent="0.2">
      <c r="A319" s="56"/>
      <c r="B319" s="9"/>
      <c r="C319" s="9"/>
      <c r="D319" s="9"/>
      <c r="E319" s="9"/>
      <c r="F319" s="9"/>
      <c r="G319" s="9"/>
      <c r="H319" s="9"/>
      <c r="I319" s="58"/>
      <c r="J319" s="9"/>
      <c r="K319" s="9"/>
      <c r="L319" s="9"/>
      <c r="M319" s="9"/>
      <c r="N319" s="9"/>
      <c r="O319" s="9"/>
      <c r="P319" s="9"/>
      <c r="Q319" s="9"/>
      <c r="R319" s="9"/>
      <c r="S319" s="9"/>
      <c r="T319" s="9"/>
      <c r="U319" s="9"/>
      <c r="V319" s="9"/>
      <c r="W319" s="9"/>
      <c r="X319" s="9"/>
      <c r="Y319" s="9"/>
      <c r="Z319" s="9"/>
      <c r="AA319" s="9"/>
      <c r="AB319" s="9"/>
      <c r="AC319" s="9"/>
      <c r="AD319" s="9"/>
      <c r="AE319" s="9"/>
      <c r="AF319" s="9"/>
    </row>
    <row r="320" spans="1:32" ht="54.95" customHeight="1" x14ac:dyDescent="0.2">
      <c r="A320" s="56"/>
      <c r="B320" s="9"/>
      <c r="C320" s="9"/>
      <c r="D320" s="9"/>
      <c r="E320" s="9"/>
      <c r="F320" s="9"/>
      <c r="G320" s="9"/>
      <c r="H320" s="9"/>
      <c r="I320" s="58"/>
      <c r="J320" s="9"/>
      <c r="K320" s="9"/>
      <c r="L320" s="9"/>
      <c r="M320" s="9"/>
      <c r="N320" s="9"/>
      <c r="O320" s="9"/>
      <c r="P320" s="9"/>
      <c r="Q320" s="9"/>
      <c r="R320" s="9"/>
      <c r="S320" s="9"/>
      <c r="T320" s="9"/>
      <c r="U320" s="9"/>
      <c r="V320" s="9"/>
      <c r="W320" s="9"/>
      <c r="X320" s="9"/>
      <c r="Y320" s="9"/>
      <c r="Z320" s="9"/>
      <c r="AA320" s="9"/>
      <c r="AB320" s="9"/>
      <c r="AC320" s="9"/>
      <c r="AD320" s="9"/>
      <c r="AE320" s="9"/>
      <c r="AF320" s="9"/>
    </row>
    <row r="321" spans="1:32" ht="54.95" customHeight="1" x14ac:dyDescent="0.2">
      <c r="A321" s="56"/>
      <c r="B321" s="9"/>
      <c r="C321" s="9"/>
      <c r="D321" s="9"/>
      <c r="E321" s="9"/>
      <c r="F321" s="9"/>
      <c r="G321" s="9"/>
      <c r="H321" s="9"/>
      <c r="I321" s="58"/>
      <c r="J321" s="9"/>
      <c r="K321" s="9"/>
      <c r="L321" s="9"/>
      <c r="M321" s="9"/>
      <c r="N321" s="9"/>
      <c r="O321" s="9"/>
      <c r="P321" s="9"/>
      <c r="Q321" s="9"/>
      <c r="R321" s="9"/>
      <c r="S321" s="9"/>
      <c r="T321" s="9"/>
      <c r="U321" s="9"/>
      <c r="V321" s="9"/>
      <c r="W321" s="9"/>
      <c r="X321" s="9"/>
      <c r="Y321" s="9"/>
      <c r="Z321" s="9"/>
      <c r="AA321" s="9"/>
      <c r="AB321" s="9"/>
      <c r="AC321" s="9"/>
      <c r="AD321" s="9"/>
      <c r="AE321" s="9"/>
      <c r="AF321" s="9"/>
    </row>
    <row r="322" spans="1:32" ht="54.95" customHeight="1" x14ac:dyDescent="0.2">
      <c r="A322" s="56"/>
      <c r="B322" s="9"/>
      <c r="C322" s="9"/>
      <c r="D322" s="9"/>
      <c r="E322" s="9"/>
      <c r="F322" s="9"/>
      <c r="G322" s="9"/>
      <c r="H322" s="9"/>
      <c r="I322" s="58"/>
      <c r="J322" s="9"/>
      <c r="K322" s="9"/>
      <c r="L322" s="9"/>
      <c r="M322" s="9"/>
      <c r="N322" s="9"/>
      <c r="O322" s="9"/>
      <c r="P322" s="9"/>
      <c r="Q322" s="9"/>
      <c r="R322" s="9"/>
      <c r="S322" s="9"/>
      <c r="T322" s="9"/>
      <c r="U322" s="9"/>
      <c r="V322" s="9"/>
      <c r="W322" s="9"/>
      <c r="X322" s="9"/>
      <c r="Y322" s="9"/>
      <c r="Z322" s="9"/>
      <c r="AA322" s="9"/>
      <c r="AB322" s="9"/>
      <c r="AC322" s="9"/>
      <c r="AD322" s="9"/>
      <c r="AE322" s="9"/>
      <c r="AF322" s="9"/>
    </row>
    <row r="323" spans="1:32" ht="54.95" customHeight="1" x14ac:dyDescent="0.2">
      <c r="A323" s="56"/>
      <c r="B323" s="9"/>
      <c r="C323" s="9"/>
      <c r="D323" s="9"/>
      <c r="E323" s="9"/>
      <c r="F323" s="9"/>
      <c r="G323" s="9"/>
      <c r="H323" s="9"/>
      <c r="I323" s="58"/>
      <c r="J323" s="9"/>
      <c r="K323" s="9"/>
      <c r="L323" s="9"/>
      <c r="M323" s="9"/>
      <c r="N323" s="9"/>
      <c r="O323" s="9"/>
      <c r="P323" s="9"/>
      <c r="Q323" s="9"/>
      <c r="R323" s="9"/>
      <c r="S323" s="9"/>
      <c r="T323" s="9"/>
      <c r="U323" s="9"/>
      <c r="V323" s="9"/>
      <c r="W323" s="9"/>
      <c r="X323" s="9"/>
      <c r="Y323" s="9"/>
      <c r="Z323" s="9"/>
      <c r="AA323" s="9"/>
      <c r="AB323" s="9"/>
      <c r="AC323" s="9"/>
      <c r="AD323" s="9"/>
      <c r="AE323" s="9"/>
      <c r="AF323" s="9"/>
    </row>
    <row r="324" spans="1:32" ht="54.95" customHeight="1" x14ac:dyDescent="0.2">
      <c r="A324" s="56"/>
      <c r="B324" s="9"/>
      <c r="C324" s="9"/>
      <c r="D324" s="9"/>
      <c r="E324" s="9"/>
      <c r="F324" s="9"/>
      <c r="G324" s="9"/>
      <c r="H324" s="9"/>
      <c r="I324" s="58"/>
      <c r="J324" s="9"/>
      <c r="K324" s="9"/>
      <c r="L324" s="9"/>
      <c r="M324" s="9"/>
      <c r="N324" s="9"/>
      <c r="O324" s="9"/>
      <c r="P324" s="9"/>
      <c r="Q324" s="9"/>
      <c r="R324" s="9"/>
      <c r="S324" s="9"/>
      <c r="T324" s="9"/>
      <c r="U324" s="9"/>
      <c r="V324" s="9"/>
      <c r="W324" s="9"/>
      <c r="X324" s="9"/>
      <c r="Y324" s="9"/>
      <c r="Z324" s="9"/>
      <c r="AA324" s="9"/>
      <c r="AB324" s="9"/>
      <c r="AC324" s="9"/>
      <c r="AD324" s="9"/>
      <c r="AE324" s="9"/>
      <c r="AF324" s="9"/>
    </row>
    <row r="325" spans="1:32" ht="54.95" customHeight="1" x14ac:dyDescent="0.2">
      <c r="A325" s="56"/>
      <c r="B325" s="9"/>
      <c r="C325" s="9"/>
      <c r="D325" s="9"/>
      <c r="E325" s="9"/>
      <c r="F325" s="9"/>
      <c r="G325" s="9"/>
      <c r="H325" s="9"/>
      <c r="I325" s="58"/>
      <c r="J325" s="9"/>
      <c r="K325" s="9"/>
      <c r="L325" s="9"/>
      <c r="M325" s="9"/>
      <c r="N325" s="9"/>
      <c r="O325" s="9"/>
      <c r="P325" s="9"/>
      <c r="Q325" s="9"/>
      <c r="R325" s="9"/>
      <c r="S325" s="9"/>
      <c r="T325" s="9"/>
      <c r="U325" s="9"/>
      <c r="V325" s="9"/>
      <c r="W325" s="9"/>
      <c r="X325" s="9"/>
      <c r="Y325" s="9"/>
      <c r="Z325" s="9"/>
      <c r="AA325" s="9"/>
      <c r="AB325" s="9"/>
      <c r="AC325" s="9"/>
      <c r="AD325" s="9"/>
      <c r="AE325" s="9"/>
      <c r="AF325" s="9"/>
    </row>
    <row r="326" spans="1:32" ht="54.95" customHeight="1" x14ac:dyDescent="0.2">
      <c r="A326" s="56"/>
      <c r="B326" s="9"/>
      <c r="C326" s="9"/>
      <c r="D326" s="9"/>
      <c r="E326" s="9"/>
      <c r="F326" s="9"/>
      <c r="G326" s="9"/>
      <c r="H326" s="9"/>
      <c r="I326" s="58"/>
      <c r="J326" s="9"/>
      <c r="K326" s="9"/>
      <c r="L326" s="9"/>
      <c r="M326" s="9"/>
      <c r="N326" s="9"/>
      <c r="O326" s="9"/>
      <c r="P326" s="9"/>
      <c r="Q326" s="9"/>
      <c r="R326" s="9"/>
      <c r="S326" s="9"/>
      <c r="T326" s="9"/>
      <c r="U326" s="9"/>
      <c r="V326" s="9"/>
      <c r="W326" s="9"/>
      <c r="X326" s="9"/>
      <c r="Y326" s="9"/>
      <c r="Z326" s="9"/>
      <c r="AA326" s="9"/>
      <c r="AB326" s="9"/>
      <c r="AC326" s="9"/>
      <c r="AD326" s="9"/>
      <c r="AE326" s="9"/>
      <c r="AF326" s="9"/>
    </row>
    <row r="327" spans="1:32" ht="54.95" customHeight="1" x14ac:dyDescent="0.2">
      <c r="A327" s="56"/>
      <c r="B327" s="9"/>
      <c r="C327" s="9"/>
      <c r="D327" s="9"/>
      <c r="E327" s="9"/>
      <c r="F327" s="9"/>
      <c r="G327" s="9"/>
      <c r="H327" s="9"/>
      <c r="I327" s="58"/>
      <c r="J327" s="9"/>
      <c r="K327" s="9"/>
      <c r="L327" s="9"/>
      <c r="M327" s="9"/>
      <c r="N327" s="9"/>
      <c r="O327" s="9"/>
      <c r="P327" s="9"/>
      <c r="Q327" s="9"/>
      <c r="R327" s="9"/>
      <c r="S327" s="9"/>
      <c r="T327" s="9"/>
      <c r="U327" s="9"/>
      <c r="V327" s="9"/>
      <c r="W327" s="9"/>
      <c r="X327" s="9"/>
      <c r="Y327" s="9"/>
      <c r="Z327" s="9"/>
      <c r="AA327" s="9"/>
      <c r="AB327" s="9"/>
      <c r="AC327" s="9"/>
      <c r="AD327" s="9"/>
      <c r="AE327" s="9"/>
      <c r="AF327" s="9"/>
    </row>
    <row r="328" spans="1:32" ht="54.95" customHeight="1" x14ac:dyDescent="0.2">
      <c r="A328" s="56"/>
      <c r="B328" s="9"/>
      <c r="C328" s="9"/>
      <c r="D328" s="9"/>
      <c r="E328" s="9"/>
      <c r="F328" s="9"/>
      <c r="G328" s="9"/>
      <c r="H328" s="9"/>
      <c r="I328" s="58"/>
      <c r="J328" s="9"/>
      <c r="K328" s="9"/>
      <c r="L328" s="9"/>
      <c r="M328" s="9"/>
      <c r="N328" s="9"/>
      <c r="O328" s="9"/>
      <c r="P328" s="9"/>
      <c r="Q328" s="9"/>
      <c r="R328" s="9"/>
      <c r="S328" s="9"/>
      <c r="T328" s="9"/>
      <c r="U328" s="9"/>
      <c r="V328" s="9"/>
      <c r="W328" s="9"/>
      <c r="X328" s="9"/>
      <c r="Y328" s="9"/>
      <c r="Z328" s="9"/>
      <c r="AA328" s="9"/>
      <c r="AB328" s="9"/>
      <c r="AC328" s="9"/>
      <c r="AD328" s="9"/>
      <c r="AE328" s="9"/>
      <c r="AF328" s="9"/>
    </row>
    <row r="329" spans="1:32" ht="54.95" customHeight="1" x14ac:dyDescent="0.2">
      <c r="A329" s="56"/>
      <c r="B329" s="9"/>
      <c r="C329" s="9"/>
      <c r="D329" s="9"/>
      <c r="E329" s="9"/>
      <c r="F329" s="9"/>
      <c r="G329" s="9"/>
      <c r="H329" s="9"/>
      <c r="I329" s="58"/>
      <c r="J329" s="9"/>
      <c r="K329" s="9"/>
      <c r="L329" s="9"/>
      <c r="M329" s="9"/>
      <c r="N329" s="9"/>
      <c r="O329" s="9"/>
      <c r="P329" s="9"/>
      <c r="Q329" s="9"/>
      <c r="R329" s="9"/>
      <c r="S329" s="9"/>
      <c r="T329" s="9"/>
      <c r="U329" s="9"/>
      <c r="V329" s="9"/>
      <c r="W329" s="9"/>
      <c r="X329" s="9"/>
      <c r="Y329" s="9"/>
      <c r="Z329" s="9"/>
      <c r="AA329" s="9"/>
      <c r="AB329" s="9"/>
      <c r="AC329" s="9"/>
      <c r="AD329" s="9"/>
      <c r="AE329" s="9"/>
      <c r="AF329" s="9"/>
    </row>
    <row r="330" spans="1:32" ht="54.95" customHeight="1" x14ac:dyDescent="0.2">
      <c r="A330" s="56"/>
      <c r="B330" s="9"/>
      <c r="C330" s="9"/>
      <c r="D330" s="9"/>
      <c r="E330" s="9"/>
      <c r="F330" s="9"/>
      <c r="G330" s="9"/>
      <c r="H330" s="9"/>
      <c r="I330" s="58"/>
      <c r="J330" s="9"/>
      <c r="K330" s="9"/>
      <c r="L330" s="9"/>
      <c r="M330" s="9"/>
      <c r="N330" s="9"/>
      <c r="O330" s="9"/>
      <c r="P330" s="9"/>
      <c r="Q330" s="9"/>
      <c r="R330" s="9"/>
      <c r="S330" s="9"/>
      <c r="T330" s="9"/>
      <c r="U330" s="9"/>
      <c r="V330" s="9"/>
      <c r="W330" s="9"/>
      <c r="X330" s="9"/>
      <c r="Y330" s="9"/>
      <c r="Z330" s="9"/>
      <c r="AA330" s="9"/>
      <c r="AB330" s="9"/>
      <c r="AC330" s="9"/>
      <c r="AD330" s="9"/>
      <c r="AE330" s="9"/>
      <c r="AF330" s="9"/>
    </row>
    <row r="331" spans="1:32" ht="54.95" customHeight="1" x14ac:dyDescent="0.2">
      <c r="A331" s="56"/>
      <c r="B331" s="9"/>
      <c r="C331" s="9"/>
      <c r="D331" s="9"/>
      <c r="E331" s="9"/>
      <c r="F331" s="9"/>
      <c r="G331" s="9"/>
      <c r="H331" s="9"/>
      <c r="I331" s="58"/>
      <c r="J331" s="9"/>
      <c r="K331" s="9"/>
      <c r="L331" s="9"/>
      <c r="M331" s="9"/>
      <c r="N331" s="9"/>
      <c r="O331" s="9"/>
      <c r="P331" s="9"/>
      <c r="Q331" s="9"/>
      <c r="R331" s="9"/>
      <c r="S331" s="9"/>
      <c r="T331" s="9"/>
      <c r="U331" s="9"/>
      <c r="V331" s="9"/>
      <c r="W331" s="9"/>
      <c r="X331" s="9"/>
      <c r="Y331" s="9"/>
      <c r="Z331" s="9"/>
      <c r="AA331" s="9"/>
      <c r="AB331" s="9"/>
      <c r="AC331" s="9"/>
      <c r="AD331" s="9"/>
      <c r="AE331" s="9"/>
      <c r="AF331" s="9"/>
    </row>
    <row r="332" spans="1:32" ht="54.95" customHeight="1" x14ac:dyDescent="0.2">
      <c r="A332" s="56"/>
      <c r="B332" s="9"/>
      <c r="C332" s="9"/>
      <c r="D332" s="9"/>
      <c r="E332" s="9"/>
      <c r="F332" s="9"/>
      <c r="G332" s="9"/>
      <c r="H332" s="9"/>
      <c r="I332" s="58"/>
      <c r="J332" s="9"/>
      <c r="K332" s="9"/>
      <c r="L332" s="9"/>
      <c r="M332" s="9"/>
      <c r="N332" s="9"/>
      <c r="O332" s="9"/>
      <c r="P332" s="9"/>
      <c r="Q332" s="9"/>
      <c r="R332" s="9"/>
      <c r="S332" s="9"/>
      <c r="T332" s="9"/>
      <c r="U332" s="9"/>
      <c r="V332" s="9"/>
      <c r="W332" s="9"/>
      <c r="X332" s="9"/>
      <c r="Y332" s="9"/>
      <c r="Z332" s="9"/>
      <c r="AA332" s="9"/>
      <c r="AB332" s="9"/>
      <c r="AC332" s="9"/>
      <c r="AD332" s="9"/>
      <c r="AE332" s="9"/>
      <c r="AF332" s="9"/>
    </row>
    <row r="333" spans="1:32" ht="54.95" customHeight="1" x14ac:dyDescent="0.2">
      <c r="A333" s="56"/>
      <c r="B333" s="9"/>
      <c r="C333" s="9"/>
      <c r="D333" s="9"/>
      <c r="E333" s="9"/>
      <c r="F333" s="9"/>
      <c r="G333" s="9"/>
      <c r="H333" s="9"/>
      <c r="I333" s="58"/>
      <c r="J333" s="9"/>
      <c r="K333" s="9"/>
      <c r="L333" s="9"/>
      <c r="M333" s="9"/>
      <c r="N333" s="9"/>
      <c r="O333" s="9"/>
      <c r="P333" s="9"/>
      <c r="Q333" s="9"/>
      <c r="R333" s="9"/>
      <c r="S333" s="9"/>
      <c r="T333" s="9"/>
      <c r="U333" s="9"/>
      <c r="V333" s="9"/>
      <c r="W333" s="9"/>
      <c r="X333" s="9"/>
      <c r="Y333" s="9"/>
      <c r="Z333" s="9"/>
      <c r="AA333" s="9"/>
      <c r="AB333" s="9"/>
      <c r="AC333" s="9"/>
      <c r="AD333" s="9"/>
      <c r="AE333" s="9"/>
      <c r="AF333" s="9"/>
    </row>
    <row r="334" spans="1:32" ht="54.95" customHeight="1" x14ac:dyDescent="0.2">
      <c r="A334" s="56"/>
      <c r="B334" s="9"/>
      <c r="C334" s="9"/>
      <c r="D334" s="9"/>
      <c r="E334" s="9"/>
      <c r="F334" s="9"/>
      <c r="G334" s="9"/>
      <c r="H334" s="9"/>
      <c r="I334" s="58"/>
      <c r="J334" s="9"/>
      <c r="K334" s="9"/>
      <c r="L334" s="9"/>
      <c r="M334" s="9"/>
      <c r="N334" s="9"/>
      <c r="O334" s="9"/>
      <c r="P334" s="9"/>
      <c r="Q334" s="9"/>
      <c r="R334" s="9"/>
      <c r="S334" s="9"/>
      <c r="T334" s="9"/>
      <c r="U334" s="9"/>
      <c r="V334" s="9"/>
      <c r="W334" s="9"/>
      <c r="X334" s="9"/>
      <c r="Y334" s="9"/>
      <c r="Z334" s="9"/>
      <c r="AA334" s="9"/>
      <c r="AB334" s="9"/>
      <c r="AC334" s="9"/>
      <c r="AD334" s="9"/>
      <c r="AE334" s="9"/>
      <c r="AF334" s="9"/>
    </row>
    <row r="335" spans="1:32" ht="54.95" customHeight="1" x14ac:dyDescent="0.2">
      <c r="A335" s="56"/>
      <c r="B335" s="9"/>
      <c r="C335" s="9"/>
      <c r="D335" s="9"/>
      <c r="E335" s="9"/>
      <c r="F335" s="9"/>
      <c r="G335" s="9"/>
      <c r="H335" s="9"/>
      <c r="I335" s="58"/>
      <c r="J335" s="9"/>
      <c r="K335" s="9"/>
      <c r="L335" s="9"/>
      <c r="M335" s="9"/>
      <c r="N335" s="9"/>
      <c r="O335" s="9"/>
      <c r="P335" s="9"/>
      <c r="Q335" s="9"/>
      <c r="R335" s="9"/>
      <c r="S335" s="9"/>
      <c r="T335" s="9"/>
      <c r="U335" s="9"/>
      <c r="V335" s="9"/>
      <c r="W335" s="9"/>
      <c r="X335" s="9"/>
      <c r="Y335" s="9"/>
      <c r="Z335" s="9"/>
      <c r="AA335" s="9"/>
      <c r="AB335" s="9"/>
      <c r="AC335" s="9"/>
      <c r="AD335" s="9"/>
      <c r="AE335" s="9"/>
      <c r="AF335" s="9"/>
    </row>
    <row r="336" spans="1:32" ht="54.95" customHeight="1" x14ac:dyDescent="0.2">
      <c r="A336" s="56"/>
      <c r="B336" s="9"/>
      <c r="C336" s="9"/>
      <c r="D336" s="9"/>
      <c r="E336" s="9"/>
      <c r="F336" s="9"/>
      <c r="G336" s="9"/>
      <c r="H336" s="9"/>
      <c r="I336" s="58"/>
      <c r="J336" s="9"/>
      <c r="K336" s="9"/>
      <c r="L336" s="9"/>
      <c r="M336" s="9"/>
      <c r="N336" s="9"/>
      <c r="O336" s="9"/>
      <c r="P336" s="9"/>
      <c r="Q336" s="9"/>
      <c r="R336" s="9"/>
      <c r="S336" s="9"/>
      <c r="T336" s="9"/>
      <c r="U336" s="9"/>
      <c r="V336" s="9"/>
      <c r="W336" s="9"/>
      <c r="X336" s="9"/>
      <c r="Y336" s="9"/>
      <c r="Z336" s="9"/>
      <c r="AA336" s="9"/>
      <c r="AB336" s="9"/>
      <c r="AC336" s="9"/>
      <c r="AD336" s="9"/>
      <c r="AE336" s="9"/>
      <c r="AF336" s="9"/>
    </row>
    <row r="337" spans="1:32" ht="54.95" customHeight="1" x14ac:dyDescent="0.2">
      <c r="A337" s="56"/>
      <c r="B337" s="9"/>
      <c r="C337" s="9"/>
      <c r="D337" s="9"/>
      <c r="E337" s="9"/>
      <c r="F337" s="9"/>
      <c r="G337" s="9"/>
      <c r="H337" s="9"/>
      <c r="I337" s="58"/>
      <c r="J337" s="9"/>
      <c r="K337" s="9"/>
      <c r="L337" s="9"/>
      <c r="M337" s="9"/>
      <c r="N337" s="9"/>
      <c r="O337" s="9"/>
      <c r="P337" s="9"/>
      <c r="Q337" s="9"/>
      <c r="R337" s="9"/>
      <c r="S337" s="9"/>
      <c r="T337" s="9"/>
      <c r="U337" s="9"/>
      <c r="V337" s="9"/>
      <c r="W337" s="9"/>
      <c r="X337" s="9"/>
      <c r="Y337" s="9"/>
      <c r="Z337" s="9"/>
      <c r="AA337" s="9"/>
      <c r="AB337" s="9"/>
      <c r="AC337" s="9"/>
      <c r="AD337" s="9"/>
      <c r="AE337" s="9"/>
      <c r="AF337" s="9"/>
    </row>
    <row r="338" spans="1:32" ht="54.95" customHeight="1" x14ac:dyDescent="0.2">
      <c r="A338" s="56"/>
      <c r="B338" s="9"/>
      <c r="C338" s="9"/>
      <c r="D338" s="9"/>
      <c r="E338" s="9"/>
      <c r="F338" s="9"/>
      <c r="G338" s="9"/>
      <c r="H338" s="9"/>
      <c r="I338" s="58"/>
      <c r="J338" s="9"/>
      <c r="K338" s="9"/>
      <c r="L338" s="9"/>
      <c r="M338" s="9"/>
      <c r="N338" s="9"/>
      <c r="O338" s="9"/>
      <c r="P338" s="9"/>
      <c r="Q338" s="9"/>
      <c r="R338" s="9"/>
      <c r="S338" s="9"/>
      <c r="T338" s="9"/>
      <c r="U338" s="9"/>
      <c r="V338" s="9"/>
      <c r="W338" s="9"/>
      <c r="X338" s="9"/>
      <c r="Y338" s="9"/>
      <c r="Z338" s="9"/>
      <c r="AA338" s="9"/>
      <c r="AB338" s="9"/>
      <c r="AC338" s="9"/>
      <c r="AD338" s="9"/>
      <c r="AE338" s="9"/>
      <c r="AF338" s="9"/>
    </row>
    <row r="339" spans="1:32" ht="54.95" customHeight="1" x14ac:dyDescent="0.2">
      <c r="A339" s="56"/>
      <c r="B339" s="9"/>
      <c r="C339" s="9"/>
      <c r="D339" s="9"/>
      <c r="E339" s="9"/>
      <c r="F339" s="9"/>
      <c r="G339" s="9"/>
      <c r="H339" s="9"/>
      <c r="I339" s="58"/>
      <c r="J339" s="9"/>
      <c r="K339" s="9"/>
      <c r="L339" s="9"/>
      <c r="M339" s="9"/>
      <c r="N339" s="9"/>
      <c r="O339" s="9"/>
      <c r="P339" s="9"/>
      <c r="Q339" s="9"/>
      <c r="R339" s="9"/>
      <c r="S339" s="9"/>
      <c r="T339" s="9"/>
      <c r="U339" s="9"/>
      <c r="V339" s="9"/>
      <c r="W339" s="9"/>
      <c r="X339" s="9"/>
      <c r="Y339" s="9"/>
      <c r="Z339" s="9"/>
      <c r="AA339" s="9"/>
      <c r="AB339" s="9"/>
      <c r="AC339" s="9"/>
      <c r="AD339" s="9"/>
      <c r="AE339" s="9"/>
      <c r="AF339" s="9"/>
    </row>
    <row r="340" spans="1:32" ht="54.95" customHeight="1" x14ac:dyDescent="0.2">
      <c r="A340" s="56"/>
      <c r="B340" s="9"/>
      <c r="C340" s="9"/>
      <c r="D340" s="9"/>
      <c r="E340" s="9"/>
      <c r="F340" s="9"/>
      <c r="G340" s="9"/>
      <c r="H340" s="9"/>
      <c r="I340" s="58"/>
      <c r="J340" s="9"/>
      <c r="K340" s="9"/>
      <c r="L340" s="9"/>
      <c r="M340" s="9"/>
      <c r="N340" s="9"/>
      <c r="O340" s="9"/>
      <c r="P340" s="9"/>
      <c r="Q340" s="9"/>
      <c r="R340" s="9"/>
      <c r="S340" s="9"/>
      <c r="T340" s="9"/>
      <c r="U340" s="9"/>
      <c r="V340" s="9"/>
      <c r="W340" s="9"/>
      <c r="X340" s="9"/>
      <c r="Y340" s="9"/>
      <c r="Z340" s="9"/>
      <c r="AA340" s="9"/>
      <c r="AB340" s="9"/>
      <c r="AC340" s="9"/>
      <c r="AD340" s="9"/>
      <c r="AE340" s="9"/>
      <c r="AF340" s="9"/>
    </row>
    <row r="341" spans="1:32" ht="54.95" customHeight="1" x14ac:dyDescent="0.2">
      <c r="A341" s="56"/>
      <c r="B341" s="9"/>
      <c r="C341" s="9"/>
      <c r="D341" s="9"/>
      <c r="E341" s="9"/>
      <c r="F341" s="9"/>
      <c r="G341" s="9"/>
      <c r="H341" s="9"/>
      <c r="I341" s="58"/>
      <c r="J341" s="9"/>
      <c r="K341" s="9"/>
      <c r="L341" s="9"/>
      <c r="M341" s="9"/>
      <c r="N341" s="9"/>
      <c r="O341" s="9"/>
      <c r="P341" s="9"/>
      <c r="Q341" s="9"/>
      <c r="R341" s="9"/>
      <c r="S341" s="9"/>
      <c r="T341" s="9"/>
      <c r="U341" s="9"/>
      <c r="V341" s="9"/>
      <c r="W341" s="9"/>
      <c r="X341" s="9"/>
      <c r="Y341" s="9"/>
      <c r="Z341" s="9"/>
      <c r="AA341" s="9"/>
      <c r="AB341" s="9"/>
      <c r="AC341" s="9"/>
      <c r="AD341" s="9"/>
      <c r="AE341" s="9"/>
      <c r="AF341" s="9"/>
    </row>
    <row r="342" spans="1:32" ht="54.95" customHeight="1" x14ac:dyDescent="0.2">
      <c r="A342" s="56"/>
      <c r="B342" s="9"/>
      <c r="C342" s="9"/>
      <c r="D342" s="9"/>
      <c r="E342" s="9"/>
      <c r="F342" s="9"/>
      <c r="G342" s="9"/>
      <c r="H342" s="9"/>
      <c r="I342" s="58"/>
      <c r="J342" s="9"/>
      <c r="K342" s="9"/>
      <c r="L342" s="9"/>
      <c r="M342" s="9"/>
      <c r="N342" s="9"/>
      <c r="O342" s="9"/>
      <c r="P342" s="9"/>
      <c r="Q342" s="9"/>
      <c r="R342" s="9"/>
      <c r="S342" s="9"/>
      <c r="T342" s="9"/>
      <c r="U342" s="9"/>
      <c r="V342" s="9"/>
      <c r="W342" s="9"/>
      <c r="X342" s="9"/>
      <c r="Y342" s="9"/>
      <c r="Z342" s="9"/>
      <c r="AA342" s="9"/>
      <c r="AB342" s="9"/>
      <c r="AC342" s="9"/>
      <c r="AD342" s="9"/>
      <c r="AE342" s="9"/>
      <c r="AF342" s="9"/>
    </row>
    <row r="343" spans="1:32" ht="54.95" customHeight="1" x14ac:dyDescent="0.2">
      <c r="A343" s="56"/>
      <c r="B343" s="9"/>
      <c r="C343" s="9"/>
      <c r="D343" s="9"/>
      <c r="E343" s="9"/>
      <c r="F343" s="9"/>
      <c r="G343" s="9"/>
      <c r="H343" s="9"/>
      <c r="I343" s="58"/>
      <c r="J343" s="9"/>
      <c r="K343" s="9"/>
      <c r="L343" s="9"/>
      <c r="M343" s="9"/>
      <c r="N343" s="9"/>
      <c r="O343" s="9"/>
      <c r="P343" s="9"/>
      <c r="Q343" s="9"/>
      <c r="R343" s="9"/>
      <c r="S343" s="9"/>
      <c r="T343" s="9"/>
      <c r="U343" s="9"/>
      <c r="V343" s="9"/>
      <c r="W343" s="9"/>
      <c r="X343" s="9"/>
      <c r="Y343" s="9"/>
      <c r="Z343" s="9"/>
      <c r="AA343" s="9"/>
      <c r="AB343" s="9"/>
      <c r="AC343" s="9"/>
      <c r="AD343" s="9"/>
      <c r="AE343" s="9"/>
      <c r="AF343" s="9"/>
    </row>
    <row r="344" spans="1:32" ht="54.95" customHeight="1" x14ac:dyDescent="0.2">
      <c r="A344" s="56"/>
      <c r="B344" s="9"/>
      <c r="C344" s="9"/>
      <c r="D344" s="9"/>
      <c r="E344" s="9"/>
      <c r="F344" s="9"/>
      <c r="G344" s="9"/>
      <c r="H344" s="9"/>
      <c r="I344" s="58"/>
      <c r="J344" s="9"/>
      <c r="K344" s="9"/>
      <c r="L344" s="9"/>
      <c r="M344" s="9"/>
      <c r="N344" s="9"/>
      <c r="O344" s="9"/>
      <c r="P344" s="9"/>
      <c r="Q344" s="9"/>
      <c r="R344" s="9"/>
      <c r="S344" s="9"/>
      <c r="T344" s="9"/>
      <c r="U344" s="9"/>
      <c r="V344" s="9"/>
      <c r="W344" s="9"/>
      <c r="X344" s="9"/>
      <c r="Y344" s="9"/>
      <c r="Z344" s="9"/>
      <c r="AA344" s="9"/>
      <c r="AB344" s="9"/>
      <c r="AC344" s="9"/>
      <c r="AD344" s="9"/>
      <c r="AE344" s="9"/>
      <c r="AF344" s="9"/>
    </row>
    <row r="345" spans="1:32" ht="54.95" customHeight="1" x14ac:dyDescent="0.2">
      <c r="A345" s="56"/>
      <c r="B345" s="9"/>
      <c r="C345" s="9"/>
      <c r="D345" s="9"/>
      <c r="E345" s="9"/>
      <c r="F345" s="9"/>
      <c r="G345" s="9"/>
      <c r="H345" s="9"/>
      <c r="I345" s="58"/>
      <c r="J345" s="9"/>
      <c r="K345" s="9"/>
      <c r="L345" s="9"/>
      <c r="M345" s="9"/>
      <c r="N345" s="9"/>
      <c r="O345" s="9"/>
      <c r="P345" s="9"/>
      <c r="Q345" s="9"/>
      <c r="R345" s="9"/>
      <c r="S345" s="9"/>
      <c r="T345" s="9"/>
      <c r="U345" s="9"/>
      <c r="V345" s="9"/>
      <c r="W345" s="9"/>
      <c r="X345" s="9"/>
      <c r="Y345" s="9"/>
      <c r="Z345" s="9"/>
      <c r="AA345" s="9"/>
      <c r="AB345" s="9"/>
      <c r="AC345" s="9"/>
      <c r="AD345" s="9"/>
      <c r="AE345" s="9"/>
      <c r="AF345" s="9"/>
    </row>
    <row r="346" spans="1:32" ht="54.95" customHeight="1" x14ac:dyDescent="0.2">
      <c r="A346" s="56"/>
      <c r="B346" s="9"/>
      <c r="C346" s="9"/>
      <c r="D346" s="9"/>
      <c r="E346" s="9"/>
      <c r="F346" s="9"/>
      <c r="G346" s="9"/>
      <c r="H346" s="9"/>
      <c r="I346" s="58"/>
      <c r="J346" s="9"/>
      <c r="K346" s="9"/>
      <c r="L346" s="9"/>
      <c r="M346" s="9"/>
      <c r="N346" s="9"/>
      <c r="O346" s="9"/>
      <c r="P346" s="9"/>
      <c r="Q346" s="9"/>
      <c r="R346" s="9"/>
      <c r="S346" s="9"/>
      <c r="T346" s="9"/>
      <c r="U346" s="9"/>
      <c r="V346" s="9"/>
      <c r="W346" s="9"/>
      <c r="X346" s="9"/>
      <c r="Y346" s="9"/>
      <c r="Z346" s="9"/>
      <c r="AA346" s="9"/>
      <c r="AB346" s="9"/>
      <c r="AC346" s="9"/>
      <c r="AD346" s="9"/>
      <c r="AE346" s="9"/>
      <c r="AF346" s="9"/>
    </row>
    <row r="347" spans="1:32" ht="54.95" customHeight="1" x14ac:dyDescent="0.2">
      <c r="A347" s="56"/>
      <c r="B347" s="9"/>
      <c r="C347" s="9"/>
      <c r="D347" s="9"/>
      <c r="E347" s="9"/>
      <c r="F347" s="9"/>
      <c r="G347" s="9"/>
      <c r="H347" s="9"/>
      <c r="I347" s="58"/>
      <c r="J347" s="9"/>
      <c r="K347" s="9"/>
      <c r="L347" s="9"/>
      <c r="M347" s="9"/>
      <c r="N347" s="9"/>
      <c r="O347" s="9"/>
      <c r="P347" s="9"/>
      <c r="Q347" s="9"/>
      <c r="R347" s="9"/>
      <c r="S347" s="9"/>
      <c r="T347" s="9"/>
      <c r="U347" s="9"/>
      <c r="V347" s="9"/>
      <c r="W347" s="9"/>
      <c r="X347" s="9"/>
      <c r="Y347" s="9"/>
      <c r="Z347" s="9"/>
      <c r="AA347" s="9"/>
      <c r="AB347" s="9"/>
      <c r="AC347" s="9"/>
      <c r="AD347" s="9"/>
      <c r="AE347" s="9"/>
      <c r="AF347" s="9"/>
    </row>
    <row r="348" spans="1:32" ht="54.95" customHeight="1" x14ac:dyDescent="0.2">
      <c r="A348" s="56"/>
      <c r="B348" s="9"/>
      <c r="C348" s="9"/>
      <c r="D348" s="9"/>
      <c r="E348" s="9"/>
      <c r="F348" s="9"/>
      <c r="G348" s="9"/>
      <c r="H348" s="9"/>
      <c r="I348" s="58"/>
      <c r="J348" s="9"/>
      <c r="K348" s="9"/>
      <c r="L348" s="9"/>
      <c r="M348" s="9"/>
      <c r="N348" s="9"/>
      <c r="O348" s="9"/>
      <c r="P348" s="9"/>
      <c r="Q348" s="9"/>
      <c r="R348" s="9"/>
      <c r="S348" s="9"/>
      <c r="T348" s="9"/>
      <c r="U348" s="9"/>
      <c r="V348" s="9"/>
      <c r="W348" s="9"/>
      <c r="X348" s="9"/>
      <c r="Y348" s="9"/>
      <c r="Z348" s="9"/>
      <c r="AA348" s="9"/>
      <c r="AB348" s="9"/>
      <c r="AC348" s="9"/>
      <c r="AD348" s="9"/>
      <c r="AE348" s="9"/>
      <c r="AF348" s="9"/>
    </row>
    <row r="349" spans="1:32" ht="54.95" customHeight="1" x14ac:dyDescent="0.2">
      <c r="A349" s="56"/>
      <c r="B349" s="9"/>
      <c r="C349" s="9"/>
      <c r="D349" s="9"/>
      <c r="E349" s="9"/>
      <c r="F349" s="9"/>
      <c r="G349" s="9"/>
      <c r="H349" s="9"/>
      <c r="I349" s="58"/>
      <c r="J349" s="9"/>
      <c r="K349" s="9"/>
      <c r="L349" s="9"/>
      <c r="M349" s="9"/>
      <c r="N349" s="9"/>
      <c r="O349" s="9"/>
      <c r="P349" s="9"/>
      <c r="Q349" s="9"/>
      <c r="R349" s="9"/>
      <c r="S349" s="9"/>
      <c r="T349" s="9"/>
      <c r="U349" s="9"/>
      <c r="V349" s="9"/>
      <c r="W349" s="9"/>
      <c r="X349" s="9"/>
      <c r="Y349" s="9"/>
      <c r="Z349" s="9"/>
      <c r="AA349" s="9"/>
      <c r="AB349" s="9"/>
      <c r="AC349" s="9"/>
      <c r="AD349" s="9"/>
      <c r="AE349" s="9"/>
      <c r="AF349" s="9"/>
    </row>
    <row r="350" spans="1:32" ht="54.95" customHeight="1" x14ac:dyDescent="0.2">
      <c r="A350" s="56"/>
      <c r="B350" s="9"/>
      <c r="C350" s="9"/>
      <c r="D350" s="9"/>
      <c r="E350" s="9"/>
      <c r="F350" s="9"/>
      <c r="G350" s="9"/>
      <c r="H350" s="9"/>
      <c r="I350" s="58"/>
      <c r="J350" s="9"/>
      <c r="K350" s="9"/>
      <c r="L350" s="9"/>
      <c r="M350" s="9"/>
      <c r="N350" s="9"/>
      <c r="O350" s="9"/>
      <c r="P350" s="9"/>
      <c r="Q350" s="9"/>
      <c r="R350" s="9"/>
      <c r="S350" s="9"/>
      <c r="T350" s="9"/>
      <c r="U350" s="9"/>
      <c r="V350" s="9"/>
      <c r="W350" s="9"/>
      <c r="X350" s="9"/>
      <c r="Y350" s="9"/>
      <c r="Z350" s="9"/>
      <c r="AA350" s="9"/>
      <c r="AB350" s="9"/>
      <c r="AC350" s="9"/>
      <c r="AD350" s="9"/>
      <c r="AE350" s="9"/>
      <c r="AF350" s="9"/>
    </row>
    <row r="351" spans="1:32" ht="54.95" customHeight="1" x14ac:dyDescent="0.2">
      <c r="A351" s="56"/>
      <c r="B351" s="9"/>
      <c r="C351" s="9"/>
      <c r="D351" s="9"/>
      <c r="E351" s="9"/>
      <c r="F351" s="9"/>
      <c r="G351" s="9"/>
      <c r="H351" s="9"/>
      <c r="I351" s="58"/>
      <c r="J351" s="9"/>
      <c r="K351" s="9"/>
      <c r="L351" s="9"/>
      <c r="M351" s="9"/>
      <c r="N351" s="9"/>
      <c r="O351" s="9"/>
      <c r="P351" s="9"/>
      <c r="Q351" s="9"/>
      <c r="R351" s="9"/>
      <c r="S351" s="9"/>
      <c r="T351" s="9"/>
      <c r="U351" s="9"/>
      <c r="V351" s="9"/>
      <c r="W351" s="9"/>
      <c r="X351" s="9"/>
      <c r="Y351" s="9"/>
      <c r="Z351" s="9"/>
      <c r="AA351" s="9"/>
      <c r="AB351" s="9"/>
      <c r="AC351" s="9"/>
      <c r="AD351" s="9"/>
      <c r="AE351" s="9"/>
      <c r="AF351" s="9"/>
    </row>
    <row r="352" spans="1:32" ht="54.95" customHeight="1" x14ac:dyDescent="0.2">
      <c r="A352" s="56"/>
      <c r="B352" s="9"/>
      <c r="C352" s="9"/>
      <c r="D352" s="9"/>
      <c r="E352" s="9"/>
      <c r="F352" s="9"/>
      <c r="G352" s="9"/>
      <c r="H352" s="9"/>
      <c r="I352" s="58"/>
      <c r="J352" s="9"/>
      <c r="K352" s="9"/>
      <c r="L352" s="9"/>
      <c r="M352" s="9"/>
      <c r="N352" s="9"/>
      <c r="O352" s="9"/>
      <c r="P352" s="9"/>
      <c r="Q352" s="9"/>
      <c r="R352" s="9"/>
      <c r="S352" s="9"/>
      <c r="T352" s="9"/>
      <c r="U352" s="9"/>
      <c r="V352" s="9"/>
      <c r="W352" s="9"/>
      <c r="X352" s="9"/>
      <c r="Y352" s="9"/>
      <c r="Z352" s="9"/>
      <c r="AA352" s="9"/>
      <c r="AB352" s="9"/>
      <c r="AC352" s="9"/>
      <c r="AD352" s="9"/>
      <c r="AE352" s="9"/>
      <c r="AF352" s="9"/>
    </row>
    <row r="353" spans="1:32" ht="54.95" customHeight="1" x14ac:dyDescent="0.2">
      <c r="A353" s="56"/>
      <c r="B353" s="9"/>
      <c r="C353" s="9"/>
      <c r="D353" s="9"/>
      <c r="E353" s="9"/>
      <c r="F353" s="9"/>
      <c r="G353" s="9"/>
      <c r="H353" s="9"/>
      <c r="I353" s="58"/>
      <c r="J353" s="9"/>
      <c r="K353" s="9"/>
      <c r="L353" s="9"/>
      <c r="M353" s="9"/>
      <c r="N353" s="9"/>
      <c r="O353" s="9"/>
      <c r="P353" s="9"/>
      <c r="Q353" s="9"/>
      <c r="R353" s="9"/>
      <c r="S353" s="9"/>
      <c r="T353" s="9"/>
      <c r="U353" s="9"/>
      <c r="V353" s="9"/>
      <c r="W353" s="9"/>
      <c r="X353" s="9"/>
      <c r="Y353" s="9"/>
      <c r="Z353" s="9"/>
      <c r="AA353" s="9"/>
      <c r="AB353" s="9"/>
      <c r="AC353" s="9"/>
      <c r="AD353" s="9"/>
      <c r="AE353" s="9"/>
      <c r="AF353" s="9"/>
    </row>
    <row r="354" spans="1:32" ht="54.95" customHeight="1" x14ac:dyDescent="0.2">
      <c r="A354" s="56"/>
      <c r="B354" s="9"/>
      <c r="C354" s="9"/>
      <c r="D354" s="9"/>
      <c r="E354" s="9"/>
      <c r="F354" s="9"/>
      <c r="G354" s="9"/>
      <c r="H354" s="9"/>
      <c r="I354" s="58"/>
      <c r="J354" s="9"/>
      <c r="K354" s="9"/>
      <c r="L354" s="9"/>
      <c r="M354" s="9"/>
      <c r="N354" s="9"/>
      <c r="O354" s="9"/>
      <c r="P354" s="9"/>
      <c r="Q354" s="9"/>
      <c r="R354" s="9"/>
      <c r="S354" s="9"/>
      <c r="T354" s="9"/>
      <c r="U354" s="9"/>
      <c r="V354" s="9"/>
      <c r="W354" s="9"/>
      <c r="X354" s="9"/>
      <c r="Y354" s="9"/>
      <c r="Z354" s="9"/>
      <c r="AA354" s="9"/>
      <c r="AB354" s="9"/>
      <c r="AC354" s="9"/>
      <c r="AD354" s="9"/>
      <c r="AE354" s="9"/>
      <c r="AF354" s="9"/>
    </row>
    <row r="355" spans="1:32" ht="54.95" customHeight="1" x14ac:dyDescent="0.2">
      <c r="A355" s="56"/>
      <c r="B355" s="9"/>
      <c r="C355" s="9"/>
      <c r="D355" s="9"/>
      <c r="E355" s="9"/>
      <c r="F355" s="9"/>
      <c r="G355" s="9"/>
      <c r="H355" s="9"/>
      <c r="I355" s="58"/>
      <c r="J355" s="9"/>
      <c r="K355" s="9"/>
      <c r="L355" s="9"/>
      <c r="M355" s="9"/>
      <c r="N355" s="9"/>
      <c r="O355" s="9"/>
      <c r="P355" s="9"/>
      <c r="Q355" s="9"/>
      <c r="R355" s="9"/>
      <c r="S355" s="9"/>
      <c r="T355" s="9"/>
      <c r="U355" s="9"/>
      <c r="V355" s="9"/>
      <c r="W355" s="9"/>
      <c r="X355" s="9"/>
      <c r="Y355" s="9"/>
      <c r="Z355" s="9"/>
      <c r="AA355" s="9"/>
      <c r="AB355" s="9"/>
      <c r="AC355" s="9"/>
      <c r="AD355" s="9"/>
      <c r="AE355" s="9"/>
      <c r="AF355" s="9"/>
    </row>
    <row r="356" spans="1:32" ht="54.95" customHeight="1" x14ac:dyDescent="0.2">
      <c r="A356" s="56"/>
      <c r="B356" s="9"/>
      <c r="C356" s="9"/>
      <c r="D356" s="9"/>
      <c r="E356" s="9"/>
      <c r="F356" s="9"/>
      <c r="G356" s="9"/>
      <c r="H356" s="9"/>
      <c r="I356" s="58"/>
      <c r="J356" s="9"/>
      <c r="K356" s="9"/>
      <c r="L356" s="9"/>
      <c r="M356" s="9"/>
      <c r="N356" s="9"/>
      <c r="O356" s="9"/>
      <c r="P356" s="9"/>
      <c r="Q356" s="9"/>
      <c r="R356" s="9"/>
      <c r="S356" s="9"/>
      <c r="T356" s="9"/>
      <c r="U356" s="9"/>
      <c r="V356" s="9"/>
      <c r="W356" s="9"/>
      <c r="X356" s="9"/>
      <c r="Y356" s="9"/>
      <c r="Z356" s="9"/>
      <c r="AA356" s="9"/>
      <c r="AB356" s="9"/>
      <c r="AC356" s="9"/>
      <c r="AD356" s="9"/>
      <c r="AE356" s="9"/>
      <c r="AF356" s="9"/>
    </row>
    <row r="357" spans="1:32" ht="54.95" customHeight="1" x14ac:dyDescent="0.2">
      <c r="A357" s="56"/>
      <c r="B357" s="9"/>
      <c r="C357" s="9"/>
      <c r="D357" s="9"/>
      <c r="E357" s="9"/>
      <c r="F357" s="9"/>
      <c r="G357" s="9"/>
      <c r="H357" s="9"/>
      <c r="I357" s="58"/>
      <c r="J357" s="9"/>
      <c r="K357" s="9"/>
      <c r="L357" s="9"/>
      <c r="M357" s="9"/>
      <c r="N357" s="9"/>
      <c r="O357" s="9"/>
      <c r="P357" s="9"/>
      <c r="Q357" s="9"/>
      <c r="R357" s="9"/>
      <c r="S357" s="9"/>
      <c r="T357" s="9"/>
      <c r="U357" s="9"/>
      <c r="V357" s="9"/>
      <c r="W357" s="9"/>
      <c r="X357" s="9"/>
      <c r="Y357" s="9"/>
      <c r="Z357" s="9"/>
      <c r="AA357" s="9"/>
      <c r="AB357" s="9"/>
      <c r="AC357" s="9"/>
      <c r="AD357" s="9"/>
      <c r="AE357" s="9"/>
      <c r="AF357" s="9"/>
    </row>
    <row r="358" spans="1:32" ht="54.95" customHeight="1" x14ac:dyDescent="0.2">
      <c r="A358" s="56"/>
      <c r="B358" s="9"/>
      <c r="C358" s="9"/>
      <c r="D358" s="9"/>
      <c r="E358" s="9"/>
      <c r="F358" s="9"/>
      <c r="G358" s="9"/>
      <c r="H358" s="9"/>
      <c r="I358" s="58"/>
      <c r="J358" s="9"/>
      <c r="K358" s="9"/>
      <c r="L358" s="9"/>
      <c r="M358" s="9"/>
      <c r="N358" s="9"/>
      <c r="O358" s="9"/>
      <c r="P358" s="9"/>
      <c r="Q358" s="9"/>
      <c r="R358" s="9"/>
      <c r="S358" s="9"/>
      <c r="T358" s="9"/>
      <c r="U358" s="9"/>
      <c r="V358" s="9"/>
      <c r="W358" s="9"/>
      <c r="X358" s="9"/>
      <c r="Y358" s="9"/>
      <c r="Z358" s="9"/>
      <c r="AA358" s="9"/>
      <c r="AB358" s="9"/>
      <c r="AC358" s="9"/>
      <c r="AD358" s="9"/>
      <c r="AE358" s="9"/>
      <c r="AF358" s="9"/>
    </row>
    <row r="359" spans="1:32" ht="54.95" customHeight="1" x14ac:dyDescent="0.2">
      <c r="A359" s="56"/>
      <c r="B359" s="9"/>
      <c r="C359" s="9"/>
      <c r="D359" s="9"/>
      <c r="E359" s="9"/>
      <c r="F359" s="9"/>
      <c r="G359" s="9"/>
      <c r="H359" s="9"/>
      <c r="I359" s="58"/>
      <c r="J359" s="9"/>
      <c r="K359" s="9"/>
      <c r="L359" s="9"/>
      <c r="M359" s="9"/>
      <c r="N359" s="9"/>
      <c r="O359" s="9"/>
      <c r="P359" s="9"/>
      <c r="Q359" s="9"/>
      <c r="R359" s="9"/>
      <c r="S359" s="9"/>
      <c r="T359" s="9"/>
      <c r="U359" s="9"/>
      <c r="V359" s="9"/>
      <c r="W359" s="9"/>
      <c r="X359" s="9"/>
      <c r="Y359" s="9"/>
      <c r="Z359" s="9"/>
      <c r="AA359" s="9"/>
      <c r="AB359" s="9"/>
      <c r="AC359" s="9"/>
      <c r="AD359" s="9"/>
      <c r="AE359" s="9"/>
      <c r="AF359" s="9"/>
    </row>
    <row r="360" spans="1:32" ht="54.95" customHeight="1" x14ac:dyDescent="0.2">
      <c r="A360" s="56"/>
      <c r="B360" s="9"/>
      <c r="C360" s="9"/>
      <c r="D360" s="9"/>
      <c r="E360" s="9"/>
      <c r="F360" s="9"/>
      <c r="G360" s="9"/>
      <c r="H360" s="9"/>
      <c r="I360" s="58"/>
      <c r="J360" s="9"/>
      <c r="K360" s="9"/>
      <c r="L360" s="9"/>
      <c r="M360" s="9"/>
      <c r="N360" s="9"/>
      <c r="O360" s="9"/>
      <c r="P360" s="9"/>
      <c r="Q360" s="9"/>
      <c r="R360" s="9"/>
      <c r="S360" s="9"/>
      <c r="T360" s="9"/>
      <c r="U360" s="9"/>
      <c r="V360" s="9"/>
      <c r="W360" s="9"/>
      <c r="X360" s="9"/>
      <c r="Y360" s="9"/>
      <c r="Z360" s="9"/>
      <c r="AA360" s="9"/>
      <c r="AB360" s="9"/>
      <c r="AC360" s="9"/>
      <c r="AD360" s="9"/>
      <c r="AE360" s="9"/>
      <c r="AF360" s="9"/>
    </row>
    <row r="361" spans="1:32" ht="54.95" customHeight="1" x14ac:dyDescent="0.2">
      <c r="A361" s="56"/>
      <c r="B361" s="9"/>
      <c r="C361" s="9"/>
      <c r="D361" s="9"/>
      <c r="E361" s="9"/>
      <c r="F361" s="9"/>
      <c r="G361" s="9"/>
      <c r="H361" s="9"/>
      <c r="I361" s="58"/>
      <c r="J361" s="9"/>
      <c r="K361" s="9"/>
      <c r="L361" s="9"/>
      <c r="M361" s="9"/>
      <c r="N361" s="9"/>
      <c r="O361" s="9"/>
      <c r="P361" s="9"/>
      <c r="Q361" s="9"/>
      <c r="R361" s="9"/>
      <c r="S361" s="9"/>
      <c r="T361" s="9"/>
      <c r="U361" s="9"/>
      <c r="V361" s="9"/>
      <c r="W361" s="9"/>
      <c r="X361" s="9"/>
      <c r="Y361" s="9"/>
      <c r="Z361" s="9"/>
      <c r="AA361" s="9"/>
      <c r="AB361" s="9"/>
      <c r="AC361" s="9"/>
      <c r="AD361" s="9"/>
      <c r="AE361" s="9"/>
      <c r="AF361" s="9"/>
    </row>
    <row r="362" spans="1:32" ht="54.95" customHeight="1" x14ac:dyDescent="0.2">
      <c r="A362" s="56"/>
      <c r="B362" s="9"/>
      <c r="C362" s="9"/>
      <c r="D362" s="9"/>
      <c r="E362" s="9"/>
      <c r="F362" s="9"/>
      <c r="G362" s="9"/>
      <c r="H362" s="9"/>
      <c r="I362" s="58"/>
      <c r="J362" s="9"/>
      <c r="K362" s="9"/>
      <c r="L362" s="9"/>
      <c r="M362" s="9"/>
      <c r="N362" s="9"/>
      <c r="O362" s="9"/>
      <c r="P362" s="9"/>
      <c r="Q362" s="9"/>
      <c r="R362" s="9"/>
      <c r="S362" s="9"/>
      <c r="T362" s="9"/>
      <c r="U362" s="9"/>
      <c r="V362" s="9"/>
      <c r="W362" s="9"/>
      <c r="X362" s="9"/>
      <c r="Y362" s="9"/>
      <c r="Z362" s="9"/>
      <c r="AA362" s="9"/>
      <c r="AB362" s="9"/>
      <c r="AC362" s="9"/>
      <c r="AD362" s="9"/>
      <c r="AE362" s="9"/>
      <c r="AF362" s="9"/>
    </row>
    <row r="363" spans="1:32" ht="54.95" customHeight="1" x14ac:dyDescent="0.2">
      <c r="A363" s="56"/>
      <c r="B363" s="9"/>
      <c r="C363" s="9"/>
      <c r="D363" s="9"/>
      <c r="E363" s="9"/>
      <c r="F363" s="9"/>
      <c r="G363" s="9"/>
      <c r="H363" s="9"/>
      <c r="I363" s="58"/>
      <c r="J363" s="9"/>
      <c r="K363" s="9"/>
      <c r="L363" s="9"/>
      <c r="M363" s="9"/>
      <c r="N363" s="9"/>
      <c r="O363" s="9"/>
      <c r="P363" s="9"/>
      <c r="Q363" s="9"/>
      <c r="R363" s="9"/>
      <c r="S363" s="9"/>
      <c r="T363" s="9"/>
      <c r="U363" s="9"/>
      <c r="V363" s="9"/>
      <c r="W363" s="9"/>
      <c r="X363" s="9"/>
      <c r="Y363" s="9"/>
      <c r="Z363" s="9"/>
      <c r="AA363" s="9"/>
      <c r="AB363" s="9"/>
      <c r="AC363" s="9"/>
      <c r="AD363" s="9"/>
      <c r="AE363" s="9"/>
      <c r="AF363" s="9"/>
    </row>
    <row r="364" spans="1:32" ht="54.95" customHeight="1" x14ac:dyDescent="0.2">
      <c r="A364" s="56"/>
      <c r="B364" s="9"/>
      <c r="C364" s="9"/>
      <c r="D364" s="9"/>
      <c r="E364" s="9"/>
      <c r="F364" s="9"/>
      <c r="G364" s="9"/>
      <c r="H364" s="9"/>
      <c r="I364" s="58"/>
      <c r="J364" s="9"/>
      <c r="K364" s="9"/>
      <c r="L364" s="9"/>
      <c r="M364" s="9"/>
      <c r="N364" s="9"/>
      <c r="O364" s="9"/>
      <c r="P364" s="9"/>
      <c r="Q364" s="9"/>
      <c r="R364" s="9"/>
      <c r="S364" s="9"/>
      <c r="T364" s="9"/>
      <c r="U364" s="9"/>
      <c r="V364" s="9"/>
      <c r="W364" s="9"/>
      <c r="X364" s="9"/>
      <c r="Y364" s="9"/>
      <c r="Z364" s="9"/>
      <c r="AA364" s="9"/>
      <c r="AB364" s="9"/>
      <c r="AC364" s="9"/>
      <c r="AD364" s="9"/>
      <c r="AE364" s="9"/>
      <c r="AF364" s="9"/>
    </row>
    <row r="365" spans="1:32" ht="54.95" customHeight="1" x14ac:dyDescent="0.2">
      <c r="A365" s="56"/>
      <c r="B365" s="9"/>
      <c r="C365" s="9"/>
      <c r="D365" s="9"/>
      <c r="E365" s="9"/>
      <c r="F365" s="9"/>
      <c r="G365" s="9"/>
      <c r="H365" s="9"/>
      <c r="I365" s="58"/>
      <c r="J365" s="9"/>
      <c r="K365" s="9"/>
      <c r="L365" s="9"/>
      <c r="M365" s="9"/>
      <c r="N365" s="9"/>
      <c r="O365" s="9"/>
      <c r="P365" s="9"/>
      <c r="Q365" s="9"/>
      <c r="R365" s="9"/>
      <c r="S365" s="9"/>
      <c r="T365" s="9"/>
      <c r="U365" s="9"/>
      <c r="V365" s="9"/>
      <c r="W365" s="9"/>
      <c r="X365" s="9"/>
      <c r="Y365" s="9"/>
      <c r="Z365" s="9"/>
      <c r="AA365" s="9"/>
      <c r="AB365" s="9"/>
      <c r="AC365" s="9"/>
      <c r="AD365" s="9"/>
      <c r="AE365" s="9"/>
      <c r="AF365" s="9"/>
    </row>
    <row r="366" spans="1:32" ht="54.95" customHeight="1" x14ac:dyDescent="0.2">
      <c r="A366" s="56"/>
      <c r="B366" s="9"/>
      <c r="C366" s="9"/>
      <c r="D366" s="9"/>
      <c r="E366" s="9"/>
      <c r="F366" s="9"/>
      <c r="G366" s="9"/>
      <c r="H366" s="9"/>
      <c r="I366" s="58"/>
      <c r="J366" s="9"/>
      <c r="K366" s="9"/>
      <c r="L366" s="9"/>
      <c r="M366" s="9"/>
      <c r="N366" s="9"/>
      <c r="O366" s="9"/>
      <c r="P366" s="9"/>
      <c r="Q366" s="9"/>
      <c r="R366" s="9"/>
      <c r="S366" s="9"/>
      <c r="T366" s="9"/>
      <c r="U366" s="9"/>
      <c r="V366" s="9"/>
      <c r="W366" s="9"/>
      <c r="X366" s="9"/>
      <c r="Y366" s="9"/>
      <c r="Z366" s="9"/>
      <c r="AA366" s="9"/>
      <c r="AB366" s="9"/>
      <c r="AC366" s="9"/>
      <c r="AD366" s="9"/>
      <c r="AE366" s="9"/>
      <c r="AF366" s="9"/>
    </row>
    <row r="367" spans="1:32" ht="54.95" customHeight="1" x14ac:dyDescent="0.2">
      <c r="A367" s="56"/>
      <c r="B367" s="9"/>
      <c r="C367" s="9"/>
      <c r="D367" s="9"/>
      <c r="E367" s="9"/>
      <c r="F367" s="9"/>
      <c r="G367" s="9"/>
      <c r="H367" s="9"/>
      <c r="I367" s="58"/>
      <c r="J367" s="9"/>
      <c r="K367" s="9"/>
      <c r="L367" s="9"/>
      <c r="M367" s="9"/>
      <c r="N367" s="9"/>
      <c r="O367" s="9"/>
      <c r="P367" s="9"/>
      <c r="Q367" s="9"/>
      <c r="R367" s="9"/>
      <c r="S367" s="9"/>
      <c r="T367" s="9"/>
      <c r="U367" s="9"/>
      <c r="V367" s="9"/>
      <c r="W367" s="9"/>
      <c r="X367" s="9"/>
      <c r="Y367" s="9"/>
      <c r="Z367" s="9"/>
      <c r="AA367" s="9"/>
      <c r="AB367" s="9"/>
      <c r="AC367" s="9"/>
      <c r="AD367" s="9"/>
      <c r="AE367" s="9"/>
      <c r="AF367" s="9"/>
    </row>
    <row r="368" spans="1:32" ht="54.95" customHeight="1" x14ac:dyDescent="0.2">
      <c r="A368" s="56"/>
      <c r="B368" s="9"/>
      <c r="C368" s="9"/>
      <c r="D368" s="9"/>
      <c r="E368" s="9"/>
      <c r="F368" s="9"/>
      <c r="G368" s="9"/>
      <c r="H368" s="9"/>
      <c r="I368" s="58"/>
      <c r="J368" s="9"/>
      <c r="K368" s="9"/>
      <c r="L368" s="9"/>
      <c r="M368" s="9"/>
      <c r="N368" s="9"/>
      <c r="O368" s="9"/>
      <c r="P368" s="9"/>
      <c r="Q368" s="9"/>
      <c r="R368" s="9"/>
      <c r="S368" s="9"/>
      <c r="T368" s="9"/>
      <c r="U368" s="9"/>
      <c r="V368" s="9"/>
      <c r="W368" s="9"/>
      <c r="X368" s="9"/>
      <c r="Y368" s="9"/>
      <c r="Z368" s="9"/>
      <c r="AA368" s="9"/>
      <c r="AB368" s="9"/>
      <c r="AC368" s="9"/>
      <c r="AD368" s="9"/>
      <c r="AE368" s="9"/>
      <c r="AF368" s="9"/>
    </row>
    <row r="369" spans="1:32" ht="54.95" customHeight="1" x14ac:dyDescent="0.2">
      <c r="A369" s="56"/>
      <c r="B369" s="9"/>
      <c r="C369" s="9"/>
      <c r="D369" s="9"/>
      <c r="E369" s="9"/>
      <c r="F369" s="9"/>
      <c r="G369" s="9"/>
      <c r="H369" s="9"/>
      <c r="I369" s="58"/>
      <c r="J369" s="9"/>
      <c r="K369" s="9"/>
      <c r="L369" s="9"/>
      <c r="M369" s="9"/>
      <c r="N369" s="9"/>
      <c r="O369" s="9"/>
      <c r="P369" s="9"/>
      <c r="Q369" s="9"/>
      <c r="R369" s="9"/>
      <c r="S369" s="9"/>
      <c r="T369" s="9"/>
      <c r="U369" s="9"/>
      <c r="V369" s="9"/>
      <c r="W369" s="9"/>
      <c r="X369" s="9"/>
      <c r="Y369" s="9"/>
      <c r="Z369" s="9"/>
      <c r="AA369" s="9"/>
      <c r="AB369" s="9"/>
      <c r="AC369" s="9"/>
      <c r="AD369" s="9"/>
      <c r="AE369" s="9"/>
      <c r="AF369" s="9"/>
    </row>
    <row r="370" spans="1:32" ht="54.95" customHeight="1" x14ac:dyDescent="0.2">
      <c r="A370" s="56"/>
      <c r="B370" s="9"/>
      <c r="C370" s="9"/>
      <c r="D370" s="9"/>
      <c r="E370" s="9"/>
      <c r="F370" s="9"/>
      <c r="G370" s="9"/>
      <c r="H370" s="9"/>
      <c r="I370" s="58"/>
      <c r="J370" s="9"/>
      <c r="K370" s="9"/>
      <c r="L370" s="9"/>
      <c r="M370" s="9"/>
      <c r="N370" s="9"/>
      <c r="O370" s="9"/>
      <c r="P370" s="9"/>
      <c r="Q370" s="9"/>
      <c r="R370" s="9"/>
      <c r="S370" s="9"/>
      <c r="T370" s="9"/>
      <c r="U370" s="9"/>
      <c r="V370" s="9"/>
      <c r="W370" s="9"/>
      <c r="X370" s="9"/>
      <c r="Y370" s="9"/>
      <c r="Z370" s="9"/>
      <c r="AA370" s="9"/>
      <c r="AB370" s="9"/>
      <c r="AC370" s="9"/>
      <c r="AD370" s="9"/>
      <c r="AE370" s="9"/>
      <c r="AF370" s="9"/>
    </row>
    <row r="371" spans="1:32" ht="54.95" customHeight="1" x14ac:dyDescent="0.2">
      <c r="A371" s="56"/>
      <c r="B371" s="9"/>
      <c r="C371" s="9"/>
      <c r="D371" s="9"/>
      <c r="E371" s="9"/>
      <c r="F371" s="9"/>
      <c r="G371" s="9"/>
      <c r="H371" s="9"/>
      <c r="I371" s="58"/>
      <c r="J371" s="9"/>
      <c r="K371" s="9"/>
      <c r="L371" s="9"/>
      <c r="M371" s="9"/>
      <c r="N371" s="9"/>
      <c r="O371" s="9"/>
      <c r="P371" s="9"/>
      <c r="Q371" s="9"/>
      <c r="R371" s="9"/>
      <c r="S371" s="9"/>
      <c r="T371" s="9"/>
      <c r="U371" s="9"/>
      <c r="V371" s="9"/>
      <c r="W371" s="9"/>
      <c r="X371" s="9"/>
      <c r="Y371" s="9"/>
      <c r="Z371" s="9"/>
      <c r="AA371" s="9"/>
      <c r="AB371" s="9"/>
      <c r="AC371" s="9"/>
      <c r="AD371" s="9"/>
      <c r="AE371" s="9"/>
      <c r="AF371" s="9"/>
    </row>
    <row r="372" spans="1:32" ht="54.95" customHeight="1" x14ac:dyDescent="0.2">
      <c r="A372" s="56"/>
      <c r="B372" s="9"/>
      <c r="C372" s="9"/>
      <c r="D372" s="9"/>
      <c r="E372" s="9"/>
      <c r="F372" s="9"/>
      <c r="G372" s="9"/>
      <c r="H372" s="9"/>
      <c r="I372" s="58"/>
      <c r="J372" s="9"/>
      <c r="K372" s="9"/>
      <c r="L372" s="9"/>
      <c r="M372" s="9"/>
      <c r="N372" s="9"/>
      <c r="O372" s="9"/>
      <c r="P372" s="9"/>
      <c r="Q372" s="9"/>
      <c r="R372" s="9"/>
      <c r="S372" s="9"/>
      <c r="T372" s="9"/>
      <c r="U372" s="9"/>
      <c r="V372" s="9"/>
      <c r="W372" s="9"/>
      <c r="X372" s="9"/>
      <c r="Y372" s="9"/>
      <c r="Z372" s="9"/>
      <c r="AA372" s="9"/>
      <c r="AB372" s="9"/>
      <c r="AC372" s="9"/>
      <c r="AD372" s="9"/>
      <c r="AE372" s="9"/>
      <c r="AF372" s="9"/>
    </row>
    <row r="373" spans="1:32" ht="54.95" customHeight="1" x14ac:dyDescent="0.2">
      <c r="A373" s="56"/>
      <c r="B373" s="9"/>
      <c r="C373" s="9"/>
      <c r="D373" s="9"/>
      <c r="E373" s="9"/>
      <c r="F373" s="9"/>
      <c r="G373" s="9"/>
      <c r="H373" s="9"/>
      <c r="I373" s="58"/>
      <c r="J373" s="9"/>
      <c r="K373" s="9"/>
      <c r="L373" s="9"/>
      <c r="M373" s="9"/>
      <c r="N373" s="9"/>
      <c r="O373" s="9"/>
      <c r="P373" s="9"/>
      <c r="Q373" s="9"/>
      <c r="R373" s="9"/>
      <c r="S373" s="9"/>
      <c r="T373" s="9"/>
      <c r="U373" s="9"/>
      <c r="V373" s="9"/>
      <c r="W373" s="9"/>
      <c r="X373" s="9"/>
      <c r="Y373" s="9"/>
      <c r="Z373" s="9"/>
      <c r="AA373" s="9"/>
      <c r="AB373" s="9"/>
      <c r="AC373" s="9"/>
      <c r="AD373" s="9"/>
      <c r="AE373" s="9"/>
      <c r="AF373" s="9"/>
    </row>
    <row r="374" spans="1:32" ht="54.95" customHeight="1" x14ac:dyDescent="0.2">
      <c r="A374" s="56"/>
      <c r="B374" s="9"/>
      <c r="C374" s="9"/>
      <c r="D374" s="9"/>
      <c r="E374" s="9"/>
      <c r="F374" s="9"/>
      <c r="G374" s="9"/>
      <c r="H374" s="9"/>
      <c r="I374" s="58"/>
      <c r="J374" s="9"/>
      <c r="K374" s="9"/>
      <c r="L374" s="9"/>
      <c r="M374" s="9"/>
      <c r="N374" s="9"/>
      <c r="O374" s="9"/>
      <c r="P374" s="9"/>
      <c r="Q374" s="9"/>
      <c r="R374" s="9"/>
      <c r="S374" s="9"/>
      <c r="T374" s="9"/>
      <c r="U374" s="9"/>
      <c r="V374" s="9"/>
      <c r="W374" s="9"/>
      <c r="X374" s="9"/>
      <c r="Y374" s="9"/>
      <c r="Z374" s="9"/>
      <c r="AA374" s="9"/>
      <c r="AB374" s="9"/>
      <c r="AC374" s="9"/>
      <c r="AD374" s="9"/>
      <c r="AE374" s="9"/>
      <c r="AF374" s="9"/>
    </row>
    <row r="375" spans="1:32" ht="54.95" customHeight="1" x14ac:dyDescent="0.2">
      <c r="A375" s="56"/>
      <c r="B375" s="9"/>
      <c r="C375" s="9"/>
      <c r="D375" s="9"/>
      <c r="E375" s="9"/>
      <c r="F375" s="9"/>
      <c r="G375" s="9"/>
      <c r="H375" s="9"/>
      <c r="I375" s="58"/>
      <c r="J375" s="9"/>
      <c r="K375" s="9"/>
      <c r="L375" s="9"/>
      <c r="M375" s="9"/>
      <c r="N375" s="9"/>
      <c r="O375" s="9"/>
      <c r="P375" s="9"/>
      <c r="Q375" s="9"/>
      <c r="R375" s="9"/>
      <c r="S375" s="9"/>
      <c r="T375" s="9"/>
      <c r="U375" s="9"/>
      <c r="V375" s="9"/>
      <c r="W375" s="9"/>
      <c r="X375" s="9"/>
      <c r="Y375" s="9"/>
      <c r="Z375" s="9"/>
      <c r="AA375" s="9"/>
      <c r="AB375" s="9"/>
      <c r="AC375" s="9"/>
      <c r="AD375" s="9"/>
      <c r="AE375" s="9"/>
      <c r="AF375" s="9"/>
    </row>
    <row r="376" spans="1:32" ht="54.95" customHeight="1" x14ac:dyDescent="0.2">
      <c r="A376" s="56"/>
      <c r="B376" s="9"/>
      <c r="C376" s="9"/>
      <c r="D376" s="9"/>
      <c r="E376" s="9"/>
      <c r="F376" s="9"/>
      <c r="G376" s="9"/>
      <c r="H376" s="9"/>
      <c r="I376" s="58"/>
      <c r="J376" s="9"/>
      <c r="K376" s="9"/>
      <c r="L376" s="9"/>
      <c r="M376" s="9"/>
      <c r="N376" s="9"/>
      <c r="O376" s="9"/>
      <c r="P376" s="9"/>
      <c r="Q376" s="9"/>
      <c r="R376" s="9"/>
      <c r="S376" s="9"/>
      <c r="T376" s="9"/>
      <c r="U376" s="9"/>
      <c r="V376" s="9"/>
      <c r="W376" s="9"/>
      <c r="X376" s="9"/>
      <c r="Y376" s="9"/>
      <c r="Z376" s="9"/>
      <c r="AA376" s="9"/>
      <c r="AB376" s="9"/>
      <c r="AC376" s="9"/>
      <c r="AD376" s="9"/>
      <c r="AE376" s="9"/>
      <c r="AF376" s="9"/>
    </row>
    <row r="377" spans="1:32" ht="54.95" customHeight="1" x14ac:dyDescent="0.2">
      <c r="A377" s="56"/>
      <c r="B377" s="9"/>
      <c r="C377" s="9"/>
      <c r="D377" s="9"/>
      <c r="E377" s="9"/>
      <c r="F377" s="9"/>
      <c r="G377" s="9"/>
      <c r="H377" s="9"/>
      <c r="I377" s="58"/>
      <c r="J377" s="9"/>
      <c r="K377" s="9"/>
      <c r="L377" s="9"/>
      <c r="M377" s="9"/>
      <c r="N377" s="9"/>
      <c r="O377" s="9"/>
      <c r="P377" s="9"/>
      <c r="Q377" s="9"/>
      <c r="R377" s="9"/>
      <c r="S377" s="9"/>
      <c r="T377" s="9"/>
      <c r="U377" s="9"/>
      <c r="V377" s="9"/>
      <c r="W377" s="9"/>
      <c r="X377" s="9"/>
      <c r="Y377" s="9"/>
      <c r="Z377" s="9"/>
      <c r="AA377" s="9"/>
      <c r="AB377" s="9"/>
      <c r="AC377" s="9"/>
      <c r="AD377" s="9"/>
      <c r="AE377" s="9"/>
      <c r="AF377" s="9"/>
    </row>
    <row r="378" spans="1:32" ht="54.95" customHeight="1" x14ac:dyDescent="0.2">
      <c r="A378" s="56"/>
      <c r="B378" s="9"/>
      <c r="C378" s="9"/>
      <c r="D378" s="9"/>
      <c r="E378" s="9"/>
      <c r="F378" s="9"/>
      <c r="G378" s="9"/>
      <c r="H378" s="9"/>
      <c r="I378" s="58"/>
      <c r="J378" s="9"/>
      <c r="K378" s="9"/>
      <c r="L378" s="9"/>
      <c r="M378" s="9"/>
      <c r="N378" s="9"/>
      <c r="O378" s="9"/>
      <c r="P378" s="9"/>
      <c r="Q378" s="9"/>
      <c r="R378" s="9"/>
      <c r="S378" s="9"/>
      <c r="T378" s="9"/>
      <c r="U378" s="9"/>
      <c r="V378" s="9"/>
      <c r="W378" s="9"/>
      <c r="X378" s="9"/>
      <c r="Y378" s="9"/>
      <c r="Z378" s="9"/>
      <c r="AA378" s="9"/>
      <c r="AB378" s="9"/>
      <c r="AC378" s="9"/>
      <c r="AD378" s="9"/>
      <c r="AE378" s="9"/>
      <c r="AF378" s="9"/>
    </row>
    <row r="379" spans="1:32" ht="54.95" customHeight="1" x14ac:dyDescent="0.2">
      <c r="A379" s="56"/>
      <c r="B379" s="9"/>
      <c r="C379" s="9"/>
      <c r="D379" s="9"/>
      <c r="E379" s="9"/>
      <c r="F379" s="9"/>
      <c r="G379" s="9"/>
      <c r="H379" s="9"/>
      <c r="I379" s="58"/>
      <c r="J379" s="9"/>
      <c r="K379" s="9"/>
      <c r="L379" s="9"/>
      <c r="M379" s="9"/>
      <c r="N379" s="9"/>
      <c r="O379" s="9"/>
      <c r="P379" s="9"/>
      <c r="Q379" s="9"/>
      <c r="R379" s="9"/>
      <c r="S379" s="9"/>
      <c r="T379" s="9"/>
      <c r="U379" s="9"/>
      <c r="V379" s="9"/>
      <c r="W379" s="9"/>
      <c r="X379" s="9"/>
      <c r="Y379" s="9"/>
      <c r="Z379" s="9"/>
      <c r="AA379" s="9"/>
      <c r="AB379" s="9"/>
      <c r="AC379" s="9"/>
      <c r="AD379" s="9"/>
      <c r="AE379" s="9"/>
      <c r="AF379" s="9"/>
    </row>
    <row r="380" spans="1:32" ht="54.95" customHeight="1" x14ac:dyDescent="0.2">
      <c r="A380" s="56"/>
      <c r="B380" s="9"/>
      <c r="C380" s="9"/>
      <c r="D380" s="9"/>
      <c r="E380" s="9"/>
      <c r="F380" s="9"/>
      <c r="G380" s="9"/>
      <c r="H380" s="9"/>
      <c r="I380" s="58"/>
      <c r="J380" s="9"/>
      <c r="K380" s="9"/>
      <c r="L380" s="9"/>
      <c r="M380" s="9"/>
      <c r="N380" s="9"/>
      <c r="O380" s="9"/>
      <c r="P380" s="9"/>
      <c r="Q380" s="9"/>
      <c r="R380" s="9"/>
      <c r="S380" s="9"/>
      <c r="T380" s="9"/>
      <c r="U380" s="9"/>
      <c r="V380" s="9"/>
      <c r="W380" s="9"/>
      <c r="X380" s="9"/>
      <c r="Y380" s="9"/>
      <c r="Z380" s="9"/>
      <c r="AA380" s="9"/>
      <c r="AB380" s="9"/>
      <c r="AC380" s="9"/>
      <c r="AD380" s="9"/>
      <c r="AE380" s="9"/>
      <c r="AF380" s="9"/>
    </row>
    <row r="381" spans="1:32" ht="54.95" customHeight="1" x14ac:dyDescent="0.2">
      <c r="A381" s="56"/>
      <c r="B381" s="9"/>
      <c r="C381" s="9"/>
      <c r="D381" s="9"/>
      <c r="E381" s="9"/>
      <c r="F381" s="9"/>
      <c r="G381" s="9"/>
      <c r="H381" s="9"/>
      <c r="I381" s="58"/>
      <c r="J381" s="9"/>
      <c r="K381" s="9"/>
      <c r="L381" s="9"/>
      <c r="M381" s="9"/>
      <c r="N381" s="9"/>
      <c r="O381" s="9"/>
      <c r="P381" s="9"/>
      <c r="Q381" s="9"/>
      <c r="R381" s="9"/>
      <c r="S381" s="9"/>
      <c r="T381" s="9"/>
      <c r="U381" s="9"/>
      <c r="V381" s="9"/>
      <c r="W381" s="9"/>
      <c r="X381" s="9"/>
      <c r="Y381" s="9"/>
      <c r="Z381" s="9"/>
      <c r="AA381" s="9"/>
      <c r="AB381" s="9"/>
      <c r="AC381" s="9"/>
      <c r="AD381" s="9"/>
      <c r="AE381" s="9"/>
      <c r="AF381" s="9"/>
    </row>
    <row r="382" spans="1:32" ht="54.95" customHeight="1" x14ac:dyDescent="0.2">
      <c r="A382" s="56"/>
      <c r="B382" s="9"/>
      <c r="C382" s="9"/>
      <c r="D382" s="9"/>
      <c r="E382" s="9"/>
      <c r="F382" s="9"/>
      <c r="G382" s="9"/>
      <c r="H382" s="9"/>
      <c r="I382" s="58"/>
      <c r="J382" s="9"/>
      <c r="K382" s="9"/>
      <c r="L382" s="9"/>
      <c r="M382" s="9"/>
      <c r="N382" s="9"/>
      <c r="O382" s="9"/>
      <c r="P382" s="9"/>
      <c r="Q382" s="9"/>
      <c r="R382" s="9"/>
      <c r="S382" s="9"/>
      <c r="T382" s="9"/>
      <c r="U382" s="9"/>
      <c r="V382" s="9"/>
      <c r="W382" s="9"/>
      <c r="X382" s="9"/>
      <c r="Y382" s="9"/>
      <c r="Z382" s="9"/>
      <c r="AA382" s="9"/>
      <c r="AB382" s="9"/>
      <c r="AC382" s="9"/>
      <c r="AD382" s="9"/>
      <c r="AE382" s="9"/>
      <c r="AF382" s="9"/>
    </row>
    <row r="383" spans="1:32" ht="54.95" customHeight="1" x14ac:dyDescent="0.2">
      <c r="A383" s="56"/>
      <c r="B383" s="9"/>
      <c r="C383" s="9"/>
      <c r="D383" s="9"/>
      <c r="E383" s="9"/>
      <c r="F383" s="9"/>
      <c r="G383" s="9"/>
      <c r="H383" s="9"/>
      <c r="I383" s="58"/>
      <c r="J383" s="9"/>
      <c r="K383" s="9"/>
      <c r="L383" s="9"/>
      <c r="M383" s="9"/>
      <c r="N383" s="9"/>
      <c r="O383" s="9"/>
      <c r="P383" s="9"/>
      <c r="Q383" s="9"/>
      <c r="R383" s="9"/>
      <c r="S383" s="9"/>
      <c r="T383" s="9"/>
      <c r="U383" s="9"/>
      <c r="V383" s="9"/>
      <c r="W383" s="9"/>
      <c r="X383" s="9"/>
      <c r="Y383" s="9"/>
      <c r="Z383" s="9"/>
      <c r="AA383" s="9"/>
      <c r="AB383" s="9"/>
      <c r="AC383" s="9"/>
      <c r="AD383" s="9"/>
      <c r="AE383" s="9"/>
      <c r="AF383" s="9"/>
    </row>
    <row r="384" spans="1:32" ht="54.95" customHeight="1" x14ac:dyDescent="0.2">
      <c r="A384" s="56"/>
      <c r="B384" s="9"/>
      <c r="C384" s="9"/>
      <c r="D384" s="9"/>
      <c r="E384" s="9"/>
      <c r="F384" s="9"/>
      <c r="G384" s="9"/>
      <c r="H384" s="9"/>
      <c r="I384" s="58"/>
      <c r="J384" s="9"/>
      <c r="K384" s="9"/>
      <c r="L384" s="9"/>
      <c r="M384" s="9"/>
      <c r="N384" s="9"/>
      <c r="O384" s="9"/>
      <c r="P384" s="9"/>
      <c r="Q384" s="9"/>
      <c r="R384" s="9"/>
      <c r="S384" s="9"/>
      <c r="T384" s="9"/>
      <c r="U384" s="9"/>
      <c r="V384" s="9"/>
      <c r="W384" s="9"/>
      <c r="X384" s="9"/>
      <c r="Y384" s="9"/>
      <c r="Z384" s="9"/>
      <c r="AA384" s="9"/>
      <c r="AB384" s="9"/>
      <c r="AC384" s="9"/>
      <c r="AD384" s="9"/>
      <c r="AE384" s="9"/>
      <c r="AF384" s="9"/>
    </row>
    <row r="385" spans="1:32" ht="54.95" customHeight="1" x14ac:dyDescent="0.2">
      <c r="A385" s="56"/>
      <c r="B385" s="9"/>
      <c r="C385" s="9"/>
      <c r="D385" s="9"/>
      <c r="E385" s="9"/>
      <c r="F385" s="9"/>
      <c r="G385" s="9"/>
      <c r="H385" s="9"/>
      <c r="I385" s="58"/>
      <c r="J385" s="9"/>
      <c r="K385" s="9"/>
      <c r="L385" s="9"/>
      <c r="M385" s="9"/>
      <c r="N385" s="9"/>
      <c r="O385" s="9"/>
      <c r="P385" s="9"/>
      <c r="Q385" s="9"/>
      <c r="R385" s="9"/>
      <c r="S385" s="9"/>
      <c r="T385" s="9"/>
      <c r="U385" s="9"/>
      <c r="V385" s="9"/>
      <c r="W385" s="9"/>
      <c r="X385" s="9"/>
      <c r="Y385" s="9"/>
      <c r="Z385" s="9"/>
      <c r="AA385" s="9"/>
      <c r="AB385" s="9"/>
      <c r="AC385" s="9"/>
      <c r="AD385" s="9"/>
      <c r="AE385" s="9"/>
      <c r="AF385" s="9"/>
    </row>
    <row r="386" spans="1:32" ht="54.95" customHeight="1" x14ac:dyDescent="0.2">
      <c r="A386" s="56"/>
      <c r="B386" s="9"/>
      <c r="C386" s="9"/>
      <c r="D386" s="9"/>
      <c r="E386" s="9"/>
      <c r="F386" s="9"/>
      <c r="G386" s="9"/>
      <c r="H386" s="9"/>
      <c r="I386" s="58"/>
      <c r="J386" s="9"/>
      <c r="K386" s="9"/>
      <c r="L386" s="9"/>
      <c r="M386" s="9"/>
      <c r="N386" s="9"/>
      <c r="O386" s="9"/>
      <c r="P386" s="9"/>
      <c r="Q386" s="9"/>
      <c r="R386" s="9"/>
      <c r="S386" s="9"/>
      <c r="T386" s="9"/>
      <c r="U386" s="9"/>
      <c r="V386" s="9"/>
      <c r="W386" s="9"/>
      <c r="X386" s="9"/>
      <c r="Y386" s="9"/>
      <c r="Z386" s="9"/>
      <c r="AA386" s="9"/>
      <c r="AB386" s="9"/>
      <c r="AC386" s="9"/>
      <c r="AD386" s="9"/>
      <c r="AE386" s="9"/>
      <c r="AF386" s="9"/>
    </row>
    <row r="387" spans="1:32" ht="54.95" customHeight="1" x14ac:dyDescent="0.2">
      <c r="A387" s="56"/>
      <c r="B387" s="9"/>
      <c r="C387" s="9"/>
      <c r="D387" s="9"/>
      <c r="E387" s="9"/>
      <c r="F387" s="9"/>
      <c r="G387" s="9"/>
      <c r="H387" s="9"/>
      <c r="I387" s="58"/>
      <c r="J387" s="9"/>
      <c r="K387" s="9"/>
      <c r="L387" s="9"/>
      <c r="M387" s="9"/>
      <c r="N387" s="9"/>
      <c r="O387" s="9"/>
      <c r="P387" s="9"/>
      <c r="Q387" s="9"/>
      <c r="R387" s="9"/>
      <c r="S387" s="9"/>
      <c r="T387" s="9"/>
      <c r="U387" s="9"/>
      <c r="V387" s="9"/>
      <c r="W387" s="9"/>
      <c r="X387" s="9"/>
      <c r="Y387" s="9"/>
      <c r="Z387" s="9"/>
      <c r="AA387" s="9"/>
      <c r="AB387" s="9"/>
      <c r="AC387" s="9"/>
      <c r="AD387" s="9"/>
      <c r="AE387" s="9"/>
      <c r="AF387" s="9"/>
    </row>
    <row r="388" spans="1:32" ht="54.95" customHeight="1" x14ac:dyDescent="0.2">
      <c r="A388" s="56"/>
      <c r="B388" s="9"/>
      <c r="C388" s="9"/>
      <c r="D388" s="9"/>
      <c r="E388" s="9"/>
      <c r="F388" s="9"/>
      <c r="G388" s="9"/>
      <c r="H388" s="9"/>
      <c r="I388" s="58"/>
      <c r="J388" s="9"/>
      <c r="K388" s="9"/>
      <c r="L388" s="9"/>
      <c r="M388" s="9"/>
      <c r="N388" s="9"/>
      <c r="O388" s="9"/>
      <c r="P388" s="9"/>
      <c r="Q388" s="9"/>
      <c r="R388" s="9"/>
      <c r="S388" s="9"/>
      <c r="T388" s="9"/>
      <c r="U388" s="9"/>
      <c r="V388" s="9"/>
      <c r="W388" s="9"/>
      <c r="X388" s="9"/>
      <c r="Y388" s="9"/>
      <c r="Z388" s="9"/>
      <c r="AA388" s="9"/>
      <c r="AB388" s="9"/>
      <c r="AC388" s="9"/>
      <c r="AD388" s="9"/>
      <c r="AE388" s="9"/>
      <c r="AF388" s="9"/>
    </row>
    <row r="389" spans="1:32" ht="54.95" customHeight="1" x14ac:dyDescent="0.2">
      <c r="A389" s="56"/>
      <c r="B389" s="9"/>
      <c r="C389" s="9"/>
      <c r="D389" s="9"/>
      <c r="E389" s="9"/>
      <c r="F389" s="9"/>
      <c r="G389" s="9"/>
      <c r="H389" s="9"/>
      <c r="I389" s="58"/>
      <c r="J389" s="9"/>
      <c r="K389" s="9"/>
      <c r="L389" s="9"/>
      <c r="M389" s="9"/>
      <c r="N389" s="9"/>
      <c r="O389" s="9"/>
      <c r="P389" s="9"/>
      <c r="Q389" s="9"/>
      <c r="R389" s="9"/>
      <c r="S389" s="9"/>
      <c r="T389" s="9"/>
      <c r="U389" s="9"/>
      <c r="V389" s="9"/>
      <c r="W389" s="9"/>
      <c r="X389" s="9"/>
      <c r="Y389" s="9"/>
      <c r="Z389" s="9"/>
      <c r="AA389" s="9"/>
      <c r="AB389" s="9"/>
      <c r="AC389" s="9"/>
      <c r="AD389" s="9"/>
      <c r="AE389" s="9"/>
      <c r="AF389" s="9"/>
    </row>
    <row r="390" spans="1:32" ht="54.95" customHeight="1" x14ac:dyDescent="0.2">
      <c r="A390" s="56"/>
      <c r="B390" s="9"/>
      <c r="C390" s="9"/>
      <c r="D390" s="9"/>
      <c r="E390" s="9"/>
      <c r="F390" s="9"/>
      <c r="G390" s="9"/>
      <c r="H390" s="9"/>
      <c r="I390" s="58"/>
      <c r="J390" s="9"/>
      <c r="K390" s="9"/>
      <c r="L390" s="9"/>
      <c r="M390" s="9"/>
      <c r="N390" s="9"/>
      <c r="O390" s="9"/>
      <c r="P390" s="9"/>
      <c r="Q390" s="9"/>
      <c r="R390" s="9"/>
      <c r="S390" s="9"/>
      <c r="T390" s="9"/>
      <c r="U390" s="9"/>
      <c r="V390" s="9"/>
      <c r="W390" s="9"/>
      <c r="X390" s="9"/>
      <c r="Y390" s="9"/>
      <c r="Z390" s="9"/>
      <c r="AA390" s="9"/>
      <c r="AB390" s="9"/>
      <c r="AC390" s="9"/>
      <c r="AD390" s="9"/>
      <c r="AE390" s="9"/>
      <c r="AF390" s="9"/>
    </row>
    <row r="391" spans="1:32" ht="54.95" customHeight="1" x14ac:dyDescent="0.2">
      <c r="A391" s="56"/>
      <c r="B391" s="9"/>
      <c r="C391" s="9"/>
      <c r="D391" s="9"/>
      <c r="E391" s="9"/>
      <c r="F391" s="9"/>
      <c r="G391" s="9"/>
      <c r="H391" s="9"/>
      <c r="I391" s="58"/>
      <c r="J391" s="9"/>
      <c r="K391" s="9"/>
      <c r="L391" s="9"/>
      <c r="M391" s="9"/>
      <c r="N391" s="9"/>
      <c r="O391" s="9"/>
      <c r="P391" s="9"/>
      <c r="Q391" s="9"/>
      <c r="R391" s="9"/>
      <c r="S391" s="9"/>
      <c r="T391" s="9"/>
      <c r="U391" s="9"/>
      <c r="V391" s="9"/>
      <c r="W391" s="9"/>
      <c r="X391" s="9"/>
      <c r="Y391" s="9"/>
      <c r="Z391" s="9"/>
      <c r="AA391" s="9"/>
      <c r="AB391" s="9"/>
      <c r="AC391" s="9"/>
      <c r="AD391" s="9"/>
      <c r="AE391" s="9"/>
      <c r="AF391" s="9"/>
    </row>
    <row r="392" spans="1:32" ht="54.95" customHeight="1" x14ac:dyDescent="0.2">
      <c r="A392" s="56"/>
      <c r="B392" s="9"/>
      <c r="C392" s="9"/>
      <c r="D392" s="9"/>
      <c r="E392" s="9"/>
      <c r="F392" s="9"/>
      <c r="G392" s="9"/>
      <c r="H392" s="9"/>
      <c r="I392" s="58"/>
      <c r="J392" s="9"/>
      <c r="K392" s="9"/>
      <c r="L392" s="9"/>
      <c r="M392" s="9"/>
      <c r="N392" s="9"/>
      <c r="O392" s="9"/>
      <c r="P392" s="9"/>
      <c r="Q392" s="9"/>
      <c r="R392" s="9"/>
      <c r="S392" s="9"/>
      <c r="T392" s="9"/>
      <c r="U392" s="9"/>
      <c r="V392" s="9"/>
      <c r="W392" s="9"/>
      <c r="X392" s="9"/>
      <c r="Y392" s="9"/>
      <c r="Z392" s="9"/>
      <c r="AA392" s="9"/>
      <c r="AB392" s="9"/>
      <c r="AC392" s="9"/>
      <c r="AD392" s="9"/>
      <c r="AE392" s="9"/>
      <c r="AF392" s="9"/>
    </row>
    <row r="393" spans="1:32" ht="54.95" customHeight="1" x14ac:dyDescent="0.2">
      <c r="A393" s="56"/>
      <c r="B393" s="9"/>
      <c r="C393" s="9"/>
      <c r="D393" s="9"/>
      <c r="E393" s="9"/>
      <c r="F393" s="9"/>
      <c r="G393" s="9"/>
      <c r="H393" s="9"/>
      <c r="I393" s="58"/>
      <c r="J393" s="9"/>
      <c r="K393" s="9"/>
      <c r="L393" s="9"/>
      <c r="M393" s="9"/>
      <c r="N393" s="9"/>
      <c r="O393" s="9"/>
      <c r="P393" s="9"/>
      <c r="Q393" s="9"/>
      <c r="R393" s="9"/>
      <c r="S393" s="9"/>
      <c r="T393" s="9"/>
      <c r="U393" s="9"/>
      <c r="V393" s="9"/>
      <c r="W393" s="9"/>
      <c r="X393" s="9"/>
      <c r="Y393" s="9"/>
      <c r="Z393" s="9"/>
      <c r="AA393" s="9"/>
      <c r="AB393" s="9"/>
      <c r="AC393" s="9"/>
      <c r="AD393" s="9"/>
      <c r="AE393" s="9"/>
      <c r="AF393" s="9"/>
    </row>
    <row r="394" spans="1:32" ht="54.95" customHeight="1" x14ac:dyDescent="0.2">
      <c r="A394" s="56"/>
      <c r="B394" s="9"/>
      <c r="C394" s="9"/>
      <c r="D394" s="9"/>
      <c r="E394" s="9"/>
      <c r="F394" s="9"/>
      <c r="G394" s="9"/>
      <c r="H394" s="9"/>
      <c r="I394" s="58"/>
      <c r="J394" s="9"/>
      <c r="K394" s="9"/>
      <c r="L394" s="9"/>
      <c r="M394" s="9"/>
      <c r="N394" s="9"/>
      <c r="O394" s="9"/>
      <c r="P394" s="9"/>
      <c r="Q394" s="9"/>
      <c r="R394" s="9"/>
      <c r="S394" s="9"/>
      <c r="T394" s="9"/>
      <c r="U394" s="9"/>
      <c r="V394" s="9"/>
      <c r="W394" s="9"/>
      <c r="X394" s="9"/>
      <c r="Y394" s="9"/>
      <c r="Z394" s="9"/>
      <c r="AA394" s="9"/>
      <c r="AB394" s="9"/>
      <c r="AC394" s="9"/>
      <c r="AD394" s="9"/>
      <c r="AE394" s="9"/>
      <c r="AF394" s="9"/>
    </row>
    <row r="395" spans="1:32" ht="54.95" customHeight="1" x14ac:dyDescent="0.2">
      <c r="A395" s="56"/>
      <c r="B395" s="9"/>
      <c r="C395" s="9"/>
      <c r="D395" s="9"/>
      <c r="E395" s="9"/>
      <c r="F395" s="9"/>
      <c r="G395" s="9"/>
      <c r="H395" s="9"/>
      <c r="I395" s="58"/>
      <c r="J395" s="9"/>
      <c r="K395" s="9"/>
      <c r="L395" s="9"/>
      <c r="M395" s="9"/>
      <c r="N395" s="9"/>
      <c r="O395" s="9"/>
      <c r="P395" s="9"/>
      <c r="Q395" s="9"/>
      <c r="R395" s="9"/>
      <c r="S395" s="9"/>
      <c r="T395" s="9"/>
      <c r="U395" s="9"/>
      <c r="V395" s="9"/>
      <c r="W395" s="9"/>
      <c r="X395" s="9"/>
      <c r="Y395" s="9"/>
      <c r="Z395" s="9"/>
      <c r="AA395" s="9"/>
      <c r="AB395" s="9"/>
      <c r="AC395" s="9"/>
      <c r="AD395" s="9"/>
      <c r="AE395" s="9"/>
      <c r="AF395" s="9"/>
    </row>
    <row r="396" spans="1:32" ht="54.95" customHeight="1" x14ac:dyDescent="0.2">
      <c r="A396" s="56"/>
      <c r="B396" s="9"/>
      <c r="C396" s="9"/>
      <c r="D396" s="9"/>
      <c r="E396" s="9"/>
      <c r="F396" s="9"/>
      <c r="G396" s="9"/>
      <c r="H396" s="9"/>
      <c r="I396" s="58"/>
      <c r="J396" s="9"/>
      <c r="K396" s="9"/>
      <c r="L396" s="9"/>
      <c r="M396" s="9"/>
      <c r="N396" s="9"/>
      <c r="O396" s="9"/>
      <c r="P396" s="9"/>
      <c r="Q396" s="9"/>
      <c r="R396" s="9"/>
      <c r="S396" s="9"/>
      <c r="T396" s="9"/>
      <c r="U396" s="9"/>
      <c r="V396" s="9"/>
      <c r="W396" s="9"/>
      <c r="X396" s="9"/>
      <c r="Y396" s="9"/>
      <c r="Z396" s="9"/>
      <c r="AA396" s="9"/>
      <c r="AB396" s="9"/>
      <c r="AC396" s="9"/>
      <c r="AD396" s="9"/>
      <c r="AE396" s="9"/>
      <c r="AF396" s="9"/>
    </row>
    <row r="397" spans="1:32" ht="54.95" customHeight="1" x14ac:dyDescent="0.2">
      <c r="A397" s="56"/>
      <c r="B397" s="9"/>
      <c r="C397" s="9"/>
      <c r="D397" s="9"/>
      <c r="E397" s="9"/>
      <c r="F397" s="9"/>
      <c r="G397" s="9"/>
      <c r="H397" s="9"/>
      <c r="I397" s="58"/>
      <c r="J397" s="9"/>
      <c r="K397" s="9"/>
      <c r="L397" s="9"/>
      <c r="M397" s="9"/>
      <c r="N397" s="9"/>
      <c r="O397" s="9"/>
      <c r="P397" s="9"/>
      <c r="Q397" s="9"/>
      <c r="R397" s="9"/>
      <c r="S397" s="9"/>
      <c r="T397" s="9"/>
      <c r="U397" s="9"/>
      <c r="V397" s="9"/>
      <c r="W397" s="9"/>
      <c r="X397" s="9"/>
      <c r="Y397" s="9"/>
      <c r="Z397" s="9"/>
      <c r="AA397" s="9"/>
      <c r="AB397" s="9"/>
      <c r="AC397" s="9"/>
      <c r="AD397" s="9"/>
      <c r="AE397" s="9"/>
      <c r="AF397" s="9"/>
    </row>
    <row r="398" spans="1:32" ht="54.95" customHeight="1" x14ac:dyDescent="0.2">
      <c r="A398" s="56"/>
      <c r="B398" s="9"/>
      <c r="C398" s="9"/>
      <c r="D398" s="9"/>
      <c r="E398" s="9"/>
      <c r="F398" s="9"/>
      <c r="G398" s="9"/>
      <c r="H398" s="9"/>
      <c r="I398" s="58"/>
      <c r="J398" s="9"/>
      <c r="K398" s="9"/>
      <c r="L398" s="9"/>
      <c r="M398" s="9"/>
      <c r="N398" s="9"/>
      <c r="O398" s="9"/>
      <c r="P398" s="9"/>
      <c r="Q398" s="9"/>
      <c r="R398" s="9"/>
      <c r="S398" s="9"/>
      <c r="T398" s="9"/>
      <c r="U398" s="9"/>
      <c r="V398" s="9"/>
      <c r="W398" s="9"/>
      <c r="X398" s="9"/>
      <c r="Y398" s="9"/>
      <c r="Z398" s="9"/>
      <c r="AA398" s="9"/>
      <c r="AB398" s="9"/>
      <c r="AC398" s="9"/>
      <c r="AD398" s="9"/>
      <c r="AE398" s="9"/>
      <c r="AF398" s="9"/>
    </row>
    <row r="399" spans="1:32" ht="54.95" customHeight="1" x14ac:dyDescent="0.2">
      <c r="A399" s="56"/>
      <c r="B399" s="9"/>
      <c r="C399" s="9"/>
      <c r="D399" s="9"/>
      <c r="E399" s="9"/>
      <c r="F399" s="9"/>
      <c r="G399" s="9"/>
      <c r="H399" s="9"/>
      <c r="I399" s="58"/>
      <c r="J399" s="9"/>
      <c r="K399" s="9"/>
      <c r="L399" s="9"/>
      <c r="M399" s="9"/>
      <c r="N399" s="9"/>
      <c r="O399" s="9"/>
      <c r="P399" s="9"/>
      <c r="Q399" s="9"/>
      <c r="R399" s="9"/>
      <c r="S399" s="9"/>
      <c r="T399" s="9"/>
      <c r="U399" s="9"/>
      <c r="V399" s="9"/>
      <c r="W399" s="9"/>
      <c r="X399" s="9"/>
      <c r="Y399" s="9"/>
      <c r="Z399" s="9"/>
      <c r="AA399" s="9"/>
      <c r="AB399" s="9"/>
      <c r="AC399" s="9"/>
      <c r="AD399" s="9"/>
      <c r="AE399" s="9"/>
      <c r="AF399" s="9"/>
    </row>
    <row r="400" spans="1:32" ht="54.95" customHeight="1" x14ac:dyDescent="0.2">
      <c r="A400" s="56"/>
      <c r="B400" s="9"/>
      <c r="C400" s="9"/>
      <c r="D400" s="9"/>
      <c r="E400" s="9"/>
      <c r="F400" s="9"/>
      <c r="G400" s="9"/>
      <c r="H400" s="9"/>
      <c r="I400" s="58"/>
      <c r="J400" s="9"/>
      <c r="K400" s="9"/>
      <c r="L400" s="9"/>
      <c r="M400" s="9"/>
      <c r="N400" s="9"/>
      <c r="O400" s="9"/>
      <c r="P400" s="9"/>
      <c r="Q400" s="9"/>
      <c r="R400" s="9"/>
      <c r="S400" s="9"/>
      <c r="T400" s="9"/>
      <c r="U400" s="9"/>
      <c r="V400" s="9"/>
      <c r="W400" s="9"/>
      <c r="X400" s="9"/>
      <c r="Y400" s="9"/>
      <c r="Z400" s="9"/>
      <c r="AA400" s="9"/>
      <c r="AB400" s="9"/>
      <c r="AC400" s="9"/>
      <c r="AD400" s="9"/>
      <c r="AE400" s="9"/>
      <c r="AF400" s="9"/>
    </row>
    <row r="401" spans="1:32" ht="54.95" customHeight="1" x14ac:dyDescent="0.2">
      <c r="A401" s="56"/>
      <c r="B401" s="9"/>
      <c r="C401" s="9"/>
      <c r="D401" s="9"/>
      <c r="E401" s="9"/>
      <c r="F401" s="9"/>
      <c r="G401" s="9"/>
      <c r="H401" s="9"/>
      <c r="I401" s="58"/>
      <c r="J401" s="9"/>
      <c r="K401" s="9"/>
      <c r="L401" s="9"/>
      <c r="M401" s="9"/>
      <c r="N401" s="9"/>
      <c r="O401" s="9"/>
      <c r="P401" s="9"/>
      <c r="Q401" s="9"/>
      <c r="R401" s="9"/>
      <c r="S401" s="9"/>
      <c r="T401" s="9"/>
      <c r="U401" s="9"/>
      <c r="V401" s="9"/>
      <c r="W401" s="9"/>
      <c r="X401" s="9"/>
      <c r="Y401" s="9"/>
      <c r="Z401" s="9"/>
      <c r="AA401" s="9"/>
      <c r="AB401" s="9"/>
      <c r="AC401" s="9"/>
      <c r="AD401" s="9"/>
      <c r="AE401" s="9"/>
      <c r="AF401" s="9"/>
    </row>
    <row r="402" spans="1:32" ht="54.95" customHeight="1" x14ac:dyDescent="0.2">
      <c r="A402" s="56"/>
      <c r="B402" s="9"/>
      <c r="C402" s="9"/>
      <c r="D402" s="9"/>
      <c r="E402" s="9"/>
      <c r="F402" s="9"/>
      <c r="G402" s="9"/>
      <c r="H402" s="9"/>
      <c r="I402" s="58"/>
      <c r="J402" s="9"/>
      <c r="K402" s="9"/>
      <c r="L402" s="9"/>
      <c r="M402" s="9"/>
      <c r="N402" s="9"/>
      <c r="O402" s="9"/>
      <c r="P402" s="9"/>
      <c r="Q402" s="9"/>
      <c r="R402" s="9"/>
      <c r="S402" s="9"/>
      <c r="T402" s="9"/>
      <c r="U402" s="9"/>
      <c r="V402" s="9"/>
      <c r="W402" s="9"/>
      <c r="X402" s="9"/>
      <c r="Y402" s="9"/>
      <c r="Z402" s="9"/>
      <c r="AA402" s="9"/>
      <c r="AB402" s="9"/>
      <c r="AC402" s="9"/>
      <c r="AD402" s="9"/>
      <c r="AE402" s="9"/>
      <c r="AF402" s="9"/>
    </row>
    <row r="403" spans="1:32" ht="54.95" customHeight="1" x14ac:dyDescent="0.2">
      <c r="A403" s="56"/>
      <c r="B403" s="9"/>
      <c r="C403" s="9"/>
      <c r="D403" s="9"/>
      <c r="E403" s="9"/>
      <c r="F403" s="9"/>
      <c r="G403" s="9"/>
      <c r="H403" s="9"/>
      <c r="I403" s="58"/>
      <c r="J403" s="9"/>
      <c r="K403" s="9"/>
      <c r="L403" s="9"/>
      <c r="M403" s="9"/>
      <c r="N403" s="9"/>
      <c r="O403" s="9"/>
      <c r="P403" s="9"/>
      <c r="Q403" s="9"/>
      <c r="R403" s="9"/>
      <c r="S403" s="9"/>
      <c r="T403" s="9"/>
      <c r="U403" s="9"/>
      <c r="V403" s="9"/>
      <c r="W403" s="9"/>
      <c r="X403" s="9"/>
      <c r="Y403" s="9"/>
      <c r="Z403" s="9"/>
      <c r="AA403" s="9"/>
      <c r="AB403" s="9"/>
      <c r="AC403" s="9"/>
      <c r="AD403" s="9"/>
      <c r="AE403" s="9"/>
      <c r="AF403" s="9"/>
    </row>
    <row r="404" spans="1:32" ht="54.95" customHeight="1" x14ac:dyDescent="0.2">
      <c r="A404" s="56"/>
      <c r="B404" s="9"/>
      <c r="C404" s="9"/>
      <c r="D404" s="9"/>
      <c r="E404" s="9"/>
      <c r="F404" s="9"/>
      <c r="G404" s="9"/>
      <c r="H404" s="9"/>
      <c r="I404" s="58"/>
      <c r="J404" s="9"/>
      <c r="K404" s="9"/>
      <c r="L404" s="9"/>
      <c r="M404" s="9"/>
      <c r="N404" s="9"/>
      <c r="O404" s="9"/>
      <c r="P404" s="9"/>
      <c r="Q404" s="9"/>
      <c r="R404" s="9"/>
      <c r="S404" s="9"/>
      <c r="T404" s="9"/>
      <c r="U404" s="9"/>
      <c r="V404" s="9"/>
      <c r="W404" s="9"/>
      <c r="X404" s="9"/>
      <c r="Y404" s="9"/>
      <c r="Z404" s="9"/>
      <c r="AA404" s="9"/>
      <c r="AB404" s="9"/>
      <c r="AC404" s="9"/>
      <c r="AD404" s="9"/>
      <c r="AE404" s="9"/>
      <c r="AF404" s="9"/>
    </row>
    <row r="405" spans="1:32" ht="54.95" customHeight="1" x14ac:dyDescent="0.2">
      <c r="A405" s="56"/>
      <c r="B405" s="9"/>
      <c r="C405" s="9"/>
      <c r="D405" s="9"/>
      <c r="E405" s="9"/>
      <c r="F405" s="9"/>
      <c r="G405" s="9"/>
      <c r="H405" s="9"/>
      <c r="I405" s="58"/>
      <c r="J405" s="9"/>
      <c r="K405" s="9"/>
      <c r="L405" s="9"/>
      <c r="M405" s="9"/>
      <c r="N405" s="9"/>
      <c r="O405" s="9"/>
      <c r="P405" s="9"/>
      <c r="Q405" s="9"/>
      <c r="R405" s="9"/>
      <c r="S405" s="9"/>
      <c r="T405" s="9"/>
      <c r="U405" s="9"/>
      <c r="V405" s="9"/>
      <c r="W405" s="9"/>
      <c r="X405" s="9"/>
      <c r="Y405" s="9"/>
      <c r="Z405" s="9"/>
      <c r="AA405" s="9"/>
      <c r="AB405" s="9"/>
      <c r="AC405" s="9"/>
      <c r="AD405" s="9"/>
      <c r="AE405" s="9"/>
      <c r="AF405" s="9"/>
    </row>
    <row r="406" spans="1:32" ht="54.95" customHeight="1" x14ac:dyDescent="0.2">
      <c r="A406" s="56"/>
      <c r="B406" s="9"/>
      <c r="C406" s="9"/>
      <c r="D406" s="9"/>
      <c r="E406" s="9"/>
      <c r="F406" s="9"/>
      <c r="G406" s="9"/>
      <c r="H406" s="9"/>
      <c r="I406" s="58"/>
      <c r="J406" s="9"/>
      <c r="K406" s="9"/>
      <c r="L406" s="9"/>
      <c r="M406" s="9"/>
      <c r="N406" s="9"/>
      <c r="O406" s="9"/>
      <c r="P406" s="9"/>
      <c r="Q406" s="9"/>
      <c r="R406" s="9"/>
      <c r="S406" s="9"/>
      <c r="T406" s="9"/>
      <c r="U406" s="9"/>
      <c r="V406" s="9"/>
      <c r="W406" s="9"/>
      <c r="X406" s="9"/>
      <c r="Y406" s="9"/>
      <c r="Z406" s="9"/>
      <c r="AA406" s="9"/>
      <c r="AB406" s="9"/>
      <c r="AC406" s="9"/>
      <c r="AD406" s="9"/>
      <c r="AE406" s="9"/>
      <c r="AF406" s="9"/>
    </row>
    <row r="407" spans="1:32" ht="54.95" customHeight="1" x14ac:dyDescent="0.2">
      <c r="A407" s="56"/>
      <c r="B407" s="9"/>
      <c r="C407" s="9"/>
      <c r="D407" s="9"/>
      <c r="E407" s="9"/>
      <c r="F407" s="9"/>
      <c r="G407" s="9"/>
      <c r="H407" s="9"/>
      <c r="I407" s="58"/>
      <c r="J407" s="9"/>
      <c r="K407" s="9"/>
      <c r="L407" s="9"/>
      <c r="M407" s="9"/>
      <c r="N407" s="9"/>
      <c r="O407" s="9"/>
      <c r="P407" s="9"/>
      <c r="Q407" s="9"/>
      <c r="R407" s="9"/>
      <c r="S407" s="9"/>
      <c r="T407" s="9"/>
      <c r="U407" s="9"/>
      <c r="V407" s="9"/>
      <c r="W407" s="9"/>
      <c r="X407" s="9"/>
      <c r="Y407" s="9"/>
      <c r="Z407" s="9"/>
      <c r="AA407" s="9"/>
      <c r="AB407" s="9"/>
      <c r="AC407" s="9"/>
      <c r="AD407" s="9"/>
      <c r="AE407" s="9"/>
      <c r="AF407" s="9"/>
    </row>
    <row r="408" spans="1:32" ht="54.95" customHeight="1" x14ac:dyDescent="0.2">
      <c r="A408" s="56"/>
      <c r="B408" s="9"/>
      <c r="C408" s="9"/>
      <c r="D408" s="9"/>
      <c r="E408" s="9"/>
      <c r="F408" s="9"/>
      <c r="G408" s="9"/>
      <c r="H408" s="9"/>
      <c r="I408" s="58"/>
      <c r="J408" s="9"/>
      <c r="K408" s="9"/>
      <c r="L408" s="9"/>
      <c r="M408" s="9"/>
      <c r="N408" s="9"/>
      <c r="O408" s="9"/>
      <c r="P408" s="9"/>
      <c r="Q408" s="9"/>
      <c r="R408" s="9"/>
      <c r="S408" s="9"/>
      <c r="T408" s="9"/>
      <c r="U408" s="9"/>
      <c r="V408" s="9"/>
      <c r="W408" s="9"/>
      <c r="X408" s="9"/>
      <c r="Y408" s="9"/>
      <c r="Z408" s="9"/>
      <c r="AA408" s="9"/>
      <c r="AB408" s="9"/>
      <c r="AC408" s="9"/>
      <c r="AD408" s="9"/>
      <c r="AE408" s="9"/>
      <c r="AF408" s="9"/>
    </row>
    <row r="409" spans="1:32" ht="54.95" customHeight="1" x14ac:dyDescent="0.2">
      <c r="A409" s="56"/>
      <c r="B409" s="9"/>
      <c r="C409" s="9"/>
      <c r="D409" s="9"/>
      <c r="E409" s="9"/>
      <c r="F409" s="9"/>
      <c r="G409" s="9"/>
      <c r="H409" s="9"/>
      <c r="I409" s="58"/>
      <c r="J409" s="9"/>
      <c r="K409" s="9"/>
      <c r="L409" s="9"/>
      <c r="M409" s="9"/>
      <c r="N409" s="9"/>
      <c r="O409" s="9"/>
      <c r="P409" s="9"/>
      <c r="Q409" s="9"/>
      <c r="R409" s="9"/>
      <c r="S409" s="9"/>
      <c r="T409" s="9"/>
      <c r="U409" s="9"/>
      <c r="V409" s="9"/>
      <c r="W409" s="9"/>
      <c r="X409" s="9"/>
      <c r="Y409" s="9"/>
      <c r="Z409" s="9"/>
      <c r="AA409" s="9"/>
      <c r="AB409" s="9"/>
      <c r="AC409" s="9"/>
      <c r="AD409" s="9"/>
      <c r="AE409" s="9"/>
      <c r="AF409" s="9"/>
    </row>
    <row r="410" spans="1:32" ht="54.95" customHeight="1" x14ac:dyDescent="0.2">
      <c r="A410" s="56"/>
      <c r="B410" s="9"/>
      <c r="C410" s="9"/>
      <c r="D410" s="9"/>
      <c r="E410" s="9"/>
      <c r="F410" s="9"/>
      <c r="G410" s="9"/>
      <c r="H410" s="9"/>
      <c r="I410" s="58"/>
      <c r="J410" s="9"/>
      <c r="K410" s="9"/>
      <c r="L410" s="9"/>
      <c r="M410" s="9"/>
      <c r="N410" s="9"/>
      <c r="O410" s="9"/>
      <c r="P410" s="9"/>
      <c r="Q410" s="9"/>
      <c r="R410" s="9"/>
      <c r="S410" s="9"/>
      <c r="T410" s="9"/>
      <c r="U410" s="9"/>
      <c r="V410" s="9"/>
      <c r="W410" s="9"/>
      <c r="X410" s="9"/>
      <c r="Y410" s="9"/>
      <c r="Z410" s="9"/>
      <c r="AA410" s="9"/>
      <c r="AB410" s="9"/>
      <c r="AC410" s="9"/>
      <c r="AD410" s="9"/>
      <c r="AE410" s="9"/>
      <c r="AF410" s="9"/>
    </row>
    <row r="411" spans="1:32" ht="54.95" customHeight="1" x14ac:dyDescent="0.2">
      <c r="A411" s="56"/>
      <c r="B411" s="9"/>
      <c r="C411" s="9"/>
      <c r="D411" s="9"/>
      <c r="E411" s="9"/>
      <c r="F411" s="9"/>
      <c r="G411" s="9"/>
      <c r="H411" s="9"/>
      <c r="I411" s="58"/>
      <c r="J411" s="9"/>
      <c r="K411" s="9"/>
      <c r="L411" s="9"/>
      <c r="M411" s="9"/>
      <c r="N411" s="9"/>
      <c r="O411" s="9"/>
      <c r="P411" s="9"/>
      <c r="Q411" s="9"/>
      <c r="R411" s="9"/>
      <c r="S411" s="9"/>
      <c r="T411" s="9"/>
      <c r="U411" s="9"/>
      <c r="V411" s="9"/>
      <c r="W411" s="9"/>
      <c r="X411" s="9"/>
      <c r="Y411" s="9"/>
      <c r="Z411" s="9"/>
      <c r="AA411" s="9"/>
      <c r="AB411" s="9"/>
      <c r="AC411" s="9"/>
      <c r="AD411" s="9"/>
      <c r="AE411" s="9"/>
      <c r="AF411" s="9"/>
    </row>
    <row r="412" spans="1:32" ht="54.95" customHeight="1" x14ac:dyDescent="0.2">
      <c r="A412" s="56"/>
      <c r="B412" s="9"/>
      <c r="C412" s="9"/>
      <c r="D412" s="9"/>
      <c r="E412" s="9"/>
      <c r="F412" s="9"/>
      <c r="G412" s="9"/>
      <c r="H412" s="9"/>
      <c r="I412" s="58"/>
      <c r="J412" s="9"/>
      <c r="K412" s="9"/>
      <c r="L412" s="9"/>
      <c r="M412" s="9"/>
      <c r="N412" s="9"/>
      <c r="O412" s="9"/>
      <c r="P412" s="9"/>
      <c r="Q412" s="9"/>
      <c r="R412" s="9"/>
      <c r="S412" s="9"/>
      <c r="T412" s="9"/>
      <c r="U412" s="9"/>
      <c r="V412" s="9"/>
      <c r="W412" s="9"/>
      <c r="X412" s="9"/>
      <c r="Y412" s="9"/>
      <c r="Z412" s="9"/>
      <c r="AA412" s="9"/>
      <c r="AB412" s="9"/>
      <c r="AC412" s="9"/>
      <c r="AD412" s="9"/>
      <c r="AE412" s="9"/>
      <c r="AF412" s="9"/>
    </row>
    <row r="413" spans="1:32" ht="54.95" customHeight="1" x14ac:dyDescent="0.2">
      <c r="A413" s="56"/>
      <c r="B413" s="9"/>
      <c r="C413" s="9"/>
      <c r="D413" s="9"/>
      <c r="E413" s="9"/>
      <c r="F413" s="9"/>
      <c r="G413" s="9"/>
      <c r="H413" s="9"/>
      <c r="I413" s="58"/>
      <c r="J413" s="9"/>
      <c r="K413" s="9"/>
      <c r="L413" s="9"/>
      <c r="M413" s="9"/>
      <c r="N413" s="9"/>
      <c r="O413" s="9"/>
      <c r="P413" s="9"/>
      <c r="Q413" s="9"/>
      <c r="R413" s="9"/>
      <c r="S413" s="9"/>
      <c r="T413" s="9"/>
      <c r="U413" s="9"/>
      <c r="V413" s="9"/>
      <c r="W413" s="9"/>
      <c r="X413" s="9"/>
      <c r="Y413" s="9"/>
      <c r="Z413" s="9"/>
      <c r="AA413" s="9"/>
      <c r="AB413" s="9"/>
      <c r="AC413" s="9"/>
      <c r="AD413" s="9"/>
      <c r="AE413" s="9"/>
      <c r="AF413" s="9"/>
    </row>
    <row r="414" spans="1:32" ht="54.95" customHeight="1" x14ac:dyDescent="0.2">
      <c r="A414" s="56"/>
      <c r="B414" s="9"/>
      <c r="C414" s="9"/>
      <c r="D414" s="9"/>
      <c r="E414" s="9"/>
      <c r="F414" s="9"/>
      <c r="G414" s="9"/>
      <c r="H414" s="9"/>
      <c r="I414" s="58"/>
      <c r="J414" s="9"/>
      <c r="K414" s="9"/>
      <c r="L414" s="9"/>
      <c r="M414" s="9"/>
      <c r="N414" s="9"/>
      <c r="O414" s="9"/>
      <c r="P414" s="9"/>
      <c r="Q414" s="9"/>
      <c r="R414" s="9"/>
      <c r="S414" s="9"/>
      <c r="T414" s="9"/>
      <c r="U414" s="9"/>
      <c r="V414" s="9"/>
      <c r="W414" s="9"/>
      <c r="X414" s="9"/>
      <c r="Y414" s="9"/>
      <c r="Z414" s="9"/>
      <c r="AA414" s="9"/>
      <c r="AB414" s="9"/>
      <c r="AC414" s="9"/>
      <c r="AD414" s="9"/>
      <c r="AE414" s="9"/>
      <c r="AF414" s="9"/>
    </row>
    <row r="415" spans="1:32" ht="54.95" customHeight="1" x14ac:dyDescent="0.2">
      <c r="A415" s="56"/>
      <c r="B415" s="9"/>
      <c r="C415" s="9"/>
      <c r="D415" s="9"/>
      <c r="E415" s="9"/>
      <c r="F415" s="9"/>
      <c r="G415" s="9"/>
      <c r="H415" s="9"/>
      <c r="I415" s="58"/>
      <c r="J415" s="9"/>
      <c r="K415" s="9"/>
      <c r="L415" s="9"/>
      <c r="M415" s="9"/>
      <c r="N415" s="9"/>
      <c r="O415" s="9"/>
      <c r="P415" s="9"/>
      <c r="Q415" s="9"/>
      <c r="R415" s="9"/>
      <c r="S415" s="9"/>
      <c r="T415" s="9"/>
      <c r="U415" s="9"/>
      <c r="V415" s="9"/>
      <c r="W415" s="9"/>
      <c r="X415" s="9"/>
      <c r="Y415" s="9"/>
      <c r="Z415" s="9"/>
      <c r="AA415" s="9"/>
      <c r="AB415" s="9"/>
      <c r="AC415" s="9"/>
      <c r="AD415" s="9"/>
      <c r="AE415" s="9"/>
      <c r="AF415" s="9"/>
    </row>
    <row r="416" spans="1:32" ht="54.95" customHeight="1" x14ac:dyDescent="0.2">
      <c r="A416" s="56"/>
      <c r="B416" s="9"/>
      <c r="C416" s="9"/>
      <c r="D416" s="9"/>
      <c r="E416" s="9"/>
      <c r="F416" s="9"/>
      <c r="G416" s="9"/>
      <c r="H416" s="9"/>
      <c r="I416" s="58"/>
      <c r="J416" s="9"/>
      <c r="K416" s="9"/>
      <c r="L416" s="9"/>
      <c r="M416" s="9"/>
      <c r="N416" s="9"/>
      <c r="O416" s="9"/>
      <c r="P416" s="9"/>
      <c r="Q416" s="9"/>
      <c r="R416" s="9"/>
      <c r="S416" s="9"/>
      <c r="T416" s="9"/>
      <c r="U416" s="9"/>
      <c r="V416" s="9"/>
      <c r="W416" s="9"/>
      <c r="X416" s="9"/>
      <c r="Y416" s="9"/>
      <c r="Z416" s="9"/>
      <c r="AA416" s="9"/>
      <c r="AB416" s="9"/>
      <c r="AC416" s="9"/>
      <c r="AD416" s="9"/>
      <c r="AE416" s="9"/>
      <c r="AF416" s="9"/>
    </row>
    <row r="417" spans="1:32" ht="54.95" customHeight="1" x14ac:dyDescent="0.2">
      <c r="A417" s="56"/>
      <c r="B417" s="9"/>
      <c r="C417" s="9"/>
      <c r="D417" s="9"/>
      <c r="E417" s="9"/>
      <c r="F417" s="9"/>
      <c r="G417" s="9"/>
      <c r="H417" s="9"/>
      <c r="I417" s="58"/>
      <c r="J417" s="9"/>
      <c r="K417" s="9"/>
      <c r="L417" s="9"/>
      <c r="M417" s="9"/>
      <c r="N417" s="9"/>
      <c r="O417" s="9"/>
      <c r="P417" s="9"/>
      <c r="Q417" s="9"/>
      <c r="R417" s="9"/>
      <c r="S417" s="9"/>
      <c r="T417" s="9"/>
      <c r="U417" s="9"/>
      <c r="V417" s="9"/>
      <c r="W417" s="9"/>
      <c r="X417" s="9"/>
      <c r="Y417" s="9"/>
      <c r="Z417" s="9"/>
      <c r="AA417" s="9"/>
      <c r="AB417" s="9"/>
      <c r="AC417" s="9"/>
      <c r="AD417" s="9"/>
      <c r="AE417" s="9"/>
      <c r="AF417" s="9"/>
    </row>
    <row r="418" spans="1:32" ht="54.95" customHeight="1" x14ac:dyDescent="0.2">
      <c r="A418" s="56"/>
      <c r="B418" s="9"/>
      <c r="C418" s="9"/>
      <c r="D418" s="9"/>
      <c r="E418" s="9"/>
      <c r="F418" s="9"/>
      <c r="G418" s="9"/>
      <c r="H418" s="9"/>
      <c r="I418" s="58"/>
      <c r="J418" s="9"/>
      <c r="K418" s="9"/>
      <c r="L418" s="9"/>
      <c r="M418" s="9"/>
      <c r="N418" s="9"/>
      <c r="O418" s="9"/>
      <c r="P418" s="9"/>
      <c r="Q418" s="9"/>
      <c r="R418" s="9"/>
      <c r="S418" s="9"/>
      <c r="T418" s="9"/>
      <c r="U418" s="9"/>
      <c r="V418" s="9"/>
      <c r="W418" s="9"/>
      <c r="X418" s="9"/>
      <c r="Y418" s="9"/>
      <c r="Z418" s="9"/>
      <c r="AA418" s="9"/>
      <c r="AB418" s="9"/>
      <c r="AC418" s="9"/>
      <c r="AD418" s="9"/>
      <c r="AE418" s="9"/>
      <c r="AF418" s="9"/>
    </row>
    <row r="419" spans="1:32" ht="54.95" customHeight="1" x14ac:dyDescent="0.2">
      <c r="A419" s="56"/>
      <c r="B419" s="9"/>
      <c r="C419" s="9"/>
      <c r="D419" s="9"/>
      <c r="E419" s="9"/>
      <c r="F419" s="9"/>
      <c r="G419" s="9"/>
      <c r="H419" s="9"/>
      <c r="I419" s="58"/>
      <c r="J419" s="9"/>
      <c r="K419" s="9"/>
      <c r="L419" s="9"/>
      <c r="M419" s="9"/>
      <c r="N419" s="9"/>
      <c r="O419" s="9"/>
      <c r="P419" s="9"/>
      <c r="Q419" s="9"/>
      <c r="R419" s="9"/>
      <c r="S419" s="9"/>
      <c r="T419" s="9"/>
      <c r="U419" s="9"/>
      <c r="V419" s="9"/>
      <c r="W419" s="9"/>
      <c r="X419" s="9"/>
      <c r="Y419" s="9"/>
      <c r="Z419" s="9"/>
      <c r="AA419" s="9"/>
      <c r="AB419" s="9"/>
      <c r="AC419" s="9"/>
      <c r="AD419" s="9"/>
      <c r="AE419" s="9"/>
      <c r="AF419" s="9"/>
    </row>
    <row r="420" spans="1:32" ht="54.95" customHeight="1" x14ac:dyDescent="0.2">
      <c r="A420" s="56"/>
      <c r="B420" s="9"/>
      <c r="C420" s="9"/>
      <c r="D420" s="9"/>
      <c r="E420" s="9"/>
      <c r="F420" s="9"/>
      <c r="G420" s="9"/>
      <c r="H420" s="9"/>
      <c r="I420" s="58"/>
      <c r="J420" s="9"/>
      <c r="K420" s="9"/>
      <c r="L420" s="9"/>
      <c r="M420" s="9"/>
      <c r="N420" s="9"/>
      <c r="O420" s="9"/>
      <c r="P420" s="9"/>
      <c r="Q420" s="9"/>
      <c r="R420" s="9"/>
      <c r="S420" s="9"/>
      <c r="T420" s="9"/>
      <c r="U420" s="9"/>
      <c r="V420" s="9"/>
      <c r="W420" s="9"/>
      <c r="X420" s="9"/>
      <c r="Y420" s="9"/>
      <c r="Z420" s="9"/>
      <c r="AA420" s="9"/>
      <c r="AB420" s="9"/>
      <c r="AC420" s="9"/>
      <c r="AD420" s="9"/>
      <c r="AE420" s="9"/>
      <c r="AF420" s="9"/>
    </row>
    <row r="421" spans="1:32" ht="54.95" customHeight="1" x14ac:dyDescent="0.2">
      <c r="A421" s="56"/>
      <c r="B421" s="9"/>
      <c r="C421" s="9"/>
      <c r="D421" s="9"/>
      <c r="E421" s="9"/>
      <c r="F421" s="9"/>
      <c r="G421" s="9"/>
      <c r="H421" s="9"/>
      <c r="I421" s="58"/>
      <c r="J421" s="9"/>
      <c r="K421" s="9"/>
      <c r="L421" s="9"/>
      <c r="M421" s="9"/>
      <c r="N421" s="9"/>
      <c r="O421" s="9"/>
      <c r="P421" s="9"/>
      <c r="Q421" s="9"/>
      <c r="R421" s="9"/>
      <c r="S421" s="9"/>
      <c r="T421" s="9"/>
      <c r="U421" s="9"/>
      <c r="V421" s="9"/>
      <c r="W421" s="9"/>
      <c r="X421" s="9"/>
      <c r="Y421" s="9"/>
      <c r="Z421" s="9"/>
      <c r="AA421" s="9"/>
      <c r="AB421" s="9"/>
      <c r="AC421" s="9"/>
      <c r="AD421" s="9"/>
      <c r="AE421" s="9"/>
      <c r="AF421" s="9"/>
    </row>
    <row r="422" spans="1:32" ht="54.95" customHeight="1" x14ac:dyDescent="0.2">
      <c r="A422" s="56"/>
      <c r="B422" s="9"/>
      <c r="C422" s="9"/>
      <c r="D422" s="9"/>
      <c r="E422" s="9"/>
      <c r="F422" s="9"/>
      <c r="G422" s="9"/>
      <c r="H422" s="9"/>
      <c r="I422" s="58"/>
      <c r="J422" s="9"/>
      <c r="K422" s="9"/>
      <c r="L422" s="9"/>
      <c r="M422" s="9"/>
      <c r="N422" s="9"/>
      <c r="O422" s="9"/>
      <c r="P422" s="9"/>
      <c r="Q422" s="9"/>
      <c r="R422" s="9"/>
      <c r="S422" s="9"/>
      <c r="T422" s="9"/>
      <c r="U422" s="9"/>
      <c r="V422" s="9"/>
      <c r="W422" s="9"/>
      <c r="X422" s="9"/>
      <c r="Y422" s="9"/>
      <c r="Z422" s="9"/>
      <c r="AA422" s="9"/>
      <c r="AB422" s="9"/>
      <c r="AC422" s="9"/>
      <c r="AD422" s="9"/>
      <c r="AE422" s="9"/>
      <c r="AF422" s="9"/>
    </row>
    <row r="423" spans="1:32" ht="54.95" customHeight="1" x14ac:dyDescent="0.2">
      <c r="A423" s="56"/>
      <c r="B423" s="9"/>
      <c r="C423" s="9"/>
      <c r="D423" s="9"/>
      <c r="E423" s="9"/>
      <c r="F423" s="9"/>
      <c r="G423" s="9"/>
      <c r="H423" s="9"/>
      <c r="I423" s="58"/>
      <c r="J423" s="9"/>
      <c r="K423" s="9"/>
      <c r="L423" s="9"/>
      <c r="M423" s="9"/>
      <c r="N423" s="9"/>
      <c r="O423" s="9"/>
      <c r="P423" s="9"/>
      <c r="Q423" s="9"/>
      <c r="R423" s="9"/>
      <c r="S423" s="9"/>
      <c r="T423" s="9"/>
      <c r="U423" s="9"/>
      <c r="V423" s="9"/>
      <c r="W423" s="9"/>
      <c r="X423" s="9"/>
      <c r="Y423" s="9"/>
      <c r="Z423" s="9"/>
      <c r="AA423" s="9"/>
      <c r="AB423" s="9"/>
      <c r="AC423" s="9"/>
      <c r="AD423" s="9"/>
      <c r="AE423" s="9"/>
      <c r="AF423" s="9"/>
    </row>
    <row r="424" spans="1:32" ht="54.95" customHeight="1" x14ac:dyDescent="0.2">
      <c r="A424" s="56"/>
      <c r="B424" s="9"/>
      <c r="C424" s="9"/>
      <c r="D424" s="9"/>
      <c r="E424" s="9"/>
      <c r="F424" s="9"/>
      <c r="G424" s="9"/>
      <c r="H424" s="9"/>
      <c r="I424" s="58"/>
      <c r="J424" s="9"/>
      <c r="K424" s="9"/>
      <c r="L424" s="9"/>
      <c r="M424" s="9"/>
      <c r="N424" s="9"/>
      <c r="O424" s="9"/>
      <c r="P424" s="9"/>
      <c r="Q424" s="9"/>
      <c r="R424" s="9"/>
      <c r="S424" s="9"/>
      <c r="T424" s="9"/>
      <c r="U424" s="9"/>
      <c r="V424" s="9"/>
      <c r="W424" s="9"/>
      <c r="X424" s="9"/>
      <c r="Y424" s="9"/>
      <c r="Z424" s="9"/>
      <c r="AA424" s="9"/>
      <c r="AB424" s="9"/>
      <c r="AC424" s="9"/>
      <c r="AD424" s="9"/>
      <c r="AE424" s="9"/>
      <c r="AF424" s="9"/>
    </row>
    <row r="425" spans="1:32" ht="54.95" customHeight="1" x14ac:dyDescent="0.2">
      <c r="A425" s="56"/>
      <c r="B425" s="9"/>
      <c r="C425" s="9"/>
      <c r="D425" s="9"/>
      <c r="E425" s="9"/>
      <c r="F425" s="9"/>
      <c r="G425" s="9"/>
      <c r="H425" s="9"/>
      <c r="I425" s="58"/>
      <c r="J425" s="9"/>
      <c r="K425" s="9"/>
      <c r="L425" s="9"/>
      <c r="M425" s="9"/>
      <c r="N425" s="9"/>
      <c r="O425" s="9"/>
      <c r="P425" s="9"/>
      <c r="Q425" s="9"/>
      <c r="R425" s="9"/>
      <c r="S425" s="9"/>
      <c r="T425" s="9"/>
      <c r="U425" s="9"/>
      <c r="V425" s="9"/>
      <c r="W425" s="9"/>
      <c r="X425" s="9"/>
      <c r="Y425" s="9"/>
      <c r="Z425" s="9"/>
      <c r="AA425" s="9"/>
      <c r="AB425" s="9"/>
      <c r="AC425" s="9"/>
      <c r="AD425" s="9"/>
      <c r="AE425" s="9"/>
      <c r="AF425" s="9"/>
    </row>
    <row r="426" spans="1:32" ht="54.95" customHeight="1" x14ac:dyDescent="0.2">
      <c r="A426" s="56"/>
      <c r="B426" s="9"/>
      <c r="C426" s="9"/>
      <c r="D426" s="9"/>
      <c r="E426" s="9"/>
      <c r="F426" s="9"/>
      <c r="G426" s="9"/>
      <c r="H426" s="9"/>
      <c r="I426" s="58"/>
      <c r="J426" s="9"/>
      <c r="K426" s="9"/>
      <c r="L426" s="9"/>
      <c r="M426" s="9"/>
      <c r="N426" s="9"/>
      <c r="O426" s="9"/>
      <c r="P426" s="9"/>
      <c r="Q426" s="9"/>
      <c r="R426" s="9"/>
      <c r="S426" s="9"/>
      <c r="T426" s="9"/>
      <c r="U426" s="9"/>
      <c r="V426" s="9"/>
      <c r="W426" s="9"/>
      <c r="X426" s="9"/>
      <c r="Y426" s="9"/>
      <c r="Z426" s="9"/>
      <c r="AA426" s="9"/>
      <c r="AB426" s="9"/>
      <c r="AC426" s="9"/>
      <c r="AD426" s="9"/>
      <c r="AE426" s="9"/>
      <c r="AF426" s="9"/>
    </row>
    <row r="427" spans="1:32" ht="54.95" customHeight="1" x14ac:dyDescent="0.2">
      <c r="A427" s="56"/>
      <c r="B427" s="9"/>
      <c r="C427" s="9"/>
      <c r="D427" s="9"/>
      <c r="E427" s="9"/>
      <c r="F427" s="9"/>
      <c r="G427" s="9"/>
      <c r="H427" s="9"/>
      <c r="I427" s="58"/>
      <c r="J427" s="9"/>
      <c r="K427" s="9"/>
      <c r="L427" s="9"/>
      <c r="M427" s="9"/>
      <c r="N427" s="9"/>
      <c r="O427" s="9"/>
      <c r="P427" s="9"/>
      <c r="Q427" s="9"/>
      <c r="R427" s="9"/>
      <c r="S427" s="9"/>
      <c r="T427" s="9"/>
      <c r="U427" s="9"/>
      <c r="V427" s="9"/>
      <c r="W427" s="9"/>
      <c r="X427" s="9"/>
      <c r="Y427" s="9"/>
      <c r="Z427" s="9"/>
      <c r="AA427" s="9"/>
      <c r="AB427" s="9"/>
      <c r="AC427" s="9"/>
      <c r="AD427" s="9"/>
      <c r="AE427" s="9"/>
      <c r="AF427" s="9"/>
    </row>
    <row r="428" spans="1:32" ht="54.95" customHeight="1" x14ac:dyDescent="0.2">
      <c r="A428" s="56"/>
      <c r="B428" s="9"/>
      <c r="C428" s="9"/>
      <c r="D428" s="9"/>
      <c r="E428" s="9"/>
      <c r="F428" s="9"/>
      <c r="G428" s="9"/>
      <c r="H428" s="9"/>
      <c r="I428" s="58"/>
      <c r="J428" s="9"/>
      <c r="K428" s="9"/>
      <c r="L428" s="9"/>
      <c r="M428" s="9"/>
      <c r="N428" s="9"/>
      <c r="O428" s="9"/>
      <c r="P428" s="9"/>
      <c r="Q428" s="9"/>
      <c r="R428" s="9"/>
      <c r="S428" s="9"/>
      <c r="T428" s="9"/>
      <c r="U428" s="9"/>
      <c r="V428" s="9"/>
      <c r="W428" s="9"/>
      <c r="X428" s="9"/>
      <c r="Y428" s="9"/>
      <c r="Z428" s="9"/>
      <c r="AA428" s="9"/>
      <c r="AB428" s="9"/>
      <c r="AC428" s="9"/>
      <c r="AD428" s="9"/>
      <c r="AE428" s="9"/>
      <c r="AF428" s="9"/>
    </row>
    <row r="429" spans="1:32" ht="54.95" customHeight="1" x14ac:dyDescent="0.2">
      <c r="A429" s="56"/>
      <c r="B429" s="9"/>
      <c r="C429" s="9"/>
      <c r="D429" s="9"/>
      <c r="E429" s="9"/>
      <c r="F429" s="9"/>
      <c r="G429" s="9"/>
      <c r="H429" s="9"/>
      <c r="I429" s="58"/>
      <c r="J429" s="9"/>
      <c r="K429" s="9"/>
      <c r="L429" s="9"/>
      <c r="M429" s="9"/>
      <c r="N429" s="9"/>
      <c r="O429" s="9"/>
      <c r="P429" s="9"/>
      <c r="Q429" s="9"/>
      <c r="R429" s="9"/>
      <c r="S429" s="9"/>
      <c r="T429" s="9"/>
      <c r="U429" s="9"/>
      <c r="V429" s="9"/>
      <c r="W429" s="9"/>
      <c r="X429" s="9"/>
      <c r="Y429" s="9"/>
      <c r="Z429" s="9"/>
      <c r="AA429" s="9"/>
      <c r="AB429" s="9"/>
      <c r="AC429" s="9"/>
      <c r="AD429" s="9"/>
      <c r="AE429" s="9"/>
      <c r="AF429" s="9"/>
    </row>
    <row r="430" spans="1:32" ht="54.95" customHeight="1" x14ac:dyDescent="0.2">
      <c r="A430" s="56"/>
      <c r="B430" s="9"/>
      <c r="C430" s="9"/>
      <c r="D430" s="9"/>
      <c r="E430" s="9"/>
      <c r="F430" s="9"/>
      <c r="G430" s="9"/>
      <c r="H430" s="9"/>
      <c r="I430" s="58"/>
      <c r="J430" s="9"/>
      <c r="K430" s="9"/>
      <c r="L430" s="9"/>
      <c r="M430" s="9"/>
      <c r="N430" s="9"/>
      <c r="O430" s="9"/>
      <c r="P430" s="9"/>
      <c r="Q430" s="9"/>
      <c r="R430" s="9"/>
      <c r="S430" s="9"/>
      <c r="T430" s="9"/>
      <c r="U430" s="9"/>
      <c r="V430" s="9"/>
      <c r="W430" s="9"/>
      <c r="X430" s="9"/>
      <c r="Y430" s="9"/>
      <c r="Z430" s="9"/>
      <c r="AA430" s="9"/>
      <c r="AB430" s="9"/>
      <c r="AC430" s="9"/>
      <c r="AD430" s="9"/>
      <c r="AE430" s="9"/>
      <c r="AF430" s="9"/>
    </row>
    <row r="431" spans="1:32" ht="54.95" customHeight="1" x14ac:dyDescent="0.2">
      <c r="A431" s="56"/>
      <c r="B431" s="9"/>
      <c r="C431" s="9"/>
      <c r="D431" s="9"/>
      <c r="E431" s="9"/>
      <c r="F431" s="9"/>
      <c r="G431" s="9"/>
      <c r="H431" s="9"/>
      <c r="I431" s="58"/>
      <c r="J431" s="9"/>
      <c r="K431" s="9"/>
      <c r="L431" s="9"/>
      <c r="M431" s="9"/>
      <c r="N431" s="9"/>
      <c r="O431" s="9"/>
      <c r="P431" s="9"/>
      <c r="Q431" s="9"/>
      <c r="R431" s="9"/>
      <c r="S431" s="9"/>
      <c r="T431" s="9"/>
      <c r="U431" s="9"/>
      <c r="V431" s="9"/>
      <c r="W431" s="9"/>
      <c r="X431" s="9"/>
      <c r="Y431" s="9"/>
      <c r="Z431" s="9"/>
      <c r="AA431" s="9"/>
      <c r="AB431" s="9"/>
      <c r="AC431" s="9"/>
      <c r="AD431" s="9"/>
      <c r="AE431" s="9"/>
      <c r="AF431" s="9"/>
    </row>
    <row r="432" spans="1:32" ht="54.95" customHeight="1" x14ac:dyDescent="0.2">
      <c r="A432" s="56"/>
      <c r="B432" s="9"/>
      <c r="C432" s="9"/>
      <c r="D432" s="9"/>
      <c r="E432" s="9"/>
      <c r="F432" s="9"/>
      <c r="G432" s="9"/>
      <c r="H432" s="9"/>
      <c r="I432" s="58"/>
      <c r="J432" s="9"/>
      <c r="K432" s="9"/>
      <c r="L432" s="9"/>
      <c r="M432" s="9"/>
      <c r="N432" s="9"/>
      <c r="O432" s="9"/>
      <c r="P432" s="9"/>
      <c r="Q432" s="9"/>
      <c r="R432" s="9"/>
      <c r="S432" s="9"/>
      <c r="T432" s="9"/>
      <c r="U432" s="9"/>
      <c r="V432" s="9"/>
      <c r="W432" s="9"/>
      <c r="X432" s="9"/>
      <c r="Y432" s="9"/>
      <c r="Z432" s="9"/>
      <c r="AA432" s="9"/>
      <c r="AB432" s="9"/>
      <c r="AC432" s="9"/>
      <c r="AD432" s="9"/>
      <c r="AE432" s="9"/>
      <c r="AF432" s="9"/>
    </row>
    <row r="433" spans="1:32" ht="54.95" customHeight="1" x14ac:dyDescent="0.2">
      <c r="A433" s="56"/>
      <c r="B433" s="9"/>
      <c r="C433" s="9"/>
      <c r="D433" s="9"/>
      <c r="E433" s="9"/>
      <c r="F433" s="9"/>
      <c r="G433" s="9"/>
      <c r="H433" s="9"/>
      <c r="I433" s="58"/>
      <c r="J433" s="9"/>
      <c r="K433" s="9"/>
      <c r="L433" s="9"/>
      <c r="M433" s="9"/>
      <c r="N433" s="9"/>
      <c r="O433" s="9"/>
      <c r="P433" s="9"/>
      <c r="Q433" s="9"/>
      <c r="R433" s="9"/>
      <c r="S433" s="9"/>
      <c r="T433" s="9"/>
      <c r="U433" s="9"/>
      <c r="V433" s="9"/>
      <c r="W433" s="9"/>
      <c r="X433" s="9"/>
      <c r="Y433" s="9"/>
      <c r="Z433" s="9"/>
      <c r="AA433" s="9"/>
      <c r="AB433" s="9"/>
      <c r="AC433" s="9"/>
      <c r="AD433" s="9"/>
      <c r="AE433" s="9"/>
      <c r="AF433" s="9"/>
    </row>
    <row r="434" spans="1:32" ht="54.95" customHeight="1" x14ac:dyDescent="0.2">
      <c r="A434" s="56"/>
      <c r="B434" s="9"/>
      <c r="C434" s="9"/>
      <c r="D434" s="9"/>
      <c r="E434" s="9"/>
      <c r="F434" s="9"/>
      <c r="G434" s="9"/>
      <c r="H434" s="9"/>
      <c r="I434" s="58"/>
      <c r="J434" s="9"/>
      <c r="K434" s="9"/>
      <c r="L434" s="9"/>
      <c r="M434" s="9"/>
      <c r="N434" s="9"/>
      <c r="O434" s="9"/>
      <c r="P434" s="9"/>
      <c r="Q434" s="9"/>
      <c r="R434" s="9"/>
      <c r="S434" s="9"/>
      <c r="T434" s="9"/>
      <c r="U434" s="9"/>
      <c r="V434" s="9"/>
      <c r="W434" s="9"/>
      <c r="X434" s="9"/>
      <c r="Y434" s="9"/>
      <c r="Z434" s="9"/>
      <c r="AA434" s="9"/>
      <c r="AB434" s="9"/>
      <c r="AC434" s="9"/>
      <c r="AD434" s="9"/>
      <c r="AE434" s="9"/>
      <c r="AF434" s="9"/>
    </row>
    <row r="435" spans="1:32" ht="54.95" customHeight="1" x14ac:dyDescent="0.2">
      <c r="A435" s="56"/>
      <c r="B435" s="9"/>
      <c r="C435" s="9"/>
      <c r="D435" s="9"/>
      <c r="E435" s="9"/>
      <c r="F435" s="9"/>
      <c r="G435" s="9"/>
      <c r="H435" s="9"/>
      <c r="I435" s="58"/>
      <c r="J435" s="9"/>
      <c r="K435" s="9"/>
      <c r="L435" s="9"/>
      <c r="M435" s="9"/>
      <c r="N435" s="9"/>
      <c r="O435" s="9"/>
      <c r="P435" s="9"/>
      <c r="Q435" s="9"/>
      <c r="R435" s="9"/>
      <c r="S435" s="9"/>
      <c r="T435" s="9"/>
      <c r="U435" s="9"/>
      <c r="V435" s="9"/>
      <c r="W435" s="9"/>
      <c r="X435" s="9"/>
      <c r="Y435" s="9"/>
      <c r="Z435" s="9"/>
      <c r="AA435" s="9"/>
      <c r="AB435" s="9"/>
      <c r="AC435" s="9"/>
      <c r="AD435" s="9"/>
      <c r="AE435" s="9"/>
      <c r="AF435" s="9"/>
    </row>
    <row r="436" spans="1:32" ht="54.95" customHeight="1" x14ac:dyDescent="0.2">
      <c r="A436" s="56"/>
      <c r="B436" s="9"/>
      <c r="C436" s="9"/>
      <c r="D436" s="9"/>
      <c r="E436" s="9"/>
      <c r="F436" s="9"/>
      <c r="G436" s="9"/>
      <c r="H436" s="9"/>
      <c r="I436" s="58"/>
      <c r="J436" s="9"/>
      <c r="K436" s="9"/>
      <c r="L436" s="9"/>
      <c r="M436" s="9"/>
      <c r="N436" s="9"/>
      <c r="O436" s="9"/>
      <c r="P436" s="9"/>
      <c r="Q436" s="9"/>
      <c r="R436" s="9"/>
      <c r="S436" s="9"/>
      <c r="T436" s="9"/>
      <c r="U436" s="9"/>
      <c r="V436" s="9"/>
      <c r="W436" s="9"/>
      <c r="X436" s="9"/>
      <c r="Y436" s="9"/>
      <c r="Z436" s="9"/>
      <c r="AA436" s="9"/>
      <c r="AB436" s="9"/>
      <c r="AC436" s="9"/>
      <c r="AD436" s="9"/>
      <c r="AE436" s="9"/>
      <c r="AF436" s="9"/>
    </row>
    <row r="437" spans="1:32" ht="54.95" customHeight="1" x14ac:dyDescent="0.2">
      <c r="A437" s="56"/>
      <c r="B437" s="9"/>
      <c r="C437" s="9"/>
      <c r="D437" s="9"/>
      <c r="E437" s="9"/>
      <c r="F437" s="9"/>
      <c r="G437" s="9"/>
      <c r="H437" s="9"/>
      <c r="I437" s="58"/>
      <c r="J437" s="9"/>
      <c r="K437" s="9"/>
      <c r="L437" s="9"/>
      <c r="M437" s="9"/>
      <c r="N437" s="9"/>
      <c r="O437" s="9"/>
      <c r="P437" s="9"/>
      <c r="Q437" s="9"/>
      <c r="R437" s="9"/>
      <c r="S437" s="9"/>
      <c r="T437" s="9"/>
      <c r="U437" s="9"/>
      <c r="V437" s="9"/>
      <c r="W437" s="9"/>
      <c r="X437" s="9"/>
      <c r="Y437" s="9"/>
      <c r="Z437" s="9"/>
      <c r="AA437" s="9"/>
      <c r="AB437" s="9"/>
      <c r="AC437" s="9"/>
      <c r="AD437" s="9"/>
      <c r="AE437" s="9"/>
      <c r="AF437" s="9"/>
    </row>
    <row r="438" spans="1:32" ht="54.95" customHeight="1" x14ac:dyDescent="0.2">
      <c r="A438" s="56"/>
      <c r="B438" s="9"/>
      <c r="C438" s="9"/>
      <c r="D438" s="9"/>
      <c r="E438" s="9"/>
      <c r="F438" s="9"/>
      <c r="G438" s="9"/>
      <c r="H438" s="9"/>
      <c r="I438" s="58"/>
      <c r="J438" s="9"/>
      <c r="K438" s="9"/>
      <c r="L438" s="9"/>
      <c r="M438" s="9"/>
      <c r="N438" s="9"/>
      <c r="O438" s="9"/>
      <c r="P438" s="9"/>
      <c r="Q438" s="9"/>
      <c r="R438" s="9"/>
      <c r="S438" s="9"/>
      <c r="T438" s="9"/>
      <c r="U438" s="9"/>
      <c r="V438" s="9"/>
      <c r="W438" s="9"/>
      <c r="X438" s="9"/>
      <c r="Y438" s="9"/>
      <c r="Z438" s="9"/>
      <c r="AA438" s="9"/>
      <c r="AB438" s="9"/>
      <c r="AC438" s="9"/>
      <c r="AD438" s="9"/>
      <c r="AE438" s="9"/>
      <c r="AF438" s="9"/>
    </row>
    <row r="439" spans="1:32" ht="54.95" customHeight="1" x14ac:dyDescent="0.2">
      <c r="A439" s="56"/>
      <c r="B439" s="9"/>
      <c r="C439" s="9"/>
      <c r="D439" s="9"/>
      <c r="E439" s="9"/>
      <c r="F439" s="9"/>
      <c r="G439" s="9"/>
      <c r="H439" s="9"/>
      <c r="I439" s="58"/>
      <c r="J439" s="9"/>
      <c r="K439" s="9"/>
      <c r="L439" s="9"/>
      <c r="M439" s="9"/>
      <c r="N439" s="9"/>
      <c r="O439" s="9"/>
      <c r="P439" s="9"/>
      <c r="Q439" s="9"/>
      <c r="R439" s="9"/>
      <c r="S439" s="9"/>
      <c r="T439" s="9"/>
      <c r="U439" s="9"/>
      <c r="V439" s="9"/>
      <c r="W439" s="9"/>
      <c r="X439" s="9"/>
      <c r="Y439" s="9"/>
      <c r="Z439" s="9"/>
      <c r="AA439" s="9"/>
      <c r="AB439" s="9"/>
      <c r="AC439" s="9"/>
      <c r="AD439" s="9"/>
      <c r="AE439" s="9"/>
      <c r="AF439" s="9"/>
    </row>
    <row r="440" spans="1:32" ht="54.95" customHeight="1" x14ac:dyDescent="0.2">
      <c r="A440" s="56"/>
      <c r="B440" s="9"/>
      <c r="C440" s="9"/>
      <c r="D440" s="9"/>
      <c r="E440" s="9"/>
      <c r="F440" s="9"/>
      <c r="G440" s="9"/>
      <c r="H440" s="9"/>
      <c r="I440" s="58"/>
      <c r="J440" s="9"/>
      <c r="K440" s="9"/>
      <c r="L440" s="9"/>
      <c r="M440" s="9"/>
      <c r="N440" s="9"/>
      <c r="O440" s="9"/>
      <c r="P440" s="9"/>
      <c r="Q440" s="9"/>
      <c r="R440" s="9"/>
      <c r="S440" s="9"/>
      <c r="T440" s="9"/>
      <c r="U440" s="9"/>
      <c r="V440" s="9"/>
      <c r="W440" s="9"/>
      <c r="X440" s="9"/>
      <c r="Y440" s="9"/>
      <c r="Z440" s="9"/>
      <c r="AA440" s="9"/>
      <c r="AB440" s="9"/>
      <c r="AC440" s="9"/>
      <c r="AD440" s="9"/>
      <c r="AE440" s="9"/>
      <c r="AF440" s="9"/>
    </row>
    <row r="441" spans="1:32" ht="54.95" customHeight="1" x14ac:dyDescent="0.2">
      <c r="A441" s="56"/>
      <c r="B441" s="9"/>
      <c r="C441" s="9"/>
      <c r="D441" s="9"/>
      <c r="E441" s="9"/>
      <c r="F441" s="9"/>
      <c r="G441" s="9"/>
      <c r="H441" s="9"/>
      <c r="I441" s="58"/>
      <c r="J441" s="9"/>
      <c r="K441" s="9"/>
      <c r="L441" s="9"/>
      <c r="M441" s="9"/>
      <c r="N441" s="9"/>
      <c r="O441" s="9"/>
      <c r="P441" s="9"/>
      <c r="Q441" s="9"/>
      <c r="R441" s="9"/>
      <c r="S441" s="9"/>
      <c r="T441" s="9"/>
      <c r="U441" s="9"/>
      <c r="V441" s="9"/>
      <c r="W441" s="9"/>
      <c r="X441" s="9"/>
      <c r="Y441" s="9"/>
      <c r="Z441" s="9"/>
      <c r="AA441" s="9"/>
      <c r="AB441" s="9"/>
      <c r="AC441" s="9"/>
      <c r="AD441" s="9"/>
      <c r="AE441" s="9"/>
      <c r="AF441" s="9"/>
    </row>
    <row r="442" spans="1:32" ht="54.95" customHeight="1" x14ac:dyDescent="0.2">
      <c r="A442" s="56"/>
      <c r="B442" s="9"/>
      <c r="C442" s="9"/>
      <c r="D442" s="9"/>
      <c r="E442" s="9"/>
      <c r="F442" s="9"/>
      <c r="G442" s="9"/>
      <c r="H442" s="9"/>
      <c r="I442" s="58"/>
      <c r="J442" s="9"/>
      <c r="K442" s="9"/>
      <c r="L442" s="9"/>
      <c r="M442" s="9"/>
      <c r="N442" s="9"/>
      <c r="O442" s="9"/>
      <c r="P442" s="9"/>
      <c r="Q442" s="9"/>
      <c r="R442" s="9"/>
      <c r="S442" s="9"/>
      <c r="T442" s="9"/>
      <c r="U442" s="9"/>
      <c r="V442" s="9"/>
      <c r="W442" s="9"/>
      <c r="X442" s="9"/>
      <c r="Y442" s="9"/>
      <c r="Z442" s="9"/>
      <c r="AA442" s="9"/>
      <c r="AB442" s="9"/>
      <c r="AC442" s="9"/>
      <c r="AD442" s="9"/>
      <c r="AE442" s="9"/>
      <c r="AF442" s="9"/>
    </row>
    <row r="443" spans="1:32" ht="54.95" customHeight="1" x14ac:dyDescent="0.2">
      <c r="A443" s="56"/>
      <c r="B443" s="9"/>
      <c r="C443" s="9"/>
      <c r="D443" s="9"/>
      <c r="E443" s="9"/>
      <c r="F443" s="9"/>
      <c r="G443" s="9"/>
      <c r="H443" s="9"/>
      <c r="I443" s="58"/>
      <c r="J443" s="9"/>
      <c r="K443" s="9"/>
      <c r="L443" s="9"/>
      <c r="M443" s="9"/>
      <c r="N443" s="9"/>
      <c r="O443" s="9"/>
      <c r="P443" s="9"/>
      <c r="Q443" s="9"/>
      <c r="R443" s="9"/>
      <c r="S443" s="9"/>
      <c r="T443" s="9"/>
      <c r="U443" s="9"/>
      <c r="V443" s="9"/>
      <c r="W443" s="9"/>
      <c r="X443" s="9"/>
      <c r="Y443" s="9"/>
      <c r="Z443" s="9"/>
      <c r="AA443" s="9"/>
      <c r="AB443" s="9"/>
      <c r="AC443" s="9"/>
      <c r="AD443" s="9"/>
      <c r="AE443" s="9"/>
      <c r="AF443" s="9"/>
    </row>
    <row r="444" spans="1:32" ht="54.95" customHeight="1" x14ac:dyDescent="0.2">
      <c r="A444" s="56"/>
      <c r="B444" s="9"/>
      <c r="C444" s="9"/>
      <c r="D444" s="9"/>
      <c r="E444" s="9"/>
      <c r="F444" s="9"/>
      <c r="G444" s="9"/>
      <c r="H444" s="9"/>
      <c r="I444" s="58"/>
      <c r="J444" s="9"/>
      <c r="K444" s="9"/>
      <c r="L444" s="9"/>
      <c r="M444" s="9"/>
      <c r="N444" s="9"/>
      <c r="O444" s="9"/>
      <c r="P444" s="9"/>
      <c r="Q444" s="9"/>
      <c r="R444" s="9"/>
      <c r="S444" s="9"/>
      <c r="T444" s="9"/>
      <c r="U444" s="9"/>
      <c r="V444" s="9"/>
      <c r="W444" s="9"/>
      <c r="X444" s="9"/>
      <c r="Y444" s="9"/>
      <c r="Z444" s="9"/>
      <c r="AA444" s="9"/>
      <c r="AB444" s="9"/>
      <c r="AC444" s="9"/>
      <c r="AD444" s="9"/>
      <c r="AE444" s="9"/>
      <c r="AF444" s="9"/>
    </row>
    <row r="445" spans="1:32" ht="54.95" customHeight="1" x14ac:dyDescent="0.2">
      <c r="A445" s="56"/>
      <c r="B445" s="9"/>
      <c r="C445" s="9"/>
      <c r="D445" s="9"/>
      <c r="E445" s="9"/>
      <c r="F445" s="9"/>
      <c r="G445" s="9"/>
      <c r="H445" s="9"/>
      <c r="I445" s="58"/>
      <c r="J445" s="9"/>
      <c r="K445" s="9"/>
      <c r="L445" s="9"/>
      <c r="M445" s="9"/>
      <c r="N445" s="9"/>
      <c r="O445" s="9"/>
      <c r="P445" s="9"/>
      <c r="Q445" s="9"/>
      <c r="R445" s="9"/>
      <c r="S445" s="9"/>
      <c r="T445" s="9"/>
      <c r="U445" s="9"/>
      <c r="V445" s="9"/>
      <c r="W445" s="9"/>
      <c r="X445" s="9"/>
      <c r="Y445" s="9"/>
      <c r="Z445" s="9"/>
      <c r="AA445" s="9"/>
      <c r="AB445" s="9"/>
      <c r="AC445" s="9"/>
      <c r="AD445" s="9"/>
      <c r="AE445" s="9"/>
      <c r="AF445" s="9"/>
    </row>
    <row r="446" spans="1:32" ht="54.95" customHeight="1" x14ac:dyDescent="0.2">
      <c r="A446" s="56"/>
      <c r="B446" s="9"/>
      <c r="C446" s="9"/>
      <c r="D446" s="9"/>
      <c r="E446" s="9"/>
      <c r="F446" s="9"/>
      <c r="G446" s="9"/>
      <c r="H446" s="9"/>
      <c r="I446" s="58"/>
      <c r="J446" s="9"/>
      <c r="K446" s="9"/>
      <c r="L446" s="9"/>
      <c r="M446" s="9"/>
      <c r="N446" s="9"/>
      <c r="O446" s="9"/>
      <c r="P446" s="9"/>
      <c r="Q446" s="9"/>
      <c r="R446" s="9"/>
      <c r="S446" s="9"/>
      <c r="T446" s="9"/>
      <c r="U446" s="9"/>
      <c r="V446" s="9"/>
      <c r="W446" s="9"/>
      <c r="X446" s="9"/>
      <c r="Y446" s="9"/>
      <c r="Z446" s="9"/>
      <c r="AA446" s="9"/>
      <c r="AB446" s="9"/>
      <c r="AC446" s="9"/>
      <c r="AD446" s="9"/>
      <c r="AE446" s="9"/>
      <c r="AF446" s="9"/>
    </row>
    <row r="447" spans="1:32" ht="54.95" customHeight="1" x14ac:dyDescent="0.2">
      <c r="A447" s="56"/>
      <c r="B447" s="9"/>
      <c r="C447" s="9"/>
      <c r="D447" s="9"/>
      <c r="E447" s="9"/>
      <c r="F447" s="9"/>
      <c r="G447" s="9"/>
      <c r="H447" s="9"/>
      <c r="I447" s="58"/>
      <c r="J447" s="9"/>
      <c r="K447" s="9"/>
      <c r="L447" s="9"/>
      <c r="M447" s="9"/>
      <c r="N447" s="9"/>
      <c r="O447" s="9"/>
      <c r="P447" s="9"/>
      <c r="Q447" s="9"/>
      <c r="R447" s="9"/>
      <c r="S447" s="9"/>
      <c r="T447" s="9"/>
      <c r="U447" s="9"/>
      <c r="V447" s="9"/>
      <c r="W447" s="9"/>
      <c r="X447" s="9"/>
      <c r="Y447" s="9"/>
      <c r="Z447" s="9"/>
      <c r="AA447" s="9"/>
      <c r="AB447" s="9"/>
      <c r="AC447" s="9"/>
      <c r="AD447" s="9"/>
      <c r="AE447" s="9"/>
      <c r="AF447" s="9"/>
    </row>
    <row r="448" spans="1:32" ht="54.95" customHeight="1" x14ac:dyDescent="0.2">
      <c r="A448" s="56"/>
      <c r="B448" s="9"/>
      <c r="C448" s="9"/>
      <c r="D448" s="9"/>
      <c r="E448" s="9"/>
      <c r="F448" s="9"/>
      <c r="G448" s="9"/>
      <c r="H448" s="9"/>
      <c r="I448" s="58"/>
      <c r="J448" s="9"/>
      <c r="K448" s="9"/>
      <c r="L448" s="9"/>
      <c r="M448" s="9"/>
      <c r="N448" s="9"/>
      <c r="O448" s="9"/>
      <c r="P448" s="9"/>
      <c r="Q448" s="9"/>
      <c r="R448" s="9"/>
      <c r="S448" s="9"/>
      <c r="T448" s="9"/>
      <c r="U448" s="9"/>
      <c r="V448" s="9"/>
      <c r="W448" s="9"/>
      <c r="X448" s="9"/>
      <c r="Y448" s="9"/>
      <c r="Z448" s="9"/>
      <c r="AA448" s="9"/>
      <c r="AB448" s="9"/>
      <c r="AC448" s="9"/>
      <c r="AD448" s="9"/>
      <c r="AE448" s="9"/>
      <c r="AF448" s="9"/>
    </row>
    <row r="449" spans="1:32" ht="54.95" customHeight="1" x14ac:dyDescent="0.2">
      <c r="A449" s="56"/>
      <c r="B449" s="9"/>
      <c r="C449" s="9"/>
      <c r="D449" s="9"/>
      <c r="E449" s="9"/>
      <c r="F449" s="9"/>
      <c r="G449" s="9"/>
      <c r="H449" s="9"/>
      <c r="I449" s="58"/>
      <c r="J449" s="9"/>
      <c r="K449" s="9"/>
      <c r="L449" s="9"/>
      <c r="M449" s="9"/>
      <c r="N449" s="9"/>
      <c r="O449" s="9"/>
      <c r="P449" s="9"/>
      <c r="Q449" s="9"/>
      <c r="R449" s="9"/>
      <c r="S449" s="9"/>
      <c r="T449" s="9"/>
      <c r="U449" s="9"/>
      <c r="V449" s="9"/>
      <c r="W449" s="9"/>
      <c r="X449" s="9"/>
      <c r="Y449" s="9"/>
      <c r="Z449" s="9"/>
      <c r="AA449" s="9"/>
      <c r="AB449" s="9"/>
      <c r="AC449" s="9"/>
      <c r="AD449" s="9"/>
      <c r="AE449" s="9"/>
      <c r="AF449" s="9"/>
    </row>
    <row r="450" spans="1:32" ht="54.95" customHeight="1" x14ac:dyDescent="0.2">
      <c r="A450" s="56"/>
      <c r="B450" s="9"/>
      <c r="C450" s="9"/>
      <c r="D450" s="9"/>
      <c r="E450" s="9"/>
      <c r="F450" s="9"/>
      <c r="G450" s="9"/>
      <c r="H450" s="9"/>
      <c r="I450" s="58"/>
      <c r="J450" s="9"/>
      <c r="K450" s="9"/>
      <c r="L450" s="9"/>
      <c r="M450" s="9"/>
      <c r="N450" s="9"/>
      <c r="O450" s="9"/>
      <c r="P450" s="9"/>
      <c r="Q450" s="9"/>
      <c r="R450" s="9"/>
      <c r="S450" s="9"/>
      <c r="T450" s="9"/>
      <c r="U450" s="9"/>
      <c r="V450" s="9"/>
      <c r="W450" s="9"/>
      <c r="X450" s="9"/>
      <c r="Y450" s="9"/>
      <c r="Z450" s="9"/>
      <c r="AA450" s="9"/>
      <c r="AB450" s="9"/>
      <c r="AC450" s="9"/>
      <c r="AD450" s="9"/>
      <c r="AE450" s="9"/>
      <c r="AF450" s="9"/>
    </row>
    <row r="451" spans="1:32" ht="54.95" customHeight="1" x14ac:dyDescent="0.2">
      <c r="A451" s="56"/>
      <c r="B451" s="9"/>
      <c r="C451" s="9"/>
      <c r="D451" s="9"/>
      <c r="E451" s="9"/>
      <c r="F451" s="9"/>
      <c r="G451" s="9"/>
      <c r="H451" s="9"/>
      <c r="I451" s="58"/>
      <c r="J451" s="9"/>
      <c r="K451" s="9"/>
      <c r="L451" s="9"/>
      <c r="M451" s="9"/>
      <c r="N451" s="9"/>
      <c r="O451" s="9"/>
      <c r="P451" s="9"/>
      <c r="Q451" s="9"/>
      <c r="R451" s="9"/>
      <c r="S451" s="9"/>
      <c r="T451" s="9"/>
      <c r="U451" s="9"/>
      <c r="V451" s="9"/>
      <c r="W451" s="9"/>
      <c r="X451" s="9"/>
      <c r="Y451" s="9"/>
      <c r="Z451" s="9"/>
      <c r="AA451" s="9"/>
      <c r="AB451" s="9"/>
      <c r="AC451" s="9"/>
      <c r="AD451" s="9"/>
      <c r="AE451" s="9"/>
      <c r="AF451" s="9"/>
    </row>
    <row r="452" spans="1:32" ht="54.95" customHeight="1" x14ac:dyDescent="0.2">
      <c r="A452" s="56"/>
      <c r="B452" s="9"/>
      <c r="C452" s="9"/>
      <c r="D452" s="9"/>
      <c r="E452" s="9"/>
      <c r="F452" s="9"/>
      <c r="G452" s="9"/>
      <c r="H452" s="9"/>
      <c r="I452" s="58"/>
      <c r="J452" s="9"/>
      <c r="K452" s="9"/>
      <c r="L452" s="9"/>
      <c r="M452" s="9"/>
      <c r="N452" s="9"/>
      <c r="O452" s="9"/>
      <c r="P452" s="9"/>
      <c r="Q452" s="9"/>
      <c r="R452" s="9"/>
      <c r="S452" s="9"/>
      <c r="T452" s="9"/>
      <c r="U452" s="9"/>
      <c r="V452" s="9"/>
      <c r="W452" s="9"/>
      <c r="X452" s="9"/>
      <c r="Y452" s="9"/>
      <c r="Z452" s="9"/>
      <c r="AA452" s="9"/>
      <c r="AB452" s="9"/>
      <c r="AC452" s="9"/>
      <c r="AD452" s="9"/>
      <c r="AE452" s="9"/>
      <c r="AF452" s="9"/>
    </row>
    <row r="453" spans="1:32" ht="54.95" customHeight="1" x14ac:dyDescent="0.2">
      <c r="A453" s="56"/>
      <c r="B453" s="9"/>
      <c r="C453" s="9"/>
      <c r="D453" s="9"/>
      <c r="E453" s="9"/>
      <c r="F453" s="9"/>
      <c r="G453" s="9"/>
      <c r="H453" s="9"/>
      <c r="I453" s="58"/>
      <c r="J453" s="9"/>
      <c r="K453" s="9"/>
      <c r="L453" s="9"/>
      <c r="M453" s="9"/>
      <c r="N453" s="9"/>
      <c r="O453" s="9"/>
      <c r="P453" s="9"/>
      <c r="Q453" s="9"/>
      <c r="R453" s="9"/>
      <c r="S453" s="9"/>
      <c r="T453" s="9"/>
      <c r="U453" s="9"/>
      <c r="V453" s="9"/>
      <c r="W453" s="9"/>
      <c r="X453" s="9"/>
      <c r="Y453" s="9"/>
      <c r="Z453" s="9"/>
      <c r="AA453" s="9"/>
      <c r="AB453" s="9"/>
      <c r="AC453" s="9"/>
      <c r="AD453" s="9"/>
      <c r="AE453" s="9"/>
      <c r="AF453" s="9"/>
    </row>
    <row r="454" spans="1:32" ht="54.95" customHeight="1" x14ac:dyDescent="0.2">
      <c r="A454" s="56"/>
      <c r="B454" s="9"/>
      <c r="C454" s="9"/>
      <c r="D454" s="9"/>
      <c r="E454" s="9"/>
      <c r="F454" s="9"/>
      <c r="G454" s="9"/>
      <c r="H454" s="9"/>
      <c r="I454" s="58"/>
      <c r="J454" s="9"/>
      <c r="K454" s="9"/>
      <c r="L454" s="9"/>
      <c r="M454" s="9"/>
      <c r="N454" s="9"/>
      <c r="O454" s="9"/>
      <c r="P454" s="9"/>
      <c r="Q454" s="9"/>
      <c r="R454" s="9"/>
      <c r="S454" s="9"/>
      <c r="T454" s="9"/>
      <c r="U454" s="9"/>
      <c r="V454" s="9"/>
      <c r="W454" s="9"/>
      <c r="X454" s="9"/>
      <c r="Y454" s="9"/>
      <c r="Z454" s="9"/>
      <c r="AA454" s="9"/>
      <c r="AB454" s="9"/>
      <c r="AC454" s="9"/>
      <c r="AD454" s="9"/>
      <c r="AE454" s="9"/>
      <c r="AF454" s="9"/>
    </row>
    <row r="455" spans="1:32" ht="54.95" customHeight="1" x14ac:dyDescent="0.2">
      <c r="A455" s="56"/>
      <c r="B455" s="9"/>
      <c r="C455" s="9"/>
      <c r="D455" s="9"/>
      <c r="E455" s="9"/>
      <c r="F455" s="9"/>
      <c r="G455" s="9"/>
      <c r="H455" s="9"/>
      <c r="I455" s="58"/>
      <c r="J455" s="9"/>
      <c r="K455" s="9"/>
      <c r="L455" s="9"/>
      <c r="M455" s="9"/>
      <c r="N455" s="9"/>
      <c r="O455" s="9"/>
      <c r="P455" s="9"/>
      <c r="Q455" s="9"/>
      <c r="R455" s="9"/>
      <c r="S455" s="9"/>
      <c r="T455" s="9"/>
      <c r="U455" s="9"/>
      <c r="V455" s="9"/>
      <c r="W455" s="9"/>
      <c r="X455" s="9"/>
      <c r="Y455" s="9"/>
      <c r="Z455" s="9"/>
      <c r="AA455" s="9"/>
      <c r="AB455" s="9"/>
      <c r="AC455" s="9"/>
      <c r="AD455" s="9"/>
      <c r="AE455" s="9"/>
      <c r="AF455" s="9"/>
    </row>
    <row r="456" spans="1:32" ht="54.95" customHeight="1" x14ac:dyDescent="0.2">
      <c r="A456" s="56"/>
      <c r="B456" s="9"/>
      <c r="C456" s="9"/>
      <c r="D456" s="9"/>
      <c r="E456" s="9"/>
      <c r="F456" s="9"/>
      <c r="G456" s="9"/>
      <c r="H456" s="9"/>
      <c r="I456" s="58"/>
      <c r="J456" s="9"/>
      <c r="K456" s="9"/>
      <c r="L456" s="9"/>
      <c r="M456" s="9"/>
      <c r="N456" s="9"/>
      <c r="O456" s="9"/>
      <c r="P456" s="9"/>
      <c r="Q456" s="9"/>
      <c r="R456" s="9"/>
      <c r="S456" s="9"/>
      <c r="T456" s="9"/>
      <c r="U456" s="9"/>
      <c r="V456" s="9"/>
      <c r="W456" s="9"/>
      <c r="X456" s="9"/>
      <c r="Y456" s="9"/>
      <c r="Z456" s="9"/>
      <c r="AA456" s="9"/>
      <c r="AB456" s="9"/>
      <c r="AC456" s="9"/>
      <c r="AD456" s="9"/>
      <c r="AE456" s="9"/>
      <c r="AF456" s="9"/>
    </row>
    <row r="457" spans="1:32" ht="54.95" customHeight="1" x14ac:dyDescent="0.2">
      <c r="A457" s="56"/>
      <c r="B457" s="9"/>
      <c r="C457" s="9"/>
      <c r="D457" s="9"/>
      <c r="E457" s="9"/>
      <c r="F457" s="9"/>
      <c r="G457" s="9"/>
      <c r="H457" s="9"/>
      <c r="I457" s="58"/>
      <c r="J457" s="9"/>
      <c r="K457" s="9"/>
      <c r="L457" s="9"/>
      <c r="M457" s="9"/>
      <c r="N457" s="9"/>
      <c r="O457" s="9"/>
      <c r="P457" s="9"/>
      <c r="Q457" s="9"/>
      <c r="R457" s="9"/>
      <c r="S457" s="9"/>
      <c r="T457" s="9"/>
      <c r="U457" s="9"/>
      <c r="V457" s="9"/>
      <c r="W457" s="9"/>
      <c r="X457" s="9"/>
      <c r="Y457" s="9"/>
      <c r="Z457" s="9"/>
      <c r="AA457" s="9"/>
      <c r="AB457" s="9"/>
      <c r="AC457" s="9"/>
      <c r="AD457" s="9"/>
      <c r="AE457" s="9"/>
      <c r="AF457" s="9"/>
    </row>
    <row r="458" spans="1:32" ht="54.95" customHeight="1" x14ac:dyDescent="0.2">
      <c r="A458" s="56"/>
      <c r="B458" s="9"/>
      <c r="C458" s="9"/>
      <c r="D458" s="9"/>
      <c r="E458" s="9"/>
      <c r="F458" s="9"/>
      <c r="G458" s="9"/>
      <c r="H458" s="9"/>
      <c r="I458" s="58"/>
      <c r="J458" s="9"/>
      <c r="K458" s="9"/>
      <c r="L458" s="9"/>
      <c r="M458" s="9"/>
      <c r="N458" s="9"/>
      <c r="O458" s="9"/>
      <c r="P458" s="9"/>
      <c r="Q458" s="9"/>
      <c r="R458" s="9"/>
      <c r="S458" s="9"/>
      <c r="T458" s="9"/>
      <c r="U458" s="9"/>
      <c r="V458" s="9"/>
      <c r="W458" s="9"/>
      <c r="X458" s="9"/>
      <c r="Y458" s="9"/>
      <c r="Z458" s="9"/>
      <c r="AA458" s="9"/>
      <c r="AB458" s="9"/>
      <c r="AC458" s="9"/>
      <c r="AD458" s="9"/>
      <c r="AE458" s="9"/>
      <c r="AF458" s="9"/>
    </row>
    <row r="459" spans="1:32" ht="54.95" customHeight="1" x14ac:dyDescent="0.2">
      <c r="A459" s="56"/>
      <c r="B459" s="9"/>
      <c r="C459" s="9"/>
      <c r="D459" s="9"/>
      <c r="E459" s="9"/>
      <c r="F459" s="9"/>
      <c r="G459" s="9"/>
      <c r="H459" s="9"/>
      <c r="I459" s="58"/>
      <c r="J459" s="9"/>
      <c r="K459" s="9"/>
      <c r="L459" s="9"/>
      <c r="M459" s="9"/>
      <c r="N459" s="9"/>
      <c r="O459" s="9"/>
      <c r="P459" s="9"/>
      <c r="Q459" s="9"/>
      <c r="R459" s="9"/>
      <c r="S459" s="9"/>
      <c r="T459" s="9"/>
      <c r="U459" s="9"/>
      <c r="V459" s="9"/>
      <c r="W459" s="9"/>
      <c r="X459" s="9"/>
      <c r="Y459" s="9"/>
      <c r="Z459" s="9"/>
      <c r="AA459" s="9"/>
      <c r="AB459" s="9"/>
      <c r="AC459" s="9"/>
      <c r="AD459" s="9"/>
      <c r="AE459" s="9"/>
      <c r="AF459" s="9"/>
    </row>
    <row r="460" spans="1:32" ht="54.95" customHeight="1" x14ac:dyDescent="0.2">
      <c r="A460" s="56"/>
      <c r="B460" s="9"/>
      <c r="C460" s="9"/>
      <c r="D460" s="9"/>
      <c r="E460" s="9"/>
      <c r="F460" s="9"/>
      <c r="G460" s="9"/>
      <c r="H460" s="9"/>
      <c r="I460" s="58"/>
      <c r="J460" s="9"/>
      <c r="K460" s="9"/>
      <c r="L460" s="9"/>
      <c r="M460" s="9"/>
      <c r="N460" s="9"/>
      <c r="O460" s="9"/>
      <c r="P460" s="9"/>
      <c r="Q460" s="9"/>
      <c r="R460" s="9"/>
      <c r="S460" s="9"/>
      <c r="T460" s="9"/>
      <c r="U460" s="9"/>
      <c r="V460" s="9"/>
      <c r="W460" s="9"/>
      <c r="X460" s="9"/>
      <c r="Y460" s="9"/>
      <c r="Z460" s="9"/>
      <c r="AA460" s="9"/>
      <c r="AB460" s="9"/>
      <c r="AC460" s="9"/>
      <c r="AD460" s="9"/>
      <c r="AE460" s="9"/>
      <c r="AF460" s="9"/>
    </row>
    <row r="461" spans="1:32" ht="54.95" customHeight="1" x14ac:dyDescent="0.2">
      <c r="A461" s="56"/>
      <c r="B461" s="9"/>
      <c r="C461" s="9"/>
      <c r="D461" s="9"/>
      <c r="E461" s="9"/>
      <c r="F461" s="9"/>
      <c r="G461" s="9"/>
      <c r="H461" s="9"/>
      <c r="I461" s="58"/>
      <c r="J461" s="9"/>
      <c r="K461" s="9"/>
      <c r="L461" s="9"/>
      <c r="M461" s="9"/>
      <c r="N461" s="9"/>
      <c r="O461" s="9"/>
      <c r="P461" s="9"/>
      <c r="Q461" s="9"/>
      <c r="R461" s="9"/>
      <c r="S461" s="9"/>
      <c r="T461" s="9"/>
      <c r="U461" s="9"/>
      <c r="V461" s="9"/>
      <c r="W461" s="9"/>
      <c r="X461" s="9"/>
      <c r="Y461" s="9"/>
      <c r="Z461" s="9"/>
      <c r="AA461" s="9"/>
      <c r="AB461" s="9"/>
      <c r="AC461" s="9"/>
      <c r="AD461" s="9"/>
      <c r="AE461" s="9"/>
      <c r="AF461" s="9"/>
    </row>
    <row r="462" spans="1:32" ht="54.95" customHeight="1" x14ac:dyDescent="0.2">
      <c r="A462" s="56"/>
      <c r="B462" s="9"/>
      <c r="C462" s="9"/>
      <c r="D462" s="9"/>
      <c r="E462" s="9"/>
      <c r="F462" s="9"/>
      <c r="G462" s="9"/>
      <c r="H462" s="9"/>
      <c r="I462" s="58"/>
      <c r="J462" s="9"/>
      <c r="K462" s="9"/>
      <c r="L462" s="9"/>
      <c r="M462" s="9"/>
      <c r="N462" s="9"/>
      <c r="O462" s="9"/>
      <c r="P462" s="9"/>
      <c r="Q462" s="9"/>
      <c r="R462" s="9"/>
      <c r="S462" s="9"/>
      <c r="T462" s="9"/>
      <c r="U462" s="9"/>
      <c r="V462" s="9"/>
      <c r="W462" s="9"/>
      <c r="X462" s="9"/>
      <c r="Y462" s="9"/>
      <c r="Z462" s="9"/>
      <c r="AA462" s="9"/>
      <c r="AB462" s="9"/>
      <c r="AC462" s="9"/>
      <c r="AD462" s="9"/>
      <c r="AE462" s="9"/>
      <c r="AF462" s="9"/>
    </row>
    <row r="463" spans="1:32" ht="54.95" customHeight="1" x14ac:dyDescent="0.2">
      <c r="A463" s="56"/>
      <c r="B463" s="9"/>
      <c r="C463" s="9"/>
      <c r="D463" s="9"/>
      <c r="E463" s="9"/>
      <c r="F463" s="9"/>
      <c r="G463" s="9"/>
      <c r="H463" s="9"/>
      <c r="I463" s="58"/>
      <c r="J463" s="9"/>
      <c r="K463" s="9"/>
      <c r="L463" s="9"/>
      <c r="M463" s="9"/>
      <c r="N463" s="9"/>
      <c r="O463" s="9"/>
      <c r="P463" s="9"/>
      <c r="Q463" s="9"/>
      <c r="R463" s="9"/>
      <c r="S463" s="9"/>
      <c r="T463" s="9"/>
      <c r="U463" s="9"/>
      <c r="V463" s="9"/>
      <c r="W463" s="9"/>
      <c r="X463" s="9"/>
      <c r="Y463" s="9"/>
      <c r="Z463" s="9"/>
      <c r="AA463" s="9"/>
      <c r="AB463" s="9"/>
      <c r="AC463" s="9"/>
      <c r="AD463" s="9"/>
      <c r="AE463" s="9"/>
      <c r="AF463" s="9"/>
    </row>
    <row r="464" spans="1:32" ht="54.95" customHeight="1" x14ac:dyDescent="0.2">
      <c r="A464" s="56"/>
      <c r="B464" s="9"/>
      <c r="C464" s="9"/>
      <c r="D464" s="9"/>
      <c r="E464" s="9"/>
      <c r="F464" s="9"/>
      <c r="G464" s="9"/>
      <c r="H464" s="9"/>
      <c r="I464" s="58"/>
      <c r="J464" s="9"/>
      <c r="K464" s="9"/>
      <c r="L464" s="9"/>
      <c r="M464" s="9"/>
      <c r="N464" s="9"/>
      <c r="O464" s="9"/>
      <c r="P464" s="9"/>
      <c r="Q464" s="9"/>
      <c r="R464" s="9"/>
      <c r="S464" s="9"/>
      <c r="T464" s="9"/>
      <c r="U464" s="9"/>
      <c r="V464" s="9"/>
      <c r="W464" s="9"/>
      <c r="X464" s="9"/>
      <c r="Y464" s="9"/>
      <c r="Z464" s="9"/>
      <c r="AA464" s="9"/>
      <c r="AB464" s="9"/>
      <c r="AC464" s="9"/>
      <c r="AD464" s="9"/>
      <c r="AE464" s="9"/>
      <c r="AF464" s="9"/>
    </row>
    <row r="465" spans="1:32" ht="54.95" customHeight="1" x14ac:dyDescent="0.2">
      <c r="A465" s="56"/>
      <c r="B465" s="9"/>
      <c r="C465" s="9"/>
      <c r="D465" s="9"/>
      <c r="E465" s="9"/>
      <c r="F465" s="9"/>
      <c r="G465" s="9"/>
      <c r="H465" s="9"/>
      <c r="I465" s="58"/>
      <c r="J465" s="9"/>
      <c r="K465" s="9"/>
      <c r="L465" s="9"/>
      <c r="M465" s="9"/>
      <c r="N465" s="9"/>
      <c r="O465" s="9"/>
      <c r="P465" s="9"/>
      <c r="Q465" s="9"/>
      <c r="R465" s="9"/>
      <c r="S465" s="9"/>
      <c r="T465" s="9"/>
      <c r="U465" s="9"/>
      <c r="V465" s="9"/>
      <c r="W465" s="9"/>
      <c r="X465" s="9"/>
      <c r="Y465" s="9"/>
      <c r="Z465" s="9"/>
      <c r="AA465" s="9"/>
      <c r="AB465" s="9"/>
      <c r="AC465" s="9"/>
      <c r="AD465" s="9"/>
      <c r="AE465" s="9"/>
      <c r="AF465" s="9"/>
    </row>
    <row r="466" spans="1:32" ht="54.95" customHeight="1" x14ac:dyDescent="0.2">
      <c r="A466" s="56"/>
      <c r="B466" s="9"/>
      <c r="C466" s="9"/>
      <c r="D466" s="9"/>
      <c r="E466" s="9"/>
      <c r="F466" s="9"/>
      <c r="G466" s="9"/>
      <c r="H466" s="9"/>
      <c r="I466" s="58"/>
      <c r="J466" s="9"/>
      <c r="K466" s="9"/>
      <c r="L466" s="9"/>
      <c r="M466" s="9"/>
      <c r="N466" s="9"/>
      <c r="O466" s="9"/>
      <c r="P466" s="9"/>
      <c r="Q466" s="9"/>
      <c r="R466" s="9"/>
      <c r="S466" s="9"/>
      <c r="T466" s="9"/>
      <c r="U466" s="9"/>
      <c r="V466" s="9"/>
      <c r="W466" s="9"/>
      <c r="X466" s="9"/>
      <c r="Y466" s="9"/>
      <c r="Z466" s="9"/>
      <c r="AA466" s="9"/>
      <c r="AB466" s="9"/>
      <c r="AC466" s="9"/>
      <c r="AD466" s="9"/>
      <c r="AE466" s="9"/>
      <c r="AF466" s="9"/>
    </row>
    <row r="467" spans="1:32" ht="54.95" customHeight="1" x14ac:dyDescent="0.2">
      <c r="A467" s="56"/>
      <c r="B467" s="9"/>
      <c r="C467" s="9"/>
      <c r="D467" s="9"/>
      <c r="E467" s="9"/>
      <c r="F467" s="9"/>
      <c r="G467" s="9"/>
      <c r="H467" s="9"/>
      <c r="I467" s="58"/>
      <c r="J467" s="9"/>
      <c r="K467" s="9"/>
      <c r="L467" s="9"/>
      <c r="M467" s="9"/>
      <c r="N467" s="9"/>
      <c r="O467" s="9"/>
      <c r="P467" s="9"/>
      <c r="Q467" s="9"/>
      <c r="R467" s="9"/>
      <c r="S467" s="9"/>
      <c r="T467" s="9"/>
      <c r="U467" s="9"/>
      <c r="V467" s="9"/>
      <c r="W467" s="9"/>
      <c r="X467" s="9"/>
      <c r="Y467" s="9"/>
      <c r="Z467" s="9"/>
      <c r="AA467" s="9"/>
      <c r="AB467" s="9"/>
      <c r="AC467" s="9"/>
      <c r="AD467" s="9"/>
      <c r="AE467" s="9"/>
      <c r="AF467" s="9"/>
    </row>
    <row r="468" spans="1:32" ht="54.95" customHeight="1" x14ac:dyDescent="0.2">
      <c r="A468" s="56"/>
      <c r="B468" s="9"/>
      <c r="C468" s="9"/>
      <c r="D468" s="9"/>
      <c r="E468" s="9"/>
      <c r="F468" s="9"/>
      <c r="G468" s="9"/>
      <c r="H468" s="9"/>
      <c r="I468" s="58"/>
      <c r="J468" s="9"/>
      <c r="K468" s="9"/>
      <c r="L468" s="9"/>
      <c r="M468" s="9"/>
      <c r="N468" s="9"/>
      <c r="O468" s="9"/>
      <c r="P468" s="9"/>
      <c r="Q468" s="9"/>
      <c r="R468" s="9"/>
      <c r="S468" s="9"/>
      <c r="T468" s="9"/>
      <c r="U468" s="9"/>
      <c r="V468" s="9"/>
      <c r="W468" s="9"/>
      <c r="X468" s="9"/>
      <c r="Y468" s="9"/>
      <c r="Z468" s="9"/>
      <c r="AA468" s="9"/>
      <c r="AB468" s="9"/>
      <c r="AC468" s="9"/>
      <c r="AD468" s="9"/>
      <c r="AE468" s="9"/>
      <c r="AF468" s="9"/>
    </row>
    <row r="469" spans="1:32" ht="54.95" customHeight="1" x14ac:dyDescent="0.2">
      <c r="A469" s="56"/>
      <c r="B469" s="9"/>
      <c r="C469" s="9"/>
      <c r="D469" s="9"/>
      <c r="E469" s="9"/>
      <c r="F469" s="9"/>
      <c r="G469" s="9"/>
      <c r="H469" s="9"/>
      <c r="I469" s="58"/>
      <c r="J469" s="9"/>
      <c r="K469" s="9"/>
      <c r="L469" s="9"/>
      <c r="M469" s="9"/>
      <c r="N469" s="9"/>
      <c r="O469" s="9"/>
      <c r="P469" s="9"/>
      <c r="Q469" s="9"/>
      <c r="R469" s="9"/>
      <c r="S469" s="9"/>
      <c r="T469" s="9"/>
      <c r="U469" s="9"/>
      <c r="V469" s="9"/>
      <c r="W469" s="9"/>
      <c r="X469" s="9"/>
      <c r="Y469" s="9"/>
      <c r="Z469" s="9"/>
      <c r="AA469" s="9"/>
      <c r="AB469" s="9"/>
      <c r="AC469" s="9"/>
      <c r="AD469" s="9"/>
      <c r="AE469" s="9"/>
      <c r="AF469" s="9"/>
    </row>
    <row r="470" spans="1:32" ht="54.95" customHeight="1" x14ac:dyDescent="0.2">
      <c r="A470" s="56"/>
      <c r="B470" s="9"/>
      <c r="C470" s="9"/>
      <c r="D470" s="9"/>
      <c r="E470" s="9"/>
      <c r="F470" s="9"/>
      <c r="G470" s="9"/>
      <c r="H470" s="9"/>
      <c r="I470" s="58"/>
      <c r="J470" s="9"/>
      <c r="K470" s="9"/>
      <c r="L470" s="9"/>
      <c r="M470" s="9"/>
      <c r="N470" s="9"/>
      <c r="O470" s="9"/>
      <c r="P470" s="9"/>
      <c r="Q470" s="9"/>
      <c r="R470" s="9"/>
      <c r="S470" s="9"/>
      <c r="T470" s="9"/>
      <c r="U470" s="9"/>
      <c r="V470" s="9"/>
      <c r="W470" s="9"/>
      <c r="X470" s="9"/>
      <c r="Y470" s="9"/>
      <c r="Z470" s="9"/>
      <c r="AA470" s="9"/>
      <c r="AB470" s="9"/>
      <c r="AC470" s="9"/>
      <c r="AD470" s="9"/>
      <c r="AE470" s="9"/>
      <c r="AF470" s="9"/>
    </row>
    <row r="471" spans="1:32" ht="54.95" customHeight="1" x14ac:dyDescent="0.2">
      <c r="A471" s="56"/>
      <c r="B471" s="9"/>
      <c r="C471" s="9"/>
      <c r="D471" s="9"/>
      <c r="E471" s="9"/>
      <c r="F471" s="9"/>
      <c r="G471" s="9"/>
      <c r="H471" s="9"/>
      <c r="I471" s="58"/>
      <c r="J471" s="9"/>
      <c r="K471" s="9"/>
      <c r="L471" s="9"/>
      <c r="M471" s="9"/>
      <c r="N471" s="9"/>
      <c r="O471" s="9"/>
      <c r="P471" s="9"/>
      <c r="Q471" s="9"/>
      <c r="R471" s="9"/>
      <c r="S471" s="9"/>
      <c r="T471" s="9"/>
      <c r="U471" s="9"/>
      <c r="V471" s="9"/>
      <c r="W471" s="9"/>
      <c r="X471" s="9"/>
      <c r="Y471" s="9"/>
      <c r="Z471" s="9"/>
      <c r="AA471" s="9"/>
      <c r="AB471" s="9"/>
      <c r="AC471" s="9"/>
      <c r="AD471" s="9"/>
      <c r="AE471" s="9"/>
      <c r="AF471" s="9"/>
    </row>
    <row r="472" spans="1:32" ht="54.95" customHeight="1" x14ac:dyDescent="0.2">
      <c r="A472" s="56"/>
      <c r="B472" s="9"/>
      <c r="C472" s="9"/>
      <c r="D472" s="9"/>
      <c r="E472" s="9"/>
      <c r="F472" s="9"/>
      <c r="G472" s="9"/>
      <c r="H472" s="9"/>
      <c r="I472" s="58"/>
      <c r="J472" s="9"/>
      <c r="K472" s="9"/>
      <c r="L472" s="9"/>
      <c r="M472" s="9"/>
      <c r="N472" s="9"/>
      <c r="O472" s="9"/>
      <c r="P472" s="9"/>
      <c r="Q472" s="9"/>
      <c r="R472" s="9"/>
      <c r="S472" s="9"/>
      <c r="T472" s="9"/>
      <c r="U472" s="9"/>
      <c r="V472" s="9"/>
      <c r="W472" s="9"/>
      <c r="X472" s="9"/>
      <c r="Y472" s="9"/>
      <c r="Z472" s="9"/>
      <c r="AA472" s="9"/>
      <c r="AB472" s="9"/>
      <c r="AC472" s="9"/>
      <c r="AD472" s="9"/>
      <c r="AE472" s="9"/>
      <c r="AF472" s="9"/>
    </row>
    <row r="473" spans="1:32" ht="54.95" customHeight="1" x14ac:dyDescent="0.2">
      <c r="A473" s="56"/>
      <c r="B473" s="9"/>
      <c r="C473" s="9"/>
      <c r="D473" s="9"/>
      <c r="E473" s="9"/>
      <c r="F473" s="9"/>
      <c r="G473" s="9"/>
      <c r="H473" s="9"/>
      <c r="I473" s="58"/>
      <c r="J473" s="9"/>
      <c r="K473" s="9"/>
      <c r="L473" s="9"/>
      <c r="M473" s="9"/>
      <c r="N473" s="9"/>
      <c r="O473" s="9"/>
      <c r="P473" s="9"/>
      <c r="Q473" s="9"/>
      <c r="R473" s="9"/>
      <c r="S473" s="9"/>
      <c r="T473" s="9"/>
      <c r="U473" s="9"/>
      <c r="V473" s="9"/>
      <c r="W473" s="9"/>
      <c r="X473" s="9"/>
      <c r="Y473" s="9"/>
      <c r="Z473" s="9"/>
      <c r="AA473" s="9"/>
      <c r="AB473" s="9"/>
      <c r="AC473" s="9"/>
      <c r="AD473" s="9"/>
      <c r="AE473" s="9"/>
      <c r="AF473" s="9"/>
    </row>
    <row r="474" spans="1:32" ht="54.95" customHeight="1" x14ac:dyDescent="0.2">
      <c r="A474" s="56"/>
      <c r="B474" s="9"/>
      <c r="C474" s="9"/>
      <c r="D474" s="9"/>
      <c r="E474" s="9"/>
      <c r="F474" s="9"/>
      <c r="G474" s="9"/>
      <c r="H474" s="9"/>
      <c r="I474" s="58"/>
      <c r="J474" s="9"/>
      <c r="K474" s="9"/>
      <c r="L474" s="9"/>
      <c r="M474" s="9"/>
      <c r="N474" s="9"/>
      <c r="O474" s="9"/>
      <c r="P474" s="9"/>
      <c r="Q474" s="9"/>
      <c r="R474" s="9"/>
      <c r="S474" s="9"/>
      <c r="T474" s="9"/>
      <c r="U474" s="9"/>
      <c r="V474" s="9"/>
      <c r="W474" s="9"/>
      <c r="X474" s="9"/>
      <c r="Y474" s="9"/>
      <c r="Z474" s="9"/>
      <c r="AA474" s="9"/>
      <c r="AB474" s="9"/>
      <c r="AC474" s="9"/>
      <c r="AD474" s="9"/>
      <c r="AE474" s="9"/>
      <c r="AF474" s="9"/>
    </row>
    <row r="475" spans="1:32" ht="54.95" customHeight="1" x14ac:dyDescent="0.2">
      <c r="A475" s="56"/>
      <c r="B475" s="9"/>
      <c r="C475" s="9"/>
      <c r="D475" s="9"/>
      <c r="E475" s="9"/>
      <c r="F475" s="9"/>
      <c r="G475" s="9"/>
      <c r="H475" s="9"/>
      <c r="I475" s="58"/>
      <c r="J475" s="9"/>
      <c r="K475" s="9"/>
      <c r="L475" s="9"/>
      <c r="M475" s="9"/>
      <c r="N475" s="9"/>
      <c r="O475" s="9"/>
      <c r="P475" s="9"/>
      <c r="Q475" s="9"/>
      <c r="R475" s="9"/>
      <c r="S475" s="9"/>
      <c r="T475" s="9"/>
      <c r="U475" s="9"/>
      <c r="V475" s="9"/>
      <c r="W475" s="9"/>
      <c r="X475" s="9"/>
      <c r="Y475" s="9"/>
      <c r="Z475" s="9"/>
      <c r="AA475" s="9"/>
      <c r="AB475" s="9"/>
      <c r="AC475" s="9"/>
      <c r="AD475" s="9"/>
      <c r="AE475" s="9"/>
      <c r="AF475" s="9"/>
    </row>
    <row r="476" spans="1:32" ht="54.95" customHeight="1" x14ac:dyDescent="0.2">
      <c r="A476" s="56"/>
      <c r="B476" s="9"/>
      <c r="C476" s="9"/>
      <c r="D476" s="9"/>
      <c r="E476" s="9"/>
      <c r="F476" s="9"/>
      <c r="G476" s="9"/>
      <c r="H476" s="9"/>
      <c r="I476" s="58"/>
      <c r="J476" s="9"/>
      <c r="K476" s="9"/>
      <c r="L476" s="9"/>
      <c r="M476" s="9"/>
      <c r="N476" s="9"/>
      <c r="O476" s="9"/>
      <c r="P476" s="9"/>
      <c r="Q476" s="9"/>
      <c r="R476" s="9"/>
      <c r="S476" s="9"/>
      <c r="T476" s="9"/>
      <c r="U476" s="9"/>
      <c r="V476" s="9"/>
      <c r="W476" s="9"/>
      <c r="X476" s="9"/>
      <c r="Y476" s="9"/>
      <c r="Z476" s="9"/>
      <c r="AA476" s="9"/>
      <c r="AB476" s="9"/>
      <c r="AC476" s="9"/>
      <c r="AD476" s="9"/>
      <c r="AE476" s="9"/>
      <c r="AF476" s="9"/>
    </row>
    <row r="477" spans="1:32" ht="54.95" customHeight="1" x14ac:dyDescent="0.2">
      <c r="A477" s="56"/>
      <c r="B477" s="9"/>
      <c r="C477" s="9"/>
      <c r="D477" s="9"/>
      <c r="E477" s="9"/>
      <c r="F477" s="9"/>
      <c r="G477" s="9"/>
      <c r="H477" s="9"/>
      <c r="I477" s="58"/>
      <c r="J477" s="9"/>
      <c r="K477" s="9"/>
      <c r="L477" s="9"/>
      <c r="M477" s="9"/>
      <c r="N477" s="9"/>
      <c r="O477" s="9"/>
      <c r="P477" s="9"/>
      <c r="Q477" s="9"/>
      <c r="R477" s="9"/>
      <c r="S477" s="9"/>
      <c r="T477" s="9"/>
      <c r="U477" s="9"/>
      <c r="V477" s="9"/>
      <c r="W477" s="9"/>
      <c r="X477" s="9"/>
      <c r="Y477" s="9"/>
      <c r="Z477" s="9"/>
      <c r="AA477" s="9"/>
      <c r="AB477" s="9"/>
      <c r="AC477" s="9"/>
      <c r="AD477" s="9"/>
      <c r="AE477" s="9"/>
      <c r="AF477" s="9"/>
    </row>
    <row r="478" spans="1:32" ht="54.95" customHeight="1" x14ac:dyDescent="0.2">
      <c r="A478" s="56"/>
      <c r="B478" s="9"/>
      <c r="C478" s="9"/>
      <c r="D478" s="9"/>
      <c r="E478" s="9"/>
      <c r="F478" s="9"/>
      <c r="G478" s="9"/>
      <c r="H478" s="9"/>
      <c r="I478" s="58"/>
      <c r="J478" s="9"/>
      <c r="K478" s="9"/>
      <c r="L478" s="9"/>
      <c r="M478" s="9"/>
      <c r="N478" s="9"/>
      <c r="O478" s="9"/>
      <c r="P478" s="9"/>
      <c r="Q478" s="9"/>
      <c r="R478" s="9"/>
      <c r="S478" s="9"/>
      <c r="T478" s="9"/>
      <c r="U478" s="9"/>
      <c r="V478" s="9"/>
      <c r="W478" s="9"/>
      <c r="X478" s="9"/>
      <c r="Y478" s="9"/>
      <c r="Z478" s="9"/>
      <c r="AA478" s="9"/>
      <c r="AB478" s="9"/>
      <c r="AC478" s="9"/>
      <c r="AD478" s="9"/>
      <c r="AE478" s="9"/>
      <c r="AF478" s="9"/>
    </row>
    <row r="479" spans="1:32" ht="54.95" customHeight="1" x14ac:dyDescent="0.2">
      <c r="A479" s="56"/>
      <c r="B479" s="9"/>
      <c r="C479" s="9"/>
      <c r="D479" s="9"/>
      <c r="E479" s="9"/>
      <c r="F479" s="9"/>
      <c r="G479" s="9"/>
      <c r="H479" s="9"/>
      <c r="I479" s="58"/>
      <c r="J479" s="9"/>
      <c r="K479" s="9"/>
      <c r="L479" s="9"/>
      <c r="M479" s="9"/>
      <c r="N479" s="9"/>
      <c r="O479" s="9"/>
      <c r="P479" s="9"/>
      <c r="Q479" s="9"/>
      <c r="R479" s="9"/>
      <c r="S479" s="9"/>
      <c r="T479" s="9"/>
      <c r="U479" s="9"/>
      <c r="V479" s="9"/>
      <c r="W479" s="9"/>
      <c r="X479" s="9"/>
      <c r="Y479" s="9"/>
      <c r="Z479" s="9"/>
      <c r="AA479" s="9"/>
      <c r="AB479" s="9"/>
      <c r="AC479" s="9"/>
      <c r="AD479" s="9"/>
      <c r="AE479" s="9"/>
      <c r="AF479" s="9"/>
    </row>
    <row r="480" spans="1:32" ht="54.95" customHeight="1" x14ac:dyDescent="0.2">
      <c r="A480" s="56"/>
      <c r="B480" s="9"/>
      <c r="C480" s="9"/>
      <c r="D480" s="9"/>
      <c r="E480" s="9"/>
      <c r="F480" s="9"/>
      <c r="G480" s="9"/>
      <c r="H480" s="9"/>
      <c r="I480" s="58"/>
      <c r="J480" s="9"/>
      <c r="K480" s="9"/>
      <c r="L480" s="9"/>
      <c r="M480" s="9"/>
      <c r="N480" s="9"/>
      <c r="O480" s="9"/>
      <c r="P480" s="9"/>
      <c r="Q480" s="9"/>
      <c r="R480" s="9"/>
      <c r="S480" s="9"/>
      <c r="T480" s="9"/>
      <c r="U480" s="9"/>
      <c r="V480" s="9"/>
      <c r="W480" s="9"/>
      <c r="X480" s="9"/>
      <c r="Y480" s="9"/>
      <c r="Z480" s="9"/>
      <c r="AA480" s="9"/>
      <c r="AB480" s="9"/>
      <c r="AC480" s="9"/>
      <c r="AD480" s="9"/>
      <c r="AE480" s="9"/>
      <c r="AF480" s="9"/>
    </row>
    <row r="481" spans="1:32" ht="54.95" customHeight="1" x14ac:dyDescent="0.2">
      <c r="A481" s="56"/>
      <c r="B481" s="9"/>
      <c r="C481" s="9"/>
      <c r="D481" s="9"/>
      <c r="E481" s="9"/>
      <c r="F481" s="9"/>
      <c r="G481" s="9"/>
      <c r="H481" s="9"/>
      <c r="I481" s="58"/>
      <c r="J481" s="9"/>
      <c r="K481" s="9"/>
      <c r="L481" s="9"/>
      <c r="M481" s="9"/>
      <c r="N481" s="9"/>
      <c r="O481" s="9"/>
      <c r="P481" s="9"/>
      <c r="Q481" s="9"/>
      <c r="R481" s="9"/>
      <c r="S481" s="9"/>
      <c r="T481" s="9"/>
      <c r="U481" s="9"/>
      <c r="V481" s="9"/>
      <c r="W481" s="9"/>
      <c r="X481" s="9"/>
      <c r="Y481" s="9"/>
      <c r="Z481" s="9"/>
      <c r="AA481" s="9"/>
      <c r="AB481" s="9"/>
      <c r="AC481" s="9"/>
      <c r="AD481" s="9"/>
      <c r="AE481" s="9"/>
      <c r="AF481" s="9"/>
    </row>
    <row r="482" spans="1:32" ht="54.95" customHeight="1" x14ac:dyDescent="0.2">
      <c r="A482" s="56"/>
      <c r="B482" s="9"/>
      <c r="C482" s="9"/>
      <c r="D482" s="9"/>
      <c r="E482" s="9"/>
      <c r="F482" s="9"/>
      <c r="G482" s="9"/>
      <c r="H482" s="9"/>
      <c r="I482" s="58"/>
      <c r="J482" s="9"/>
      <c r="K482" s="9"/>
      <c r="L482" s="9"/>
      <c r="M482" s="9"/>
      <c r="N482" s="9"/>
      <c r="O482" s="9"/>
      <c r="P482" s="9"/>
      <c r="Q482" s="9"/>
      <c r="R482" s="9"/>
      <c r="S482" s="9"/>
      <c r="T482" s="9"/>
      <c r="U482" s="9"/>
      <c r="V482" s="9"/>
      <c r="W482" s="9"/>
      <c r="X482" s="9"/>
      <c r="Y482" s="9"/>
      <c r="Z482" s="9"/>
      <c r="AA482" s="9"/>
      <c r="AB482" s="9"/>
      <c r="AC482" s="9"/>
      <c r="AD482" s="9"/>
      <c r="AE482" s="9"/>
      <c r="AF482" s="9"/>
    </row>
    <row r="483" spans="1:32" ht="54.95" customHeight="1" x14ac:dyDescent="0.2">
      <c r="A483" s="56"/>
      <c r="B483" s="9"/>
      <c r="C483" s="9"/>
      <c r="D483" s="9"/>
      <c r="E483" s="9"/>
      <c r="F483" s="9"/>
      <c r="G483" s="9"/>
      <c r="H483" s="9"/>
      <c r="I483" s="58"/>
      <c r="J483" s="9"/>
      <c r="K483" s="9"/>
      <c r="L483" s="9"/>
      <c r="M483" s="9"/>
      <c r="N483" s="9"/>
      <c r="O483" s="9"/>
      <c r="P483" s="9"/>
      <c r="Q483" s="9"/>
      <c r="R483" s="9"/>
      <c r="S483" s="9"/>
      <c r="T483" s="9"/>
      <c r="U483" s="9"/>
      <c r="V483" s="9"/>
      <c r="W483" s="9"/>
      <c r="X483" s="9"/>
      <c r="Y483" s="9"/>
      <c r="Z483" s="9"/>
      <c r="AA483" s="9"/>
      <c r="AB483" s="9"/>
      <c r="AC483" s="9"/>
      <c r="AD483" s="9"/>
      <c r="AE483" s="9"/>
      <c r="AF483" s="9"/>
    </row>
    <row r="484" spans="1:32" ht="54.95" customHeight="1" x14ac:dyDescent="0.2">
      <c r="A484" s="56"/>
      <c r="B484" s="9"/>
      <c r="C484" s="9"/>
      <c r="D484" s="9"/>
      <c r="E484" s="9"/>
      <c r="F484" s="9"/>
      <c r="G484" s="9"/>
      <c r="H484" s="9"/>
      <c r="I484" s="58"/>
      <c r="J484" s="9"/>
      <c r="K484" s="9"/>
      <c r="L484" s="9"/>
      <c r="M484" s="9"/>
      <c r="N484" s="9"/>
      <c r="O484" s="9"/>
      <c r="P484" s="9"/>
      <c r="Q484" s="9"/>
      <c r="R484" s="9"/>
      <c r="S484" s="9"/>
      <c r="T484" s="9"/>
      <c r="U484" s="9"/>
      <c r="V484" s="9"/>
      <c r="W484" s="9"/>
      <c r="X484" s="9"/>
      <c r="Y484" s="9"/>
      <c r="Z484" s="9"/>
      <c r="AA484" s="9"/>
      <c r="AB484" s="9"/>
      <c r="AC484" s="9"/>
      <c r="AD484" s="9"/>
      <c r="AE484" s="9"/>
      <c r="AF484" s="9"/>
    </row>
    <row r="485" spans="1:32" ht="54.95" customHeight="1" x14ac:dyDescent="0.2">
      <c r="A485" s="56"/>
      <c r="B485" s="9"/>
      <c r="C485" s="9"/>
      <c r="D485" s="9"/>
      <c r="E485" s="9"/>
      <c r="F485" s="9"/>
      <c r="G485" s="9"/>
      <c r="H485" s="9"/>
      <c r="I485" s="58"/>
      <c r="J485" s="9"/>
      <c r="K485" s="9"/>
      <c r="L485" s="9"/>
      <c r="M485" s="9"/>
      <c r="N485" s="9"/>
      <c r="O485" s="9"/>
      <c r="P485" s="9"/>
      <c r="Q485" s="9"/>
      <c r="R485" s="9"/>
      <c r="S485" s="9"/>
      <c r="T485" s="9"/>
      <c r="U485" s="9"/>
      <c r="V485" s="9"/>
      <c r="W485" s="9"/>
      <c r="X485" s="9"/>
      <c r="Y485" s="9"/>
      <c r="Z485" s="9"/>
      <c r="AA485" s="9"/>
      <c r="AB485" s="9"/>
      <c r="AC485" s="9"/>
      <c r="AD485" s="9"/>
      <c r="AE485" s="9"/>
      <c r="AF485" s="9"/>
    </row>
    <row r="486" spans="1:32" ht="54.95" customHeight="1" x14ac:dyDescent="0.2">
      <c r="A486" s="56"/>
      <c r="B486" s="9"/>
      <c r="C486" s="9"/>
      <c r="D486" s="9"/>
      <c r="E486" s="9"/>
      <c r="F486" s="9"/>
      <c r="G486" s="9"/>
      <c r="H486" s="9"/>
      <c r="I486" s="58"/>
      <c r="J486" s="9"/>
      <c r="K486" s="9"/>
      <c r="L486" s="9"/>
      <c r="M486" s="9"/>
      <c r="N486" s="9"/>
      <c r="O486" s="9"/>
      <c r="P486" s="9"/>
      <c r="Q486" s="9"/>
      <c r="R486" s="9"/>
      <c r="S486" s="9"/>
      <c r="T486" s="9"/>
      <c r="U486" s="9"/>
      <c r="V486" s="9"/>
      <c r="W486" s="9"/>
      <c r="X486" s="9"/>
      <c r="Y486" s="9"/>
      <c r="Z486" s="9"/>
      <c r="AA486" s="9"/>
      <c r="AB486" s="9"/>
      <c r="AC486" s="9"/>
      <c r="AD486" s="9"/>
      <c r="AE486" s="9"/>
      <c r="AF486" s="9"/>
    </row>
    <row r="487" spans="1:32" ht="54.95" customHeight="1" x14ac:dyDescent="0.2">
      <c r="A487" s="56"/>
      <c r="B487" s="9"/>
      <c r="C487" s="9"/>
      <c r="D487" s="9"/>
      <c r="E487" s="9"/>
      <c r="F487" s="9"/>
      <c r="G487" s="9"/>
      <c r="H487" s="9"/>
      <c r="I487" s="58"/>
      <c r="J487" s="9"/>
      <c r="K487" s="9"/>
      <c r="L487" s="9"/>
      <c r="M487" s="9"/>
      <c r="N487" s="9"/>
      <c r="O487" s="9"/>
      <c r="P487" s="9"/>
      <c r="Q487" s="9"/>
      <c r="R487" s="9"/>
      <c r="S487" s="9"/>
      <c r="T487" s="9"/>
      <c r="U487" s="9"/>
      <c r="V487" s="9"/>
      <c r="W487" s="9"/>
      <c r="X487" s="9"/>
      <c r="Y487" s="9"/>
      <c r="Z487" s="9"/>
      <c r="AA487" s="9"/>
      <c r="AB487" s="9"/>
      <c r="AC487" s="9"/>
      <c r="AD487" s="9"/>
      <c r="AE487" s="9"/>
      <c r="AF487" s="9"/>
    </row>
    <row r="488" spans="1:32" ht="54.95" customHeight="1" x14ac:dyDescent="0.2">
      <c r="A488" s="56"/>
      <c r="B488" s="9"/>
      <c r="C488" s="9"/>
      <c r="D488" s="9"/>
      <c r="E488" s="9"/>
      <c r="F488" s="9"/>
      <c r="G488" s="9"/>
      <c r="H488" s="9"/>
      <c r="I488" s="58"/>
      <c r="J488" s="9"/>
      <c r="K488" s="9"/>
      <c r="L488" s="9"/>
      <c r="M488" s="9"/>
      <c r="N488" s="9"/>
      <c r="O488" s="9"/>
      <c r="P488" s="9"/>
      <c r="Q488" s="9"/>
      <c r="R488" s="9"/>
      <c r="S488" s="9"/>
      <c r="T488" s="9"/>
      <c r="U488" s="9"/>
      <c r="V488" s="9"/>
      <c r="W488" s="9"/>
      <c r="X488" s="9"/>
      <c r="Y488" s="9"/>
      <c r="Z488" s="9"/>
      <c r="AA488" s="9"/>
      <c r="AB488" s="9"/>
      <c r="AC488" s="9"/>
      <c r="AD488" s="9"/>
      <c r="AE488" s="9"/>
      <c r="AF488" s="9"/>
    </row>
    <row r="489" spans="1:32" ht="54.95" customHeight="1" x14ac:dyDescent="0.2">
      <c r="A489" s="56"/>
      <c r="B489" s="9"/>
      <c r="C489" s="9"/>
      <c r="D489" s="9"/>
      <c r="E489" s="9"/>
      <c r="F489" s="9"/>
      <c r="G489" s="9"/>
      <c r="H489" s="9"/>
      <c r="I489" s="58"/>
      <c r="J489" s="9"/>
      <c r="K489" s="9"/>
      <c r="L489" s="9"/>
      <c r="M489" s="9"/>
      <c r="N489" s="9"/>
      <c r="O489" s="9"/>
      <c r="P489" s="9"/>
      <c r="Q489" s="9"/>
      <c r="R489" s="9"/>
      <c r="S489" s="9"/>
      <c r="T489" s="9"/>
      <c r="U489" s="9"/>
      <c r="V489" s="9"/>
      <c r="W489" s="9"/>
      <c r="X489" s="9"/>
      <c r="Y489" s="9"/>
      <c r="Z489" s="9"/>
      <c r="AA489" s="9"/>
      <c r="AB489" s="9"/>
      <c r="AC489" s="9"/>
      <c r="AD489" s="9"/>
      <c r="AE489" s="9"/>
      <c r="AF489" s="9"/>
    </row>
    <row r="490" spans="1:32" ht="54.95" customHeight="1" x14ac:dyDescent="0.2">
      <c r="A490" s="56"/>
      <c r="B490" s="9"/>
      <c r="C490" s="9"/>
      <c r="D490" s="9"/>
      <c r="E490" s="9"/>
      <c r="F490" s="9"/>
      <c r="G490" s="9"/>
      <c r="H490" s="9"/>
      <c r="I490" s="58"/>
      <c r="J490" s="9"/>
      <c r="K490" s="9"/>
      <c r="L490" s="9"/>
      <c r="M490" s="9"/>
      <c r="N490" s="9"/>
      <c r="O490" s="9"/>
      <c r="P490" s="9"/>
      <c r="Q490" s="9"/>
      <c r="R490" s="9"/>
      <c r="S490" s="9"/>
      <c r="T490" s="9"/>
      <c r="U490" s="9"/>
      <c r="V490" s="9"/>
      <c r="W490" s="9"/>
      <c r="X490" s="9"/>
      <c r="Y490" s="9"/>
      <c r="Z490" s="9"/>
      <c r="AA490" s="9"/>
      <c r="AB490" s="9"/>
      <c r="AC490" s="9"/>
      <c r="AD490" s="9"/>
      <c r="AE490" s="9"/>
      <c r="AF490" s="9"/>
    </row>
    <row r="491" spans="1:32" ht="54.95" customHeight="1" x14ac:dyDescent="0.2">
      <c r="A491" s="56"/>
      <c r="B491" s="9"/>
      <c r="C491" s="9"/>
      <c r="D491" s="9"/>
      <c r="E491" s="9"/>
      <c r="F491" s="9"/>
      <c r="G491" s="9"/>
      <c r="H491" s="9"/>
      <c r="I491" s="58"/>
      <c r="J491" s="9"/>
      <c r="K491" s="9"/>
      <c r="L491" s="9"/>
      <c r="M491" s="9"/>
      <c r="N491" s="9"/>
      <c r="O491" s="9"/>
      <c r="P491" s="9"/>
      <c r="Q491" s="9"/>
      <c r="R491" s="9"/>
      <c r="S491" s="9"/>
      <c r="T491" s="9"/>
      <c r="U491" s="9"/>
      <c r="V491" s="9"/>
      <c r="W491" s="9"/>
      <c r="X491" s="9"/>
      <c r="Y491" s="9"/>
      <c r="Z491" s="9"/>
      <c r="AA491" s="9"/>
      <c r="AB491" s="9"/>
      <c r="AC491" s="9"/>
      <c r="AD491" s="9"/>
      <c r="AE491" s="9"/>
      <c r="AF491" s="9"/>
    </row>
    <row r="492" spans="1:32" ht="54.95" customHeight="1" x14ac:dyDescent="0.2">
      <c r="A492" s="56"/>
      <c r="B492" s="9"/>
      <c r="C492" s="9"/>
      <c r="D492" s="9"/>
      <c r="E492" s="9"/>
      <c r="F492" s="9"/>
      <c r="G492" s="9"/>
      <c r="H492" s="9"/>
      <c r="I492" s="58"/>
      <c r="J492" s="9"/>
      <c r="K492" s="9"/>
      <c r="L492" s="9"/>
      <c r="M492" s="9"/>
      <c r="N492" s="9"/>
      <c r="O492" s="9"/>
      <c r="P492" s="9"/>
      <c r="Q492" s="9"/>
      <c r="R492" s="9"/>
      <c r="S492" s="9"/>
      <c r="T492" s="9"/>
      <c r="U492" s="9"/>
      <c r="V492" s="9"/>
      <c r="W492" s="9"/>
      <c r="X492" s="9"/>
      <c r="Y492" s="9"/>
      <c r="Z492" s="9"/>
      <c r="AA492" s="9"/>
      <c r="AB492" s="9"/>
      <c r="AC492" s="9"/>
      <c r="AD492" s="9"/>
      <c r="AE492" s="9"/>
      <c r="AF492" s="9"/>
    </row>
    <row r="493" spans="1:32" ht="54.95" customHeight="1" x14ac:dyDescent="0.2">
      <c r="A493" s="56"/>
      <c r="B493" s="9"/>
      <c r="C493" s="9"/>
      <c r="D493" s="9"/>
      <c r="E493" s="9"/>
      <c r="F493" s="9"/>
      <c r="G493" s="9"/>
      <c r="H493" s="9"/>
      <c r="I493" s="58"/>
      <c r="J493" s="9"/>
      <c r="K493" s="9"/>
      <c r="L493" s="9"/>
      <c r="M493" s="9"/>
      <c r="N493" s="9"/>
      <c r="O493" s="9"/>
      <c r="P493" s="9"/>
      <c r="Q493" s="9"/>
      <c r="R493" s="9"/>
      <c r="S493" s="9"/>
      <c r="T493" s="9"/>
      <c r="U493" s="9"/>
      <c r="V493" s="9"/>
      <c r="W493" s="9"/>
      <c r="X493" s="9"/>
      <c r="Y493" s="9"/>
      <c r="Z493" s="9"/>
      <c r="AA493" s="9"/>
      <c r="AB493" s="9"/>
      <c r="AC493" s="9"/>
      <c r="AD493" s="9"/>
      <c r="AE493" s="9"/>
      <c r="AF493" s="9"/>
    </row>
    <row r="494" spans="1:32" ht="54.95" customHeight="1" x14ac:dyDescent="0.2">
      <c r="A494" s="56"/>
      <c r="B494" s="9"/>
      <c r="C494" s="9"/>
      <c r="D494" s="9"/>
      <c r="E494" s="9"/>
      <c r="F494" s="9"/>
      <c r="G494" s="9"/>
      <c r="H494" s="9"/>
      <c r="I494" s="58"/>
      <c r="J494" s="9"/>
      <c r="K494" s="9"/>
      <c r="L494" s="9"/>
      <c r="M494" s="9"/>
      <c r="N494" s="9"/>
      <c r="O494" s="9"/>
      <c r="P494" s="9"/>
      <c r="Q494" s="9"/>
      <c r="R494" s="9"/>
      <c r="S494" s="9"/>
      <c r="T494" s="9"/>
      <c r="U494" s="9"/>
      <c r="V494" s="9"/>
      <c r="W494" s="9"/>
      <c r="X494" s="9"/>
      <c r="Y494" s="9"/>
      <c r="Z494" s="9"/>
      <c r="AA494" s="9"/>
      <c r="AB494" s="9"/>
      <c r="AC494" s="9"/>
      <c r="AD494" s="9"/>
      <c r="AE494" s="9"/>
      <c r="AF494" s="9"/>
    </row>
    <row r="495" spans="1:32" ht="54.95" customHeight="1" x14ac:dyDescent="0.2">
      <c r="A495" s="56"/>
      <c r="B495" s="9"/>
      <c r="C495" s="9"/>
      <c r="D495" s="9"/>
      <c r="E495" s="9"/>
      <c r="F495" s="9"/>
      <c r="G495" s="9"/>
      <c r="H495" s="9"/>
      <c r="I495" s="58"/>
      <c r="J495" s="9"/>
      <c r="K495" s="9"/>
      <c r="L495" s="9"/>
      <c r="M495" s="9"/>
      <c r="N495" s="9"/>
      <c r="O495" s="9"/>
      <c r="P495" s="9"/>
      <c r="Q495" s="9"/>
      <c r="R495" s="9"/>
      <c r="S495" s="9"/>
      <c r="T495" s="9"/>
      <c r="U495" s="9"/>
      <c r="V495" s="9"/>
      <c r="W495" s="9"/>
      <c r="X495" s="9"/>
      <c r="Y495" s="9"/>
      <c r="Z495" s="9"/>
      <c r="AA495" s="9"/>
      <c r="AB495" s="9"/>
      <c r="AC495" s="9"/>
      <c r="AD495" s="9"/>
      <c r="AE495" s="9"/>
      <c r="AF495" s="9"/>
    </row>
    <row r="496" spans="1:32" ht="54.95" customHeight="1" x14ac:dyDescent="0.2">
      <c r="A496" s="56"/>
      <c r="B496" s="9"/>
      <c r="C496" s="9"/>
      <c r="D496" s="9"/>
      <c r="E496" s="9"/>
      <c r="F496" s="9"/>
      <c r="G496" s="9"/>
      <c r="H496" s="9"/>
      <c r="I496" s="58"/>
      <c r="J496" s="9"/>
      <c r="K496" s="9"/>
      <c r="L496" s="9"/>
      <c r="M496" s="9"/>
      <c r="N496" s="9"/>
      <c r="O496" s="9"/>
      <c r="P496" s="9"/>
      <c r="Q496" s="9"/>
      <c r="R496" s="9"/>
      <c r="S496" s="9"/>
      <c r="T496" s="9"/>
      <c r="U496" s="9"/>
      <c r="V496" s="9"/>
      <c r="W496" s="9"/>
      <c r="X496" s="9"/>
      <c r="Y496" s="9"/>
      <c r="Z496" s="9"/>
      <c r="AA496" s="9"/>
      <c r="AB496" s="9"/>
      <c r="AC496" s="9"/>
      <c r="AD496" s="9"/>
      <c r="AE496" s="9"/>
      <c r="AF496" s="9"/>
    </row>
    <row r="497" spans="1:32" ht="54.95" customHeight="1" x14ac:dyDescent="0.2">
      <c r="A497" s="56"/>
      <c r="B497" s="9"/>
      <c r="C497" s="9"/>
      <c r="D497" s="9"/>
      <c r="E497" s="9"/>
      <c r="F497" s="9"/>
      <c r="G497" s="9"/>
      <c r="H497" s="9"/>
      <c r="I497" s="58"/>
      <c r="J497" s="9"/>
      <c r="K497" s="9"/>
      <c r="L497" s="9"/>
      <c r="M497" s="9"/>
      <c r="N497" s="9"/>
      <c r="O497" s="9"/>
      <c r="P497" s="9"/>
      <c r="Q497" s="9"/>
      <c r="R497" s="9"/>
      <c r="S497" s="9"/>
      <c r="T497" s="9"/>
      <c r="U497" s="9"/>
      <c r="V497" s="9"/>
      <c r="W497" s="9"/>
      <c r="X497" s="9"/>
      <c r="Y497" s="9"/>
      <c r="Z497" s="9"/>
      <c r="AA497" s="9"/>
      <c r="AB497" s="9"/>
      <c r="AC497" s="9"/>
      <c r="AD497" s="9"/>
      <c r="AE497" s="9"/>
      <c r="AF497" s="9"/>
    </row>
    <row r="498" spans="1:32" ht="54.95" customHeight="1" x14ac:dyDescent="0.2">
      <c r="A498" s="56"/>
      <c r="B498" s="9"/>
      <c r="C498" s="9"/>
      <c r="D498" s="9"/>
      <c r="E498" s="9"/>
      <c r="F498" s="9"/>
      <c r="G498" s="9"/>
      <c r="H498" s="9"/>
      <c r="I498" s="58"/>
      <c r="J498" s="9"/>
      <c r="K498" s="9"/>
      <c r="L498" s="9"/>
      <c r="M498" s="9"/>
      <c r="N498" s="9"/>
      <c r="O498" s="9"/>
      <c r="P498" s="9"/>
      <c r="Q498" s="9"/>
      <c r="R498" s="9"/>
      <c r="S498" s="9"/>
      <c r="T498" s="9"/>
      <c r="U498" s="9"/>
      <c r="V498" s="9"/>
      <c r="W498" s="9"/>
      <c r="X498" s="9"/>
      <c r="Y498" s="9"/>
      <c r="Z498" s="9"/>
      <c r="AA498" s="9"/>
      <c r="AB498" s="9"/>
      <c r="AC498" s="9"/>
      <c r="AD498" s="9"/>
      <c r="AE498" s="9"/>
      <c r="AF498" s="9"/>
    </row>
    <row r="499" spans="1:32" ht="54.95" customHeight="1" x14ac:dyDescent="0.2">
      <c r="A499" s="56"/>
      <c r="B499" s="9"/>
      <c r="C499" s="9"/>
      <c r="D499" s="9"/>
      <c r="E499" s="9"/>
      <c r="F499" s="9"/>
      <c r="G499" s="9"/>
      <c r="H499" s="9"/>
      <c r="I499" s="58"/>
      <c r="J499" s="9"/>
      <c r="K499" s="9"/>
      <c r="L499" s="9"/>
      <c r="M499" s="9"/>
      <c r="N499" s="9"/>
      <c r="O499" s="9"/>
      <c r="P499" s="9"/>
      <c r="Q499" s="9"/>
      <c r="R499" s="9"/>
      <c r="S499" s="9"/>
      <c r="T499" s="9"/>
      <c r="U499" s="9"/>
      <c r="V499" s="9"/>
      <c r="W499" s="9"/>
      <c r="X499" s="9"/>
      <c r="Y499" s="9"/>
      <c r="Z499" s="9"/>
      <c r="AA499" s="9"/>
      <c r="AB499" s="9"/>
      <c r="AC499" s="9"/>
      <c r="AD499" s="9"/>
      <c r="AE499" s="9"/>
      <c r="AF499" s="9"/>
    </row>
    <row r="500" spans="1:32" ht="54.95" customHeight="1" x14ac:dyDescent="0.2">
      <c r="A500" s="56"/>
      <c r="B500" s="9"/>
      <c r="C500" s="9"/>
      <c r="D500" s="9"/>
      <c r="E500" s="9"/>
      <c r="F500" s="9"/>
      <c r="G500" s="9"/>
      <c r="H500" s="9"/>
      <c r="I500" s="58"/>
      <c r="J500" s="9"/>
      <c r="K500" s="9"/>
      <c r="L500" s="9"/>
      <c r="M500" s="9"/>
      <c r="N500" s="9"/>
      <c r="O500" s="9"/>
      <c r="P500" s="9"/>
      <c r="Q500" s="9"/>
      <c r="R500" s="9"/>
      <c r="S500" s="9"/>
      <c r="T500" s="9"/>
      <c r="U500" s="9"/>
      <c r="V500" s="9"/>
      <c r="W500" s="9"/>
      <c r="X500" s="9"/>
      <c r="Y500" s="9"/>
      <c r="Z500" s="9"/>
      <c r="AA500" s="9"/>
      <c r="AB500" s="9"/>
      <c r="AC500" s="9"/>
      <c r="AD500" s="9"/>
      <c r="AE500" s="9"/>
      <c r="AF500" s="9"/>
    </row>
    <row r="501" spans="1:32" ht="54.95" customHeight="1" x14ac:dyDescent="0.2">
      <c r="A501" s="56"/>
      <c r="B501" s="9"/>
      <c r="C501" s="9"/>
      <c r="D501" s="9"/>
      <c r="E501" s="9"/>
      <c r="F501" s="9"/>
      <c r="G501" s="9"/>
      <c r="H501" s="9"/>
      <c r="I501" s="58"/>
      <c r="J501" s="9"/>
      <c r="K501" s="9"/>
      <c r="L501" s="9"/>
      <c r="M501" s="9"/>
      <c r="N501" s="9"/>
      <c r="O501" s="9"/>
      <c r="P501" s="9"/>
      <c r="Q501" s="9"/>
      <c r="R501" s="9"/>
      <c r="S501" s="9"/>
      <c r="T501" s="9"/>
      <c r="U501" s="9"/>
      <c r="V501" s="9"/>
      <c r="W501" s="9"/>
      <c r="X501" s="9"/>
      <c r="Y501" s="9"/>
      <c r="Z501" s="9"/>
      <c r="AA501" s="9"/>
      <c r="AB501" s="9"/>
      <c r="AC501" s="9"/>
      <c r="AD501" s="9"/>
      <c r="AE501" s="9"/>
      <c r="AF501" s="9"/>
    </row>
    <row r="502" spans="1:32" ht="54.95" customHeight="1" x14ac:dyDescent="0.2">
      <c r="A502" s="56"/>
      <c r="B502" s="9"/>
      <c r="C502" s="9"/>
      <c r="D502" s="9"/>
      <c r="E502" s="9"/>
      <c r="F502" s="9"/>
      <c r="G502" s="9"/>
      <c r="H502" s="9"/>
      <c r="I502" s="58"/>
      <c r="J502" s="9"/>
      <c r="K502" s="9"/>
      <c r="L502" s="9"/>
      <c r="M502" s="9"/>
      <c r="N502" s="9"/>
      <c r="O502" s="9"/>
      <c r="P502" s="9"/>
      <c r="Q502" s="9"/>
      <c r="R502" s="9"/>
      <c r="S502" s="9"/>
      <c r="T502" s="9"/>
      <c r="U502" s="9"/>
      <c r="V502" s="9"/>
      <c r="W502" s="9"/>
      <c r="X502" s="9"/>
      <c r="Y502" s="9"/>
      <c r="Z502" s="9"/>
      <c r="AA502" s="9"/>
      <c r="AB502" s="9"/>
      <c r="AC502" s="9"/>
      <c r="AD502" s="9"/>
      <c r="AE502" s="9"/>
      <c r="AF502" s="9"/>
    </row>
    <row r="503" spans="1:32" ht="54.95" customHeight="1" x14ac:dyDescent="0.2">
      <c r="A503" s="56"/>
      <c r="B503" s="9"/>
      <c r="C503" s="9"/>
      <c r="D503" s="9"/>
      <c r="E503" s="9"/>
      <c r="F503" s="9"/>
      <c r="G503" s="9"/>
      <c r="H503" s="9"/>
      <c r="I503" s="58"/>
      <c r="J503" s="9"/>
      <c r="K503" s="9"/>
      <c r="L503" s="9"/>
      <c r="M503" s="9"/>
      <c r="N503" s="9"/>
      <c r="O503" s="9"/>
      <c r="P503" s="9"/>
      <c r="Q503" s="9"/>
      <c r="R503" s="9"/>
      <c r="S503" s="9"/>
      <c r="T503" s="9"/>
      <c r="U503" s="9"/>
      <c r="V503" s="9"/>
      <c r="W503" s="9"/>
      <c r="X503" s="9"/>
      <c r="Y503" s="9"/>
      <c r="Z503" s="9"/>
      <c r="AA503" s="9"/>
      <c r="AB503" s="9"/>
      <c r="AC503" s="9"/>
      <c r="AD503" s="9"/>
      <c r="AE503" s="9"/>
      <c r="AF503" s="9"/>
    </row>
    <row r="504" spans="1:32" ht="54.95" customHeight="1" x14ac:dyDescent="0.2">
      <c r="A504" s="56"/>
      <c r="B504" s="9"/>
      <c r="C504" s="9"/>
      <c r="D504" s="9"/>
      <c r="E504" s="9"/>
      <c r="F504" s="9"/>
      <c r="G504" s="9"/>
      <c r="H504" s="9"/>
      <c r="I504" s="58"/>
      <c r="J504" s="9"/>
      <c r="K504" s="9"/>
      <c r="L504" s="9"/>
      <c r="M504" s="9"/>
      <c r="N504" s="9"/>
      <c r="O504" s="9"/>
      <c r="P504" s="9"/>
      <c r="Q504" s="9"/>
      <c r="R504" s="9"/>
      <c r="S504" s="9"/>
      <c r="T504" s="9"/>
      <c r="U504" s="9"/>
      <c r="V504" s="9"/>
      <c r="W504" s="9"/>
      <c r="X504" s="9"/>
      <c r="Y504" s="9"/>
      <c r="Z504" s="9"/>
      <c r="AA504" s="9"/>
      <c r="AB504" s="9"/>
      <c r="AC504" s="9"/>
      <c r="AD504" s="9"/>
      <c r="AE504" s="9"/>
      <c r="AF504" s="9"/>
    </row>
    <row r="505" spans="1:32" ht="54.95" customHeight="1" x14ac:dyDescent="0.2">
      <c r="A505" s="56"/>
      <c r="B505" s="9"/>
      <c r="C505" s="9"/>
      <c r="D505" s="9"/>
      <c r="E505" s="9"/>
      <c r="F505" s="9"/>
      <c r="G505" s="9"/>
      <c r="H505" s="9"/>
      <c r="I505" s="58"/>
      <c r="J505" s="9"/>
      <c r="K505" s="9"/>
      <c r="L505" s="9"/>
      <c r="M505" s="9"/>
      <c r="N505" s="9"/>
      <c r="O505" s="9"/>
      <c r="P505" s="9"/>
      <c r="Q505" s="9"/>
      <c r="R505" s="9"/>
      <c r="S505" s="9"/>
      <c r="T505" s="9"/>
      <c r="U505" s="9"/>
      <c r="V505" s="9"/>
      <c r="W505" s="9"/>
      <c r="X505" s="9"/>
      <c r="Y505" s="9"/>
      <c r="Z505" s="9"/>
      <c r="AA505" s="9"/>
      <c r="AB505" s="9"/>
      <c r="AC505" s="9"/>
      <c r="AD505" s="9"/>
      <c r="AE505" s="9"/>
      <c r="AF505" s="9"/>
    </row>
    <row r="506" spans="1:32" ht="54.95" customHeight="1" x14ac:dyDescent="0.2">
      <c r="A506" s="56"/>
      <c r="B506" s="9"/>
      <c r="C506" s="9"/>
      <c r="D506" s="9"/>
      <c r="E506" s="9"/>
      <c r="F506" s="9"/>
      <c r="G506" s="9"/>
      <c r="H506" s="9"/>
      <c r="I506" s="58"/>
      <c r="J506" s="9"/>
      <c r="K506" s="9"/>
      <c r="L506" s="9"/>
      <c r="M506" s="9"/>
      <c r="N506" s="9"/>
      <c r="O506" s="9"/>
      <c r="P506" s="9"/>
      <c r="Q506" s="9"/>
      <c r="R506" s="9"/>
      <c r="S506" s="9"/>
      <c r="T506" s="9"/>
      <c r="U506" s="9"/>
      <c r="V506" s="9"/>
      <c r="W506" s="9"/>
      <c r="X506" s="9"/>
      <c r="Y506" s="9"/>
      <c r="Z506" s="9"/>
      <c r="AA506" s="9"/>
      <c r="AB506" s="9"/>
      <c r="AC506" s="9"/>
      <c r="AD506" s="9"/>
      <c r="AE506" s="9"/>
      <c r="AF506" s="9"/>
    </row>
    <row r="507" spans="1:32" ht="54.95" customHeight="1" x14ac:dyDescent="0.2">
      <c r="A507" s="56"/>
      <c r="B507" s="9"/>
      <c r="C507" s="9"/>
      <c r="D507" s="9"/>
      <c r="E507" s="9"/>
      <c r="F507" s="9"/>
      <c r="G507" s="9"/>
      <c r="H507" s="9"/>
      <c r="I507" s="58"/>
      <c r="J507" s="9"/>
      <c r="K507" s="9"/>
      <c r="L507" s="9"/>
      <c r="M507" s="9"/>
      <c r="N507" s="9"/>
      <c r="O507" s="9"/>
      <c r="P507" s="9"/>
      <c r="Q507" s="9"/>
      <c r="R507" s="9"/>
      <c r="S507" s="9"/>
      <c r="T507" s="9"/>
      <c r="U507" s="9"/>
      <c r="V507" s="9"/>
      <c r="W507" s="9"/>
      <c r="X507" s="9"/>
      <c r="Y507" s="9"/>
      <c r="Z507" s="9"/>
      <c r="AA507" s="9"/>
      <c r="AB507" s="9"/>
      <c r="AC507" s="9"/>
      <c r="AD507" s="9"/>
      <c r="AE507" s="9"/>
      <c r="AF507" s="9"/>
    </row>
    <row r="508" spans="1:32" ht="54.95" customHeight="1" x14ac:dyDescent="0.2">
      <c r="A508" s="56"/>
      <c r="B508" s="9"/>
      <c r="C508" s="9"/>
      <c r="D508" s="9"/>
      <c r="E508" s="9"/>
      <c r="F508" s="9"/>
      <c r="G508" s="9"/>
      <c r="H508" s="9"/>
      <c r="I508" s="58"/>
      <c r="J508" s="9"/>
      <c r="K508" s="9"/>
      <c r="L508" s="9"/>
      <c r="M508" s="9"/>
      <c r="N508" s="9"/>
      <c r="O508" s="9"/>
      <c r="P508" s="9"/>
      <c r="Q508" s="9"/>
      <c r="R508" s="9"/>
      <c r="S508" s="9"/>
      <c r="T508" s="9"/>
      <c r="U508" s="9"/>
      <c r="V508" s="9"/>
      <c r="W508" s="9"/>
      <c r="X508" s="9"/>
      <c r="Y508" s="9"/>
      <c r="Z508" s="9"/>
      <c r="AA508" s="9"/>
      <c r="AB508" s="9"/>
      <c r="AC508" s="9"/>
      <c r="AD508" s="9"/>
      <c r="AE508" s="9"/>
      <c r="AF508" s="9"/>
    </row>
    <row r="509" spans="1:32" ht="54.95" customHeight="1" x14ac:dyDescent="0.2">
      <c r="A509" s="56"/>
      <c r="B509" s="9"/>
      <c r="C509" s="9"/>
      <c r="D509" s="9"/>
      <c r="E509" s="9"/>
      <c r="F509" s="9"/>
      <c r="G509" s="9"/>
      <c r="H509" s="9"/>
      <c r="I509" s="58"/>
      <c r="J509" s="9"/>
      <c r="K509" s="9"/>
      <c r="L509" s="9"/>
      <c r="M509" s="9"/>
      <c r="N509" s="9"/>
      <c r="O509" s="9"/>
      <c r="P509" s="9"/>
      <c r="Q509" s="9"/>
      <c r="R509" s="9"/>
      <c r="S509" s="9"/>
      <c r="T509" s="9"/>
      <c r="U509" s="9"/>
      <c r="V509" s="9"/>
      <c r="W509" s="9"/>
      <c r="X509" s="9"/>
      <c r="Y509" s="9"/>
      <c r="Z509" s="9"/>
      <c r="AA509" s="9"/>
      <c r="AB509" s="9"/>
      <c r="AC509" s="9"/>
      <c r="AD509" s="9"/>
      <c r="AE509" s="9"/>
      <c r="AF509" s="9"/>
    </row>
    <row r="510" spans="1:32" ht="54.95" customHeight="1" x14ac:dyDescent="0.2">
      <c r="A510" s="56"/>
      <c r="B510" s="9"/>
      <c r="C510" s="9"/>
      <c r="D510" s="9"/>
      <c r="E510" s="9"/>
      <c r="F510" s="9"/>
      <c r="G510" s="9"/>
      <c r="H510" s="9"/>
      <c r="I510" s="58"/>
      <c r="J510" s="9"/>
      <c r="K510" s="9"/>
      <c r="L510" s="9"/>
      <c r="M510" s="9"/>
      <c r="N510" s="9"/>
      <c r="O510" s="9"/>
      <c r="P510" s="9"/>
      <c r="Q510" s="9"/>
      <c r="R510" s="9"/>
      <c r="S510" s="9"/>
      <c r="T510" s="9"/>
      <c r="U510" s="9"/>
      <c r="V510" s="9"/>
      <c r="W510" s="9"/>
      <c r="X510" s="9"/>
      <c r="Y510" s="9"/>
      <c r="Z510" s="9"/>
      <c r="AA510" s="9"/>
      <c r="AB510" s="9"/>
      <c r="AC510" s="9"/>
      <c r="AD510" s="9"/>
      <c r="AE510" s="9"/>
      <c r="AF510" s="9"/>
    </row>
    <row r="511" spans="1:32" ht="54.95" customHeight="1" x14ac:dyDescent="0.2">
      <c r="A511" s="56"/>
      <c r="B511" s="9"/>
      <c r="C511" s="9"/>
      <c r="D511" s="9"/>
      <c r="E511" s="9"/>
      <c r="F511" s="9"/>
      <c r="G511" s="9"/>
      <c r="H511" s="9"/>
      <c r="I511" s="58"/>
      <c r="J511" s="9"/>
      <c r="K511" s="9"/>
      <c r="L511" s="9"/>
      <c r="M511" s="9"/>
      <c r="N511" s="9"/>
      <c r="O511" s="9"/>
      <c r="P511" s="9"/>
      <c r="Q511" s="9"/>
      <c r="R511" s="9"/>
      <c r="S511" s="9"/>
      <c r="T511" s="9"/>
      <c r="U511" s="9"/>
      <c r="V511" s="9"/>
      <c r="W511" s="9"/>
      <c r="X511" s="9"/>
      <c r="Y511" s="9"/>
      <c r="Z511" s="9"/>
      <c r="AA511" s="9"/>
      <c r="AB511" s="9"/>
      <c r="AC511" s="9"/>
      <c r="AD511" s="9"/>
      <c r="AE511" s="9"/>
      <c r="AF511" s="9"/>
    </row>
    <row r="512" spans="1:32" ht="54.95" customHeight="1" x14ac:dyDescent="0.2">
      <c r="A512" s="56"/>
      <c r="B512" s="9"/>
      <c r="C512" s="9"/>
      <c r="D512" s="9"/>
      <c r="E512" s="9"/>
      <c r="F512" s="9"/>
      <c r="G512" s="9"/>
      <c r="H512" s="9"/>
      <c r="I512" s="58"/>
      <c r="J512" s="9"/>
      <c r="K512" s="9"/>
      <c r="L512" s="9"/>
      <c r="M512" s="9"/>
      <c r="N512" s="9"/>
      <c r="O512" s="9"/>
      <c r="P512" s="9"/>
      <c r="Q512" s="9"/>
      <c r="R512" s="9"/>
      <c r="S512" s="9"/>
      <c r="T512" s="9"/>
      <c r="U512" s="9"/>
      <c r="V512" s="9"/>
      <c r="W512" s="9"/>
      <c r="X512" s="9"/>
      <c r="Y512" s="9"/>
      <c r="Z512" s="9"/>
      <c r="AA512" s="9"/>
      <c r="AB512" s="9"/>
      <c r="AC512" s="9"/>
      <c r="AD512" s="9"/>
      <c r="AE512" s="9"/>
      <c r="AF512" s="9"/>
    </row>
    <row r="513" spans="1:32" ht="54.95" customHeight="1" x14ac:dyDescent="0.2">
      <c r="A513" s="56"/>
      <c r="B513" s="9"/>
      <c r="C513" s="9"/>
      <c r="D513" s="9"/>
      <c r="E513" s="9"/>
      <c r="F513" s="9"/>
      <c r="G513" s="9"/>
      <c r="H513" s="9"/>
      <c r="I513" s="58"/>
      <c r="J513" s="9"/>
      <c r="K513" s="9"/>
      <c r="L513" s="9"/>
      <c r="M513" s="9"/>
      <c r="N513" s="9"/>
      <c r="O513" s="9"/>
      <c r="P513" s="9"/>
      <c r="Q513" s="9"/>
      <c r="R513" s="9"/>
      <c r="S513" s="9"/>
      <c r="T513" s="9"/>
      <c r="U513" s="9"/>
      <c r="V513" s="9"/>
      <c r="W513" s="9"/>
      <c r="X513" s="9"/>
      <c r="Y513" s="9"/>
      <c r="Z513" s="9"/>
      <c r="AA513" s="9"/>
      <c r="AB513" s="9"/>
      <c r="AC513" s="9"/>
      <c r="AD513" s="9"/>
      <c r="AE513" s="9"/>
      <c r="AF513" s="9"/>
    </row>
    <row r="514" spans="1:32" ht="54.95" customHeight="1" x14ac:dyDescent="0.2">
      <c r="A514" s="56"/>
      <c r="B514" s="9"/>
      <c r="C514" s="9"/>
      <c r="D514" s="9"/>
      <c r="E514" s="9"/>
      <c r="F514" s="9"/>
      <c r="G514" s="9"/>
      <c r="H514" s="9"/>
      <c r="I514" s="58"/>
      <c r="J514" s="9"/>
      <c r="K514" s="9"/>
      <c r="L514" s="9"/>
      <c r="M514" s="9"/>
      <c r="N514" s="9"/>
      <c r="O514" s="9"/>
      <c r="P514" s="9"/>
      <c r="Q514" s="9"/>
      <c r="R514" s="9"/>
      <c r="S514" s="9"/>
      <c r="T514" s="9"/>
      <c r="U514" s="9"/>
      <c r="V514" s="9"/>
      <c r="W514" s="9"/>
      <c r="X514" s="9"/>
      <c r="Y514" s="9"/>
      <c r="Z514" s="9"/>
      <c r="AA514" s="9"/>
      <c r="AB514" s="9"/>
      <c r="AC514" s="9"/>
      <c r="AD514" s="9"/>
      <c r="AE514" s="9"/>
      <c r="AF514" s="9"/>
    </row>
    <row r="515" spans="1:32" ht="54.95" customHeight="1" x14ac:dyDescent="0.2">
      <c r="A515" s="56"/>
      <c r="B515" s="9"/>
      <c r="C515" s="9"/>
      <c r="D515" s="9"/>
      <c r="E515" s="9"/>
      <c r="F515" s="9"/>
      <c r="G515" s="9"/>
      <c r="H515" s="9"/>
      <c r="I515" s="58"/>
      <c r="J515" s="9"/>
      <c r="K515" s="9"/>
      <c r="L515" s="9"/>
      <c r="M515" s="9"/>
      <c r="N515" s="9"/>
      <c r="O515" s="9"/>
      <c r="P515" s="9"/>
      <c r="Q515" s="9"/>
      <c r="R515" s="9"/>
      <c r="S515" s="9"/>
      <c r="T515" s="9"/>
      <c r="U515" s="9"/>
      <c r="V515" s="9"/>
      <c r="W515" s="9"/>
      <c r="X515" s="9"/>
      <c r="Y515" s="9"/>
      <c r="Z515" s="9"/>
      <c r="AA515" s="9"/>
      <c r="AB515" s="9"/>
      <c r="AC515" s="9"/>
      <c r="AD515" s="9"/>
      <c r="AE515" s="9"/>
      <c r="AF515" s="9"/>
    </row>
    <row r="516" spans="1:32" ht="54.95" customHeight="1" x14ac:dyDescent="0.2">
      <c r="A516" s="56"/>
      <c r="B516" s="9"/>
      <c r="C516" s="9"/>
      <c r="D516" s="9"/>
      <c r="E516" s="9"/>
      <c r="F516" s="9"/>
      <c r="G516" s="9"/>
      <c r="H516" s="9"/>
      <c r="I516" s="58"/>
      <c r="J516" s="9"/>
      <c r="K516" s="9"/>
      <c r="L516" s="9"/>
      <c r="M516" s="9"/>
      <c r="N516" s="9"/>
      <c r="O516" s="9"/>
      <c r="P516" s="9"/>
      <c r="Q516" s="9"/>
      <c r="R516" s="9"/>
      <c r="S516" s="9"/>
      <c r="T516" s="9"/>
      <c r="U516" s="9"/>
      <c r="V516" s="9"/>
      <c r="W516" s="9"/>
      <c r="X516" s="9"/>
      <c r="Y516" s="9"/>
      <c r="Z516" s="9"/>
      <c r="AA516" s="9"/>
      <c r="AB516" s="9"/>
      <c r="AC516" s="9"/>
      <c r="AD516" s="9"/>
      <c r="AE516" s="9"/>
      <c r="AF516" s="9"/>
    </row>
    <row r="517" spans="1:32" ht="54.95" customHeight="1" x14ac:dyDescent="0.2">
      <c r="A517" s="56"/>
      <c r="B517" s="9"/>
      <c r="C517" s="9"/>
      <c r="D517" s="9"/>
      <c r="E517" s="9"/>
      <c r="F517" s="9"/>
      <c r="G517" s="9"/>
      <c r="H517" s="9"/>
      <c r="I517" s="58"/>
      <c r="J517" s="9"/>
      <c r="K517" s="9"/>
      <c r="L517" s="9"/>
      <c r="M517" s="9"/>
      <c r="N517" s="9"/>
      <c r="O517" s="9"/>
      <c r="P517" s="9"/>
      <c r="Q517" s="9"/>
      <c r="R517" s="9"/>
      <c r="S517" s="9"/>
      <c r="T517" s="9"/>
      <c r="U517" s="9"/>
      <c r="V517" s="9"/>
      <c r="W517" s="9"/>
      <c r="X517" s="9"/>
      <c r="Y517" s="9"/>
      <c r="Z517" s="9"/>
      <c r="AA517" s="9"/>
      <c r="AB517" s="9"/>
      <c r="AC517" s="9"/>
      <c r="AD517" s="9"/>
      <c r="AE517" s="9"/>
      <c r="AF517" s="9"/>
    </row>
    <row r="518" spans="1:32" ht="54.95" customHeight="1" x14ac:dyDescent="0.2">
      <c r="A518" s="56"/>
      <c r="B518" s="9"/>
      <c r="C518" s="9"/>
      <c r="D518" s="9"/>
      <c r="E518" s="9"/>
      <c r="F518" s="9"/>
      <c r="G518" s="9"/>
      <c r="H518" s="9"/>
      <c r="I518" s="58"/>
      <c r="J518" s="9"/>
      <c r="K518" s="9"/>
      <c r="L518" s="9"/>
      <c r="M518" s="9"/>
      <c r="N518" s="9"/>
      <c r="O518" s="9"/>
      <c r="P518" s="9"/>
      <c r="Q518" s="9"/>
      <c r="R518" s="9"/>
      <c r="S518" s="9"/>
      <c r="T518" s="9"/>
      <c r="U518" s="9"/>
      <c r="V518" s="9"/>
      <c r="W518" s="9"/>
      <c r="X518" s="9"/>
      <c r="Y518" s="9"/>
      <c r="Z518" s="9"/>
      <c r="AA518" s="9"/>
      <c r="AB518" s="9"/>
      <c r="AC518" s="9"/>
      <c r="AD518" s="9"/>
      <c r="AE518" s="9"/>
      <c r="AF518" s="9"/>
    </row>
    <row r="519" spans="1:32" ht="54.95" customHeight="1" x14ac:dyDescent="0.2">
      <c r="A519" s="56"/>
      <c r="B519" s="9"/>
      <c r="C519" s="9"/>
      <c r="D519" s="9"/>
      <c r="E519" s="9"/>
      <c r="F519" s="9"/>
      <c r="G519" s="9"/>
      <c r="H519" s="9"/>
      <c r="I519" s="58"/>
      <c r="J519" s="9"/>
      <c r="K519" s="9"/>
      <c r="L519" s="9"/>
      <c r="M519" s="9"/>
      <c r="N519" s="9"/>
      <c r="O519" s="9"/>
      <c r="P519" s="9"/>
      <c r="Q519" s="9"/>
      <c r="R519" s="9"/>
      <c r="S519" s="9"/>
      <c r="T519" s="9"/>
      <c r="U519" s="9"/>
      <c r="V519" s="9"/>
      <c r="W519" s="9"/>
      <c r="X519" s="9"/>
      <c r="Y519" s="9"/>
      <c r="Z519" s="9"/>
      <c r="AA519" s="9"/>
      <c r="AB519" s="9"/>
      <c r="AC519" s="9"/>
      <c r="AD519" s="9"/>
      <c r="AE519" s="9"/>
      <c r="AF519" s="9"/>
    </row>
    <row r="520" spans="1:32" ht="54.95" customHeight="1" x14ac:dyDescent="0.2">
      <c r="A520" s="56"/>
      <c r="B520" s="9"/>
      <c r="C520" s="9"/>
      <c r="D520" s="9"/>
      <c r="E520" s="9"/>
      <c r="F520" s="9"/>
      <c r="G520" s="9"/>
      <c r="H520" s="9"/>
      <c r="I520" s="58"/>
      <c r="J520" s="9"/>
      <c r="K520" s="9"/>
      <c r="L520" s="9"/>
      <c r="M520" s="9"/>
      <c r="N520" s="9"/>
      <c r="O520" s="9"/>
      <c r="P520" s="9"/>
      <c r="Q520" s="9"/>
      <c r="R520" s="9"/>
      <c r="S520" s="9"/>
      <c r="T520" s="9"/>
      <c r="U520" s="9"/>
      <c r="V520" s="9"/>
      <c r="W520" s="9"/>
      <c r="X520" s="9"/>
      <c r="Y520" s="9"/>
      <c r="Z520" s="9"/>
      <c r="AA520" s="9"/>
      <c r="AB520" s="9"/>
      <c r="AC520" s="9"/>
      <c r="AD520" s="9"/>
      <c r="AE520" s="9"/>
      <c r="AF520" s="9"/>
    </row>
    <row r="521" spans="1:32" ht="54.95" customHeight="1" x14ac:dyDescent="0.2">
      <c r="A521" s="56"/>
      <c r="B521" s="9"/>
      <c r="C521" s="9"/>
      <c r="D521" s="9"/>
      <c r="E521" s="9"/>
      <c r="F521" s="9"/>
      <c r="G521" s="9"/>
      <c r="H521" s="9"/>
      <c r="I521" s="58"/>
      <c r="J521" s="9"/>
      <c r="K521" s="9"/>
      <c r="L521" s="9"/>
      <c r="M521" s="9"/>
      <c r="N521" s="9"/>
      <c r="O521" s="9"/>
      <c r="P521" s="9"/>
      <c r="Q521" s="9"/>
      <c r="R521" s="9"/>
      <c r="S521" s="9"/>
      <c r="T521" s="9"/>
      <c r="U521" s="9"/>
      <c r="V521" s="9"/>
      <c r="W521" s="9"/>
      <c r="X521" s="9"/>
      <c r="Y521" s="9"/>
      <c r="Z521" s="9"/>
      <c r="AA521" s="9"/>
      <c r="AB521" s="9"/>
      <c r="AC521" s="9"/>
      <c r="AD521" s="9"/>
      <c r="AE521" s="9"/>
      <c r="AF521" s="9"/>
    </row>
    <row r="522" spans="1:32" ht="54.95" customHeight="1" x14ac:dyDescent="0.2">
      <c r="A522" s="56"/>
      <c r="B522" s="9"/>
      <c r="C522" s="9"/>
      <c r="D522" s="9"/>
      <c r="E522" s="9"/>
      <c r="F522" s="9"/>
      <c r="G522" s="9"/>
      <c r="H522" s="9"/>
      <c r="I522" s="58"/>
      <c r="J522" s="9"/>
      <c r="K522" s="9"/>
      <c r="L522" s="9"/>
      <c r="M522" s="9"/>
      <c r="N522" s="9"/>
      <c r="O522" s="9"/>
      <c r="P522" s="9"/>
      <c r="Q522" s="9"/>
      <c r="R522" s="9"/>
      <c r="S522" s="9"/>
      <c r="T522" s="9"/>
      <c r="U522" s="9"/>
      <c r="V522" s="9"/>
      <c r="W522" s="9"/>
      <c r="X522" s="9"/>
      <c r="Y522" s="9"/>
      <c r="Z522" s="9"/>
      <c r="AA522" s="9"/>
      <c r="AB522" s="9"/>
      <c r="AC522" s="9"/>
      <c r="AD522" s="9"/>
      <c r="AE522" s="9"/>
      <c r="AF522" s="9"/>
    </row>
    <row r="523" spans="1:32" ht="54.95" customHeight="1" x14ac:dyDescent="0.2">
      <c r="A523" s="56"/>
      <c r="B523" s="9"/>
      <c r="C523" s="9"/>
      <c r="D523" s="9"/>
      <c r="E523" s="9"/>
      <c r="F523" s="9"/>
      <c r="G523" s="9"/>
      <c r="H523" s="9"/>
      <c r="I523" s="58"/>
      <c r="J523" s="9"/>
      <c r="K523" s="9"/>
      <c r="L523" s="9"/>
      <c r="M523" s="9"/>
      <c r="N523" s="9"/>
      <c r="O523" s="9"/>
      <c r="P523" s="9"/>
      <c r="Q523" s="9"/>
      <c r="R523" s="9"/>
      <c r="S523" s="9"/>
      <c r="T523" s="9"/>
      <c r="U523" s="9"/>
      <c r="V523" s="9"/>
      <c r="W523" s="9"/>
      <c r="X523" s="9"/>
      <c r="Y523" s="9"/>
      <c r="Z523" s="9"/>
      <c r="AA523" s="9"/>
      <c r="AB523" s="9"/>
      <c r="AC523" s="9"/>
      <c r="AD523" s="9"/>
      <c r="AE523" s="9"/>
      <c r="AF523" s="9"/>
    </row>
    <row r="524" spans="1:32" ht="54.95" customHeight="1" x14ac:dyDescent="0.2">
      <c r="A524" s="56"/>
      <c r="B524" s="9"/>
      <c r="C524" s="9"/>
      <c r="D524" s="9"/>
      <c r="E524" s="9"/>
      <c r="F524" s="9"/>
      <c r="G524" s="9"/>
      <c r="H524" s="9"/>
      <c r="I524" s="58"/>
      <c r="J524" s="9"/>
      <c r="K524" s="9"/>
      <c r="L524" s="9"/>
      <c r="M524" s="9"/>
      <c r="N524" s="9"/>
      <c r="O524" s="9"/>
      <c r="P524" s="9"/>
      <c r="Q524" s="9"/>
      <c r="R524" s="9"/>
      <c r="S524" s="9"/>
      <c r="T524" s="9"/>
      <c r="U524" s="9"/>
      <c r="V524" s="9"/>
      <c r="W524" s="9"/>
      <c r="X524" s="9"/>
      <c r="Y524" s="9"/>
      <c r="Z524" s="9"/>
      <c r="AA524" s="9"/>
      <c r="AB524" s="9"/>
      <c r="AC524" s="9"/>
      <c r="AD524" s="9"/>
      <c r="AE524" s="9"/>
      <c r="AF524" s="9"/>
    </row>
    <row r="525" spans="1:32" ht="54.95" customHeight="1" x14ac:dyDescent="0.2">
      <c r="A525" s="56"/>
      <c r="B525" s="9"/>
      <c r="C525" s="9"/>
      <c r="D525" s="9"/>
      <c r="E525" s="9"/>
      <c r="F525" s="9"/>
      <c r="G525" s="9"/>
      <c r="H525" s="9"/>
      <c r="I525" s="58"/>
      <c r="J525" s="9"/>
      <c r="K525" s="9"/>
      <c r="L525" s="9"/>
      <c r="M525" s="9"/>
      <c r="N525" s="9"/>
      <c r="O525" s="9"/>
      <c r="P525" s="9"/>
      <c r="Q525" s="9"/>
      <c r="R525" s="9"/>
      <c r="S525" s="9"/>
      <c r="T525" s="9"/>
      <c r="U525" s="9"/>
      <c r="V525" s="9"/>
      <c r="W525" s="9"/>
      <c r="X525" s="9"/>
      <c r="Y525" s="9"/>
      <c r="Z525" s="9"/>
      <c r="AA525" s="9"/>
      <c r="AB525" s="9"/>
      <c r="AC525" s="9"/>
      <c r="AD525" s="9"/>
      <c r="AE525" s="9"/>
      <c r="AF525" s="9"/>
    </row>
    <row r="526" spans="1:32" ht="54.95" customHeight="1" x14ac:dyDescent="0.2">
      <c r="A526" s="56"/>
      <c r="B526" s="9"/>
      <c r="C526" s="9"/>
      <c r="D526" s="9"/>
      <c r="E526" s="9"/>
      <c r="F526" s="9"/>
      <c r="G526" s="9"/>
      <c r="H526" s="9"/>
      <c r="I526" s="58"/>
      <c r="J526" s="9"/>
      <c r="K526" s="9"/>
      <c r="L526" s="9"/>
      <c r="M526" s="9"/>
      <c r="N526" s="9"/>
      <c r="O526" s="9"/>
      <c r="P526" s="9"/>
      <c r="Q526" s="9"/>
      <c r="R526" s="9"/>
      <c r="S526" s="9"/>
      <c r="T526" s="9"/>
      <c r="U526" s="9"/>
      <c r="V526" s="9"/>
      <c r="W526" s="9"/>
      <c r="X526" s="9"/>
      <c r="Y526" s="9"/>
      <c r="Z526" s="9"/>
      <c r="AA526" s="9"/>
      <c r="AB526" s="9"/>
      <c r="AC526" s="9"/>
      <c r="AD526" s="9"/>
      <c r="AE526" s="9"/>
      <c r="AF526" s="9"/>
    </row>
    <row r="527" spans="1:32" ht="54.95" customHeight="1" x14ac:dyDescent="0.2">
      <c r="A527" s="56"/>
      <c r="B527" s="9"/>
      <c r="C527" s="9"/>
      <c r="D527" s="9"/>
      <c r="E527" s="9"/>
      <c r="F527" s="9"/>
      <c r="G527" s="9"/>
      <c r="H527" s="9"/>
      <c r="I527" s="58"/>
      <c r="J527" s="9"/>
      <c r="K527" s="9"/>
      <c r="L527" s="9"/>
      <c r="M527" s="9"/>
      <c r="N527" s="9"/>
      <c r="O527" s="9"/>
      <c r="P527" s="9"/>
      <c r="Q527" s="9"/>
      <c r="R527" s="9"/>
      <c r="S527" s="9"/>
      <c r="T527" s="9"/>
      <c r="U527" s="9"/>
      <c r="V527" s="9"/>
      <c r="W527" s="9"/>
      <c r="X527" s="9"/>
      <c r="Y527" s="9"/>
      <c r="Z527" s="9"/>
      <c r="AA527" s="9"/>
      <c r="AB527" s="9"/>
      <c r="AC527" s="9"/>
      <c r="AD527" s="9"/>
      <c r="AE527" s="9"/>
      <c r="AF527" s="9"/>
    </row>
    <row r="528" spans="1:32" ht="54.95" customHeight="1" x14ac:dyDescent="0.2">
      <c r="A528" s="56"/>
      <c r="B528" s="9"/>
      <c r="C528" s="9"/>
      <c r="D528" s="9"/>
      <c r="E528" s="9"/>
      <c r="F528" s="9"/>
      <c r="G528" s="9"/>
      <c r="H528" s="9"/>
      <c r="I528" s="58"/>
      <c r="J528" s="9"/>
      <c r="K528" s="9"/>
      <c r="L528" s="9"/>
      <c r="M528" s="9"/>
      <c r="N528" s="9"/>
      <c r="O528" s="9"/>
      <c r="P528" s="9"/>
      <c r="Q528" s="9"/>
      <c r="R528" s="9"/>
      <c r="S528" s="9"/>
      <c r="T528" s="9"/>
      <c r="U528" s="9"/>
      <c r="V528" s="9"/>
      <c r="W528" s="9"/>
      <c r="X528" s="9"/>
      <c r="Y528" s="9"/>
      <c r="Z528" s="9"/>
      <c r="AA528" s="9"/>
      <c r="AB528" s="9"/>
      <c r="AC528" s="9"/>
      <c r="AD528" s="9"/>
      <c r="AE528" s="9"/>
      <c r="AF528" s="9"/>
    </row>
    <row r="529" spans="1:32" ht="54.95" customHeight="1" x14ac:dyDescent="0.2">
      <c r="A529" s="56"/>
      <c r="B529" s="9"/>
      <c r="C529" s="9"/>
      <c r="D529" s="9"/>
      <c r="E529" s="9"/>
      <c r="F529" s="9"/>
      <c r="G529" s="9"/>
      <c r="H529" s="9"/>
      <c r="I529" s="58"/>
      <c r="J529" s="9"/>
      <c r="K529" s="9"/>
      <c r="L529" s="9"/>
      <c r="M529" s="9"/>
      <c r="N529" s="9"/>
      <c r="O529" s="9"/>
      <c r="P529" s="9"/>
      <c r="Q529" s="9"/>
      <c r="R529" s="9"/>
      <c r="S529" s="9"/>
      <c r="T529" s="9"/>
      <c r="U529" s="9"/>
      <c r="V529" s="9"/>
      <c r="W529" s="9"/>
      <c r="X529" s="9"/>
      <c r="Y529" s="9"/>
      <c r="Z529" s="9"/>
      <c r="AA529" s="9"/>
      <c r="AB529" s="9"/>
      <c r="AC529" s="9"/>
      <c r="AD529" s="9"/>
      <c r="AE529" s="9"/>
      <c r="AF529" s="9"/>
    </row>
    <row r="530" spans="1:32" ht="54.95" customHeight="1" x14ac:dyDescent="0.2">
      <c r="A530" s="56"/>
      <c r="B530" s="9"/>
      <c r="C530" s="9"/>
      <c r="D530" s="9"/>
      <c r="E530" s="9"/>
      <c r="F530" s="9"/>
      <c r="G530" s="9"/>
      <c r="H530" s="9"/>
      <c r="I530" s="58"/>
      <c r="J530" s="9"/>
      <c r="K530" s="9"/>
      <c r="L530" s="9"/>
      <c r="M530" s="9"/>
      <c r="N530" s="9"/>
      <c r="O530" s="9"/>
      <c r="P530" s="9"/>
      <c r="Q530" s="9"/>
      <c r="R530" s="9"/>
      <c r="S530" s="9"/>
      <c r="T530" s="9"/>
      <c r="U530" s="9"/>
      <c r="V530" s="9"/>
      <c r="W530" s="9"/>
      <c r="X530" s="9"/>
      <c r="Y530" s="9"/>
      <c r="Z530" s="9"/>
      <c r="AA530" s="9"/>
      <c r="AB530" s="9"/>
      <c r="AC530" s="9"/>
      <c r="AD530" s="9"/>
      <c r="AE530" s="9"/>
      <c r="AF530" s="9"/>
    </row>
    <row r="531" spans="1:32" ht="54.95" customHeight="1" x14ac:dyDescent="0.2">
      <c r="A531" s="56"/>
      <c r="B531" s="9"/>
      <c r="C531" s="9"/>
      <c r="D531" s="9"/>
      <c r="E531" s="9"/>
      <c r="F531" s="9"/>
      <c r="G531" s="9"/>
      <c r="H531" s="9"/>
      <c r="I531" s="58"/>
      <c r="J531" s="9"/>
      <c r="K531" s="9"/>
      <c r="L531" s="9"/>
      <c r="M531" s="9"/>
      <c r="N531" s="9"/>
      <c r="O531" s="9"/>
      <c r="P531" s="9"/>
      <c r="Q531" s="9"/>
      <c r="R531" s="9"/>
      <c r="S531" s="9"/>
      <c r="T531" s="9"/>
      <c r="U531" s="9"/>
      <c r="V531" s="9"/>
      <c r="W531" s="9"/>
      <c r="X531" s="9"/>
      <c r="Y531" s="9"/>
      <c r="Z531" s="9"/>
      <c r="AA531" s="9"/>
      <c r="AB531" s="9"/>
      <c r="AC531" s="9"/>
      <c r="AD531" s="9"/>
      <c r="AE531" s="9"/>
      <c r="AF531" s="9"/>
    </row>
    <row r="532" spans="1:32" ht="54.95" customHeight="1" x14ac:dyDescent="0.2">
      <c r="A532" s="56"/>
      <c r="B532" s="9"/>
      <c r="C532" s="9"/>
      <c r="D532" s="9"/>
      <c r="E532" s="9"/>
      <c r="F532" s="9"/>
      <c r="G532" s="9"/>
      <c r="H532" s="9"/>
      <c r="I532" s="58"/>
      <c r="J532" s="9"/>
      <c r="K532" s="9"/>
      <c r="L532" s="9"/>
      <c r="M532" s="9"/>
      <c r="N532" s="9"/>
      <c r="O532" s="9"/>
      <c r="P532" s="9"/>
      <c r="Q532" s="9"/>
      <c r="R532" s="9"/>
      <c r="S532" s="9"/>
      <c r="T532" s="9"/>
      <c r="U532" s="9"/>
      <c r="V532" s="9"/>
      <c r="W532" s="9"/>
      <c r="X532" s="9"/>
      <c r="Y532" s="9"/>
      <c r="Z532" s="9"/>
      <c r="AA532" s="9"/>
      <c r="AB532" s="9"/>
      <c r="AC532" s="9"/>
      <c r="AD532" s="9"/>
      <c r="AE532" s="9"/>
      <c r="AF532" s="9"/>
    </row>
    <row r="533" spans="1:32" ht="54.95" customHeight="1" x14ac:dyDescent="0.2">
      <c r="A533" s="56"/>
      <c r="B533" s="9"/>
      <c r="C533" s="9"/>
      <c r="D533" s="9"/>
      <c r="E533" s="9"/>
      <c r="F533" s="9"/>
      <c r="G533" s="9"/>
      <c r="H533" s="9"/>
      <c r="I533" s="58"/>
      <c r="J533" s="9"/>
      <c r="K533" s="9"/>
      <c r="L533" s="9"/>
      <c r="M533" s="9"/>
      <c r="N533" s="9"/>
      <c r="O533" s="9"/>
      <c r="P533" s="9"/>
      <c r="Q533" s="9"/>
      <c r="R533" s="9"/>
      <c r="S533" s="9"/>
      <c r="T533" s="9"/>
      <c r="U533" s="9"/>
      <c r="V533" s="9"/>
      <c r="W533" s="9"/>
      <c r="X533" s="9"/>
      <c r="Y533" s="9"/>
      <c r="Z533" s="9"/>
      <c r="AA533" s="9"/>
      <c r="AB533" s="9"/>
      <c r="AC533" s="9"/>
      <c r="AD533" s="9"/>
      <c r="AE533" s="9"/>
      <c r="AF533" s="9"/>
    </row>
    <row r="534" spans="1:32" ht="54.95" customHeight="1" x14ac:dyDescent="0.2">
      <c r="A534" s="56"/>
      <c r="B534" s="9"/>
      <c r="C534" s="9"/>
      <c r="D534" s="9"/>
      <c r="E534" s="9"/>
      <c r="F534" s="9"/>
      <c r="G534" s="9"/>
      <c r="H534" s="9"/>
      <c r="I534" s="58"/>
      <c r="J534" s="9"/>
      <c r="K534" s="9"/>
      <c r="L534" s="9"/>
      <c r="M534" s="9"/>
      <c r="N534" s="9"/>
      <c r="O534" s="9"/>
      <c r="P534" s="9"/>
      <c r="Q534" s="9"/>
      <c r="R534" s="9"/>
      <c r="S534" s="9"/>
      <c r="T534" s="9"/>
      <c r="U534" s="9"/>
      <c r="V534" s="9"/>
      <c r="W534" s="9"/>
      <c r="X534" s="9"/>
      <c r="Y534" s="9"/>
      <c r="Z534" s="9"/>
      <c r="AA534" s="9"/>
      <c r="AB534" s="9"/>
      <c r="AC534" s="9"/>
      <c r="AD534" s="9"/>
      <c r="AE534" s="9"/>
      <c r="AF534" s="9"/>
    </row>
    <row r="535" spans="1:32" ht="54.95" customHeight="1" x14ac:dyDescent="0.2">
      <c r="A535" s="56"/>
      <c r="B535" s="9"/>
      <c r="C535" s="9"/>
      <c r="D535" s="9"/>
      <c r="E535" s="9"/>
      <c r="F535" s="9"/>
      <c r="G535" s="9"/>
      <c r="H535" s="9"/>
      <c r="I535" s="58"/>
      <c r="J535" s="9"/>
      <c r="K535" s="9"/>
      <c r="L535" s="9"/>
      <c r="M535" s="9"/>
      <c r="N535" s="9"/>
      <c r="O535" s="9"/>
      <c r="P535" s="9"/>
      <c r="Q535" s="9"/>
      <c r="R535" s="9"/>
      <c r="S535" s="9"/>
      <c r="T535" s="9"/>
      <c r="U535" s="9"/>
      <c r="V535" s="9"/>
      <c r="W535" s="9"/>
      <c r="X535" s="9"/>
      <c r="Y535" s="9"/>
      <c r="Z535" s="9"/>
      <c r="AA535" s="9"/>
      <c r="AB535" s="9"/>
      <c r="AC535" s="9"/>
      <c r="AD535" s="9"/>
      <c r="AE535" s="9"/>
      <c r="AF535" s="9"/>
    </row>
    <row r="536" spans="1:32" ht="54.95" customHeight="1" x14ac:dyDescent="0.2">
      <c r="A536" s="56"/>
      <c r="B536" s="9"/>
      <c r="C536" s="9"/>
      <c r="D536" s="9"/>
      <c r="E536" s="9"/>
      <c r="F536" s="9"/>
      <c r="G536" s="9"/>
      <c r="H536" s="9"/>
      <c r="I536" s="58"/>
      <c r="J536" s="9"/>
      <c r="K536" s="9"/>
      <c r="L536" s="9"/>
      <c r="M536" s="9"/>
      <c r="N536" s="9"/>
      <c r="O536" s="9"/>
      <c r="P536" s="9"/>
      <c r="Q536" s="9"/>
      <c r="R536" s="9"/>
      <c r="S536" s="9"/>
      <c r="T536" s="9"/>
      <c r="U536" s="9"/>
      <c r="V536" s="9"/>
      <c r="W536" s="9"/>
      <c r="X536" s="9"/>
      <c r="Y536" s="9"/>
      <c r="Z536" s="9"/>
      <c r="AA536" s="9"/>
      <c r="AB536" s="9"/>
      <c r="AC536" s="9"/>
      <c r="AD536" s="9"/>
      <c r="AE536" s="9"/>
      <c r="AF536" s="9"/>
    </row>
    <row r="537" spans="1:32" ht="54.95" customHeight="1" x14ac:dyDescent="0.2">
      <c r="A537" s="56"/>
      <c r="B537" s="9"/>
      <c r="C537" s="9"/>
      <c r="D537" s="9"/>
      <c r="E537" s="9"/>
      <c r="F537" s="9"/>
      <c r="G537" s="9"/>
      <c r="H537" s="9"/>
      <c r="I537" s="58"/>
      <c r="J537" s="9"/>
      <c r="K537" s="9"/>
      <c r="L537" s="9"/>
      <c r="M537" s="9"/>
      <c r="N537" s="9"/>
      <c r="O537" s="9"/>
      <c r="P537" s="9"/>
      <c r="Q537" s="9"/>
      <c r="R537" s="9"/>
      <c r="S537" s="9"/>
      <c r="T537" s="9"/>
      <c r="U537" s="9"/>
      <c r="V537" s="9"/>
      <c r="W537" s="9"/>
      <c r="X537" s="9"/>
      <c r="Y537" s="9"/>
      <c r="Z537" s="9"/>
      <c r="AA537" s="9"/>
      <c r="AB537" s="9"/>
      <c r="AC537" s="9"/>
      <c r="AD537" s="9"/>
      <c r="AE537" s="9"/>
      <c r="AF537" s="9"/>
    </row>
    <row r="538" spans="1:32" ht="54.95" customHeight="1" x14ac:dyDescent="0.2">
      <c r="A538" s="56"/>
      <c r="B538" s="9"/>
      <c r="C538" s="9"/>
      <c r="D538" s="9"/>
      <c r="E538" s="9"/>
      <c r="F538" s="9"/>
      <c r="G538" s="9"/>
      <c r="H538" s="9"/>
      <c r="I538" s="58"/>
      <c r="J538" s="9"/>
      <c r="K538" s="9"/>
      <c r="L538" s="9"/>
      <c r="M538" s="9"/>
      <c r="N538" s="9"/>
      <c r="O538" s="9"/>
      <c r="P538" s="9"/>
      <c r="Q538" s="9"/>
      <c r="R538" s="9"/>
      <c r="S538" s="9"/>
      <c r="T538" s="9"/>
      <c r="U538" s="9"/>
      <c r="V538" s="9"/>
      <c r="W538" s="9"/>
      <c r="X538" s="9"/>
      <c r="Y538" s="9"/>
      <c r="Z538" s="9"/>
      <c r="AA538" s="9"/>
      <c r="AB538" s="9"/>
      <c r="AC538" s="9"/>
      <c r="AD538" s="9"/>
      <c r="AE538" s="9"/>
      <c r="AF538" s="9"/>
    </row>
    <row r="539" spans="1:32" ht="54.95" customHeight="1" x14ac:dyDescent="0.2">
      <c r="A539" s="56"/>
      <c r="B539" s="9"/>
      <c r="C539" s="9"/>
      <c r="D539" s="9"/>
      <c r="E539" s="9"/>
      <c r="F539" s="9"/>
      <c r="G539" s="9"/>
      <c r="H539" s="9"/>
      <c r="I539" s="58"/>
      <c r="J539" s="9"/>
      <c r="K539" s="9"/>
      <c r="L539" s="9"/>
      <c r="M539" s="9"/>
      <c r="N539" s="9"/>
      <c r="O539" s="9"/>
      <c r="P539" s="9"/>
      <c r="Q539" s="9"/>
      <c r="R539" s="9"/>
      <c r="S539" s="9"/>
      <c r="T539" s="9"/>
      <c r="U539" s="9"/>
      <c r="V539" s="9"/>
      <c r="W539" s="9"/>
      <c r="X539" s="9"/>
      <c r="Y539" s="9"/>
      <c r="Z539" s="9"/>
      <c r="AA539" s="9"/>
      <c r="AB539" s="9"/>
      <c r="AC539" s="9"/>
      <c r="AD539" s="9"/>
      <c r="AE539" s="9"/>
      <c r="AF539" s="9"/>
    </row>
    <row r="540" spans="1:32" ht="54.95" customHeight="1" x14ac:dyDescent="0.2">
      <c r="A540" s="56"/>
      <c r="B540" s="9"/>
      <c r="C540" s="9"/>
      <c r="D540" s="9"/>
      <c r="E540" s="9"/>
      <c r="F540" s="9"/>
      <c r="G540" s="9"/>
      <c r="H540" s="9"/>
      <c r="I540" s="58"/>
      <c r="J540" s="9"/>
      <c r="K540" s="9"/>
      <c r="L540" s="9"/>
      <c r="M540" s="9"/>
      <c r="N540" s="9"/>
      <c r="O540" s="9"/>
      <c r="P540" s="9"/>
      <c r="Q540" s="9"/>
      <c r="R540" s="9"/>
      <c r="S540" s="9"/>
      <c r="T540" s="9"/>
      <c r="U540" s="9"/>
      <c r="V540" s="9"/>
      <c r="W540" s="9"/>
      <c r="X540" s="9"/>
      <c r="Y540" s="9"/>
      <c r="Z540" s="9"/>
      <c r="AA540" s="9"/>
      <c r="AB540" s="9"/>
      <c r="AC540" s="9"/>
      <c r="AD540" s="9"/>
      <c r="AE540" s="9"/>
      <c r="AF540" s="9"/>
    </row>
    <row r="541" spans="1:32" ht="54.95" customHeight="1" x14ac:dyDescent="0.2">
      <c r="A541" s="56"/>
      <c r="B541" s="9"/>
      <c r="C541" s="9"/>
      <c r="D541" s="9"/>
      <c r="E541" s="9"/>
      <c r="F541" s="9"/>
      <c r="G541" s="9"/>
      <c r="H541" s="9"/>
      <c r="I541" s="58"/>
      <c r="J541" s="9"/>
      <c r="K541" s="9"/>
      <c r="L541" s="9"/>
      <c r="M541" s="9"/>
      <c r="N541" s="9"/>
      <c r="O541" s="9"/>
      <c r="P541" s="9"/>
      <c r="Q541" s="9"/>
      <c r="R541" s="9"/>
      <c r="S541" s="9"/>
      <c r="T541" s="9"/>
      <c r="U541" s="9"/>
      <c r="V541" s="9"/>
      <c r="W541" s="9"/>
      <c r="X541" s="9"/>
      <c r="Y541" s="9"/>
      <c r="Z541" s="9"/>
      <c r="AA541" s="9"/>
      <c r="AB541" s="9"/>
      <c r="AC541" s="9"/>
      <c r="AD541" s="9"/>
      <c r="AE541" s="9"/>
      <c r="AF541" s="9"/>
    </row>
    <row r="542" spans="1:32" ht="54.95" customHeight="1" x14ac:dyDescent="0.2">
      <c r="A542" s="56"/>
      <c r="B542" s="9"/>
      <c r="C542" s="9"/>
      <c r="D542" s="9"/>
      <c r="E542" s="9"/>
      <c r="F542" s="9"/>
      <c r="G542" s="9"/>
      <c r="H542" s="9"/>
      <c r="I542" s="58"/>
      <c r="J542" s="9"/>
      <c r="K542" s="9"/>
      <c r="L542" s="9"/>
      <c r="M542" s="9"/>
      <c r="N542" s="9"/>
      <c r="O542" s="9"/>
      <c r="P542" s="9"/>
      <c r="Q542" s="9"/>
      <c r="R542" s="9"/>
      <c r="S542" s="9"/>
      <c r="T542" s="9"/>
      <c r="U542" s="9"/>
      <c r="V542" s="9"/>
      <c r="W542" s="9"/>
      <c r="X542" s="9"/>
      <c r="Y542" s="9"/>
      <c r="Z542" s="9"/>
      <c r="AA542" s="9"/>
      <c r="AB542" s="9"/>
      <c r="AC542" s="9"/>
      <c r="AD542" s="9"/>
      <c r="AE542" s="9"/>
      <c r="AF542" s="9"/>
    </row>
    <row r="543" spans="1:32" ht="54.95" customHeight="1" x14ac:dyDescent="0.2">
      <c r="A543" s="56"/>
      <c r="B543" s="9"/>
      <c r="C543" s="9"/>
      <c r="D543" s="9"/>
      <c r="E543" s="9"/>
      <c r="F543" s="9"/>
      <c r="G543" s="9"/>
      <c r="H543" s="9"/>
      <c r="I543" s="58"/>
      <c r="J543" s="9"/>
      <c r="K543" s="9"/>
      <c r="L543" s="9"/>
      <c r="M543" s="9"/>
      <c r="N543" s="9"/>
      <c r="O543" s="9"/>
      <c r="P543" s="9"/>
      <c r="Q543" s="9"/>
      <c r="R543" s="9"/>
      <c r="S543" s="9"/>
      <c r="T543" s="9"/>
      <c r="U543" s="9"/>
      <c r="V543" s="9"/>
      <c r="W543" s="9"/>
      <c r="X543" s="9"/>
      <c r="Y543" s="9"/>
      <c r="Z543" s="9"/>
      <c r="AA543" s="9"/>
      <c r="AB543" s="9"/>
      <c r="AC543" s="9"/>
      <c r="AD543" s="9"/>
      <c r="AE543" s="9"/>
      <c r="AF543" s="9"/>
    </row>
    <row r="544" spans="1:32" ht="54.95" customHeight="1" x14ac:dyDescent="0.2">
      <c r="A544" s="56"/>
      <c r="B544" s="9"/>
      <c r="C544" s="9"/>
      <c r="D544" s="9"/>
      <c r="E544" s="9"/>
      <c r="F544" s="9"/>
      <c r="G544" s="9"/>
      <c r="H544" s="9"/>
      <c r="I544" s="58"/>
      <c r="J544" s="9"/>
      <c r="K544" s="9"/>
      <c r="L544" s="9"/>
      <c r="M544" s="9"/>
      <c r="N544" s="9"/>
      <c r="O544" s="9"/>
      <c r="P544" s="9"/>
      <c r="Q544" s="9"/>
      <c r="R544" s="9"/>
      <c r="S544" s="9"/>
      <c r="T544" s="9"/>
      <c r="U544" s="9"/>
      <c r="V544" s="9"/>
      <c r="W544" s="9"/>
      <c r="X544" s="9"/>
      <c r="Y544" s="9"/>
      <c r="Z544" s="9"/>
      <c r="AA544" s="9"/>
      <c r="AB544" s="9"/>
      <c r="AC544" s="9"/>
      <c r="AD544" s="9"/>
      <c r="AE544" s="9"/>
      <c r="AF544" s="9"/>
    </row>
    <row r="545" spans="1:32" ht="54.95" customHeight="1" x14ac:dyDescent="0.2">
      <c r="A545" s="56"/>
      <c r="B545" s="9"/>
      <c r="C545" s="9"/>
      <c r="D545" s="9"/>
      <c r="E545" s="9"/>
      <c r="F545" s="9"/>
      <c r="G545" s="9"/>
      <c r="H545" s="9"/>
      <c r="I545" s="58"/>
      <c r="J545" s="9"/>
      <c r="K545" s="9"/>
      <c r="L545" s="9"/>
      <c r="M545" s="9"/>
      <c r="N545" s="9"/>
      <c r="O545" s="9"/>
      <c r="P545" s="9"/>
      <c r="Q545" s="9"/>
      <c r="R545" s="9"/>
      <c r="S545" s="9"/>
      <c r="T545" s="9"/>
      <c r="U545" s="9"/>
      <c r="V545" s="9"/>
      <c r="W545" s="9"/>
      <c r="X545" s="9"/>
      <c r="Y545" s="9"/>
      <c r="Z545" s="9"/>
      <c r="AA545" s="9"/>
      <c r="AB545" s="9"/>
      <c r="AC545" s="9"/>
      <c r="AD545" s="9"/>
      <c r="AE545" s="9"/>
      <c r="AF545" s="9"/>
    </row>
    <row r="546" spans="1:32" ht="54.95" customHeight="1" x14ac:dyDescent="0.2">
      <c r="A546" s="56"/>
      <c r="B546" s="9"/>
      <c r="C546" s="9"/>
      <c r="D546" s="9"/>
      <c r="E546" s="9"/>
      <c r="F546" s="9"/>
      <c r="G546" s="9"/>
      <c r="H546" s="9"/>
      <c r="I546" s="58"/>
      <c r="J546" s="9"/>
      <c r="K546" s="9"/>
      <c r="L546" s="9"/>
      <c r="M546" s="9"/>
      <c r="N546" s="9"/>
      <c r="O546" s="9"/>
      <c r="P546" s="9"/>
      <c r="Q546" s="9"/>
      <c r="R546" s="9"/>
      <c r="S546" s="9"/>
      <c r="T546" s="9"/>
      <c r="U546" s="9"/>
      <c r="V546" s="9"/>
      <c r="W546" s="9"/>
      <c r="X546" s="9"/>
      <c r="Y546" s="9"/>
      <c r="Z546" s="9"/>
      <c r="AA546" s="9"/>
      <c r="AB546" s="9"/>
      <c r="AC546" s="9"/>
      <c r="AD546" s="9"/>
      <c r="AE546" s="9"/>
      <c r="AF546" s="9"/>
    </row>
    <row r="547" spans="1:32" ht="54.95" customHeight="1" x14ac:dyDescent="0.2">
      <c r="A547" s="56"/>
      <c r="B547" s="9"/>
      <c r="C547" s="9"/>
      <c r="D547" s="9"/>
      <c r="E547" s="9"/>
      <c r="F547" s="9"/>
      <c r="G547" s="9"/>
      <c r="H547" s="9"/>
      <c r="I547" s="58"/>
      <c r="J547" s="9"/>
      <c r="K547" s="9"/>
      <c r="L547" s="9"/>
      <c r="M547" s="9"/>
      <c r="N547" s="9"/>
      <c r="O547" s="9"/>
      <c r="P547" s="9"/>
      <c r="Q547" s="9"/>
      <c r="R547" s="9"/>
      <c r="S547" s="9"/>
      <c r="T547" s="9"/>
      <c r="U547" s="9"/>
      <c r="V547" s="9"/>
      <c r="W547" s="9"/>
      <c r="X547" s="9"/>
      <c r="Y547" s="9"/>
      <c r="Z547" s="9"/>
      <c r="AA547" s="9"/>
      <c r="AB547" s="9"/>
      <c r="AC547" s="9"/>
      <c r="AD547" s="9"/>
      <c r="AE547" s="9"/>
      <c r="AF547" s="9"/>
    </row>
    <row r="548" spans="1:32" ht="54.95" customHeight="1" x14ac:dyDescent="0.2">
      <c r="A548" s="56"/>
      <c r="B548" s="9"/>
      <c r="C548" s="9"/>
      <c r="D548" s="9"/>
      <c r="E548" s="9"/>
      <c r="F548" s="9"/>
      <c r="G548" s="9"/>
      <c r="H548" s="9"/>
      <c r="I548" s="58"/>
      <c r="J548" s="9"/>
      <c r="K548" s="9"/>
      <c r="L548" s="9"/>
      <c r="M548" s="9"/>
      <c r="N548" s="9"/>
      <c r="O548" s="9"/>
      <c r="P548" s="9"/>
      <c r="Q548" s="9"/>
      <c r="R548" s="9"/>
      <c r="S548" s="9"/>
      <c r="T548" s="9"/>
      <c r="U548" s="9"/>
      <c r="V548" s="9"/>
      <c r="W548" s="9"/>
      <c r="X548" s="9"/>
      <c r="Y548" s="9"/>
      <c r="Z548" s="9"/>
      <c r="AA548" s="9"/>
      <c r="AB548" s="9"/>
      <c r="AC548" s="9"/>
      <c r="AD548" s="9"/>
      <c r="AE548" s="9"/>
      <c r="AF548" s="9"/>
    </row>
    <row r="549" spans="1:32" ht="54.95" customHeight="1" x14ac:dyDescent="0.2">
      <c r="A549" s="56"/>
      <c r="B549" s="9"/>
      <c r="C549" s="9"/>
      <c r="D549" s="9"/>
      <c r="E549" s="9"/>
      <c r="F549" s="9"/>
      <c r="G549" s="9"/>
      <c r="H549" s="9"/>
      <c r="I549" s="58"/>
      <c r="J549" s="9"/>
      <c r="K549" s="9"/>
      <c r="L549" s="9"/>
      <c r="M549" s="9"/>
      <c r="N549" s="9"/>
      <c r="O549" s="9"/>
      <c r="P549" s="9"/>
      <c r="Q549" s="9"/>
      <c r="R549" s="9"/>
      <c r="S549" s="9"/>
      <c r="T549" s="9"/>
      <c r="U549" s="9"/>
      <c r="V549" s="9"/>
      <c r="W549" s="9"/>
      <c r="X549" s="9"/>
      <c r="Y549" s="9"/>
      <c r="Z549" s="9"/>
      <c r="AA549" s="9"/>
      <c r="AB549" s="9"/>
      <c r="AC549" s="9"/>
      <c r="AD549" s="9"/>
      <c r="AE549" s="9"/>
      <c r="AF549" s="9"/>
    </row>
    <row r="550" spans="1:32" ht="54.95" customHeight="1" x14ac:dyDescent="0.2">
      <c r="A550" s="56"/>
      <c r="B550" s="9"/>
      <c r="C550" s="9"/>
      <c r="D550" s="9"/>
      <c r="E550" s="9"/>
      <c r="F550" s="9"/>
      <c r="G550" s="9"/>
      <c r="H550" s="9"/>
      <c r="I550" s="58"/>
      <c r="J550" s="9"/>
      <c r="K550" s="9"/>
      <c r="L550" s="9"/>
      <c r="M550" s="9"/>
      <c r="N550" s="9"/>
      <c r="O550" s="9"/>
      <c r="P550" s="9"/>
      <c r="Q550" s="9"/>
      <c r="R550" s="9"/>
      <c r="S550" s="9"/>
      <c r="T550" s="9"/>
      <c r="U550" s="9"/>
      <c r="V550" s="9"/>
      <c r="W550" s="9"/>
      <c r="X550" s="9"/>
      <c r="Y550" s="9"/>
      <c r="Z550" s="9"/>
      <c r="AA550" s="9"/>
      <c r="AB550" s="9"/>
      <c r="AC550" s="9"/>
      <c r="AD550" s="9"/>
      <c r="AE550" s="9"/>
      <c r="AF550" s="9"/>
    </row>
    <row r="551" spans="1:32" ht="54.95" customHeight="1" x14ac:dyDescent="0.2">
      <c r="A551" s="56"/>
      <c r="B551" s="9"/>
      <c r="C551" s="9"/>
      <c r="D551" s="9"/>
      <c r="E551" s="9"/>
      <c r="F551" s="9"/>
      <c r="G551" s="9"/>
      <c r="H551" s="9"/>
      <c r="I551" s="58"/>
      <c r="J551" s="9"/>
      <c r="K551" s="9"/>
      <c r="L551" s="9"/>
      <c r="M551" s="9"/>
      <c r="N551" s="9"/>
      <c r="O551" s="9"/>
      <c r="P551" s="9"/>
      <c r="Q551" s="9"/>
      <c r="R551" s="9"/>
      <c r="S551" s="9"/>
      <c r="T551" s="9"/>
      <c r="U551" s="9"/>
      <c r="V551" s="9"/>
      <c r="W551" s="9"/>
      <c r="X551" s="9"/>
      <c r="Y551" s="9"/>
      <c r="Z551" s="9"/>
      <c r="AA551" s="9"/>
      <c r="AB551" s="9"/>
      <c r="AC551" s="9"/>
      <c r="AD551" s="9"/>
      <c r="AE551" s="9"/>
      <c r="AF551" s="9"/>
    </row>
    <row r="552" spans="1:32" ht="54.95" customHeight="1" x14ac:dyDescent="0.2">
      <c r="A552" s="56"/>
      <c r="B552" s="9"/>
      <c r="C552" s="9"/>
      <c r="D552" s="9"/>
      <c r="E552" s="9"/>
      <c r="F552" s="9"/>
      <c r="G552" s="9"/>
      <c r="H552" s="9"/>
      <c r="I552" s="58"/>
      <c r="J552" s="9"/>
      <c r="K552" s="9"/>
      <c r="L552" s="9"/>
      <c r="M552" s="9"/>
      <c r="N552" s="9"/>
      <c r="O552" s="9"/>
      <c r="P552" s="9"/>
      <c r="Q552" s="9"/>
      <c r="R552" s="9"/>
      <c r="S552" s="9"/>
      <c r="T552" s="9"/>
      <c r="U552" s="9"/>
      <c r="V552" s="9"/>
      <c r="W552" s="9"/>
      <c r="X552" s="9"/>
      <c r="Y552" s="9"/>
      <c r="Z552" s="9"/>
      <c r="AA552" s="9"/>
      <c r="AB552" s="9"/>
      <c r="AC552" s="9"/>
      <c r="AD552" s="9"/>
      <c r="AE552" s="9"/>
      <c r="AF552" s="9"/>
    </row>
    <row r="553" spans="1:32" ht="54.95" customHeight="1" x14ac:dyDescent="0.2">
      <c r="A553" s="56"/>
      <c r="B553" s="9"/>
      <c r="C553" s="9"/>
      <c r="D553" s="9"/>
      <c r="E553" s="9"/>
      <c r="F553" s="9"/>
      <c r="G553" s="9"/>
      <c r="H553" s="9"/>
      <c r="I553" s="58"/>
      <c r="J553" s="9"/>
      <c r="K553" s="9"/>
      <c r="L553" s="9"/>
      <c r="M553" s="9"/>
      <c r="N553" s="9"/>
      <c r="O553" s="9"/>
      <c r="P553" s="9"/>
      <c r="Q553" s="9"/>
      <c r="R553" s="9"/>
      <c r="S553" s="9"/>
      <c r="T553" s="9"/>
      <c r="U553" s="9"/>
      <c r="V553" s="9"/>
      <c r="W553" s="9"/>
      <c r="X553" s="9"/>
      <c r="Y553" s="9"/>
      <c r="Z553" s="9"/>
      <c r="AA553" s="9"/>
      <c r="AB553" s="9"/>
      <c r="AC553" s="9"/>
      <c r="AD553" s="9"/>
      <c r="AE553" s="9"/>
      <c r="AF553" s="9"/>
    </row>
    <row r="554" spans="1:32" ht="54.95" customHeight="1" x14ac:dyDescent="0.2">
      <c r="A554" s="56"/>
      <c r="B554" s="9"/>
      <c r="C554" s="9"/>
      <c r="D554" s="9"/>
      <c r="E554" s="9"/>
      <c r="F554" s="9"/>
      <c r="G554" s="9"/>
      <c r="H554" s="9"/>
      <c r="I554" s="58"/>
      <c r="J554" s="9"/>
      <c r="K554" s="9"/>
      <c r="L554" s="9"/>
      <c r="M554" s="9"/>
      <c r="N554" s="9"/>
      <c r="O554" s="9"/>
      <c r="P554" s="9"/>
      <c r="Q554" s="9"/>
      <c r="R554" s="9"/>
      <c r="S554" s="9"/>
      <c r="T554" s="9"/>
      <c r="U554" s="9"/>
      <c r="V554" s="9"/>
      <c r="W554" s="9"/>
      <c r="X554" s="9"/>
      <c r="Y554" s="9"/>
      <c r="Z554" s="9"/>
      <c r="AA554" s="9"/>
      <c r="AB554" s="9"/>
      <c r="AC554" s="9"/>
      <c r="AD554" s="9"/>
      <c r="AE554" s="9"/>
      <c r="AF554" s="9"/>
    </row>
    <row r="555" spans="1:32" ht="54.95" customHeight="1" x14ac:dyDescent="0.2">
      <c r="A555" s="56"/>
      <c r="B555" s="9"/>
      <c r="C555" s="9"/>
      <c r="D555" s="9"/>
      <c r="E555" s="9"/>
      <c r="F555" s="9"/>
      <c r="G555" s="9"/>
      <c r="H555" s="9"/>
      <c r="I555" s="58"/>
      <c r="J555" s="9"/>
      <c r="K555" s="9"/>
      <c r="L555" s="9"/>
      <c r="M555" s="9"/>
      <c r="N555" s="9"/>
      <c r="O555" s="9"/>
      <c r="P555" s="9"/>
      <c r="Q555" s="9"/>
      <c r="R555" s="9"/>
      <c r="S555" s="9"/>
      <c r="T555" s="9"/>
      <c r="U555" s="9"/>
      <c r="V555" s="9"/>
      <c r="W555" s="9"/>
      <c r="X555" s="9"/>
      <c r="Y555" s="9"/>
      <c r="Z555" s="9"/>
      <c r="AA555" s="9"/>
      <c r="AB555" s="9"/>
      <c r="AC555" s="9"/>
      <c r="AD555" s="9"/>
      <c r="AE555" s="9"/>
      <c r="AF555" s="9"/>
    </row>
    <row r="556" spans="1:32" ht="54.95" customHeight="1" x14ac:dyDescent="0.2">
      <c r="A556" s="56"/>
      <c r="B556" s="9"/>
      <c r="C556" s="9"/>
      <c r="D556" s="9"/>
      <c r="E556" s="9"/>
      <c r="F556" s="9"/>
      <c r="G556" s="9"/>
      <c r="H556" s="9"/>
      <c r="I556" s="58"/>
      <c r="J556" s="9"/>
      <c r="K556" s="9"/>
      <c r="L556" s="9"/>
      <c r="M556" s="9"/>
      <c r="N556" s="9"/>
      <c r="O556" s="9"/>
      <c r="P556" s="9"/>
      <c r="Q556" s="9"/>
      <c r="R556" s="9"/>
      <c r="S556" s="9"/>
      <c r="T556" s="9"/>
      <c r="U556" s="9"/>
      <c r="V556" s="9"/>
      <c r="W556" s="9"/>
      <c r="X556" s="9"/>
      <c r="Y556" s="9"/>
      <c r="Z556" s="9"/>
      <c r="AA556" s="9"/>
      <c r="AB556" s="9"/>
      <c r="AC556" s="9"/>
      <c r="AD556" s="9"/>
      <c r="AE556" s="9"/>
      <c r="AF556" s="9"/>
    </row>
    <row r="557" spans="1:32" ht="54.95" customHeight="1" x14ac:dyDescent="0.2">
      <c r="A557" s="56"/>
      <c r="B557" s="9"/>
      <c r="C557" s="9"/>
      <c r="D557" s="9"/>
      <c r="E557" s="9"/>
      <c r="F557" s="9"/>
      <c r="G557" s="9"/>
      <c r="H557" s="9"/>
      <c r="I557" s="58"/>
      <c r="J557" s="9"/>
      <c r="K557" s="9"/>
      <c r="L557" s="9"/>
      <c r="M557" s="9"/>
      <c r="N557" s="9"/>
      <c r="O557" s="9"/>
      <c r="P557" s="9"/>
      <c r="Q557" s="9"/>
      <c r="R557" s="9"/>
      <c r="S557" s="9"/>
      <c r="T557" s="9"/>
      <c r="U557" s="9"/>
      <c r="V557" s="9"/>
      <c r="W557" s="9"/>
      <c r="X557" s="9"/>
      <c r="Y557" s="9"/>
      <c r="Z557" s="9"/>
      <c r="AA557" s="9"/>
      <c r="AB557" s="9"/>
      <c r="AC557" s="9"/>
      <c r="AD557" s="9"/>
      <c r="AE557" s="9"/>
      <c r="AF557" s="9"/>
    </row>
    <row r="558" spans="1:32" ht="54.95" customHeight="1" x14ac:dyDescent="0.2">
      <c r="A558" s="56"/>
      <c r="B558" s="9"/>
      <c r="C558" s="9"/>
      <c r="D558" s="9"/>
      <c r="E558" s="9"/>
      <c r="F558" s="9"/>
      <c r="G558" s="9"/>
      <c r="H558" s="9"/>
      <c r="I558" s="58"/>
      <c r="J558" s="9"/>
      <c r="K558" s="9"/>
      <c r="L558" s="9"/>
      <c r="M558" s="9"/>
      <c r="N558" s="9"/>
      <c r="O558" s="9"/>
      <c r="P558" s="9"/>
      <c r="Q558" s="9"/>
      <c r="R558" s="9"/>
      <c r="S558" s="9"/>
      <c r="T558" s="9"/>
      <c r="U558" s="9"/>
      <c r="V558" s="9"/>
      <c r="W558" s="9"/>
      <c r="X558" s="9"/>
      <c r="Y558" s="9"/>
      <c r="Z558" s="9"/>
      <c r="AA558" s="9"/>
      <c r="AB558" s="9"/>
      <c r="AC558" s="9"/>
      <c r="AD558" s="9"/>
      <c r="AE558" s="9"/>
      <c r="AF558" s="9"/>
    </row>
    <row r="559" spans="1:32" ht="54.95" customHeight="1" x14ac:dyDescent="0.2">
      <c r="A559" s="56"/>
      <c r="B559" s="9"/>
      <c r="C559" s="9"/>
      <c r="D559" s="9"/>
      <c r="E559" s="9"/>
      <c r="F559" s="9"/>
      <c r="G559" s="9"/>
      <c r="H559" s="9"/>
      <c r="I559" s="58"/>
      <c r="J559" s="9"/>
      <c r="K559" s="9"/>
      <c r="L559" s="9"/>
      <c r="M559" s="9"/>
      <c r="N559" s="9"/>
      <c r="O559" s="9"/>
      <c r="P559" s="9"/>
      <c r="Q559" s="9"/>
      <c r="R559" s="9"/>
      <c r="S559" s="9"/>
      <c r="T559" s="9"/>
      <c r="U559" s="9"/>
      <c r="V559" s="9"/>
      <c r="W559" s="9"/>
      <c r="X559" s="9"/>
      <c r="Y559" s="9"/>
      <c r="Z559" s="9"/>
      <c r="AA559" s="9"/>
      <c r="AB559" s="9"/>
      <c r="AC559" s="9"/>
      <c r="AD559" s="9"/>
      <c r="AE559" s="9"/>
      <c r="AF559" s="9"/>
    </row>
    <row r="560" spans="1:32" ht="54.95" customHeight="1" x14ac:dyDescent="0.2">
      <c r="A560" s="56"/>
      <c r="B560" s="9"/>
      <c r="C560" s="9"/>
      <c r="D560" s="9"/>
      <c r="E560" s="9"/>
      <c r="F560" s="9"/>
      <c r="G560" s="9"/>
      <c r="H560" s="9"/>
      <c r="I560" s="58"/>
      <c r="J560" s="9"/>
      <c r="K560" s="9"/>
      <c r="L560" s="9"/>
      <c r="M560" s="9"/>
      <c r="N560" s="9"/>
      <c r="O560" s="9"/>
      <c r="P560" s="9"/>
      <c r="Q560" s="9"/>
      <c r="R560" s="9"/>
      <c r="S560" s="9"/>
      <c r="T560" s="9"/>
      <c r="U560" s="9"/>
      <c r="V560" s="9"/>
      <c r="W560" s="9"/>
      <c r="X560" s="9"/>
      <c r="Y560" s="9"/>
      <c r="Z560" s="9"/>
      <c r="AA560" s="9"/>
      <c r="AB560" s="9"/>
      <c r="AC560" s="9"/>
      <c r="AD560" s="9"/>
      <c r="AE560" s="9"/>
      <c r="AF560" s="9"/>
    </row>
    <row r="561" spans="1:32" ht="54.95" customHeight="1" x14ac:dyDescent="0.2">
      <c r="A561" s="56"/>
      <c r="B561" s="9"/>
      <c r="C561" s="9"/>
      <c r="D561" s="9"/>
      <c r="E561" s="9"/>
      <c r="F561" s="9"/>
      <c r="G561" s="9"/>
      <c r="H561" s="9"/>
      <c r="I561" s="58"/>
      <c r="J561" s="9"/>
      <c r="K561" s="9"/>
      <c r="L561" s="9"/>
      <c r="M561" s="9"/>
      <c r="N561" s="9"/>
      <c r="O561" s="9"/>
      <c r="P561" s="9"/>
      <c r="Q561" s="9"/>
      <c r="R561" s="9"/>
      <c r="S561" s="9"/>
      <c r="T561" s="9"/>
      <c r="U561" s="9"/>
      <c r="V561" s="9"/>
      <c r="W561" s="9"/>
      <c r="X561" s="9"/>
      <c r="Y561" s="9"/>
      <c r="Z561" s="9"/>
      <c r="AA561" s="9"/>
      <c r="AB561" s="9"/>
      <c r="AC561" s="9"/>
      <c r="AD561" s="9"/>
      <c r="AE561" s="9"/>
      <c r="AF561" s="9"/>
    </row>
    <row r="562" spans="1:32" ht="54.95" customHeight="1" x14ac:dyDescent="0.2">
      <c r="A562" s="56"/>
      <c r="B562" s="9"/>
      <c r="C562" s="9"/>
      <c r="D562" s="9"/>
      <c r="E562" s="9"/>
      <c r="F562" s="9"/>
      <c r="G562" s="9"/>
      <c r="H562" s="9"/>
      <c r="I562" s="58"/>
      <c r="J562" s="9"/>
      <c r="K562" s="9"/>
      <c r="L562" s="9"/>
      <c r="M562" s="9"/>
      <c r="N562" s="9"/>
      <c r="O562" s="9"/>
      <c r="P562" s="9"/>
      <c r="Q562" s="9"/>
      <c r="R562" s="9"/>
      <c r="S562" s="9"/>
      <c r="T562" s="9"/>
      <c r="U562" s="9"/>
      <c r="V562" s="9"/>
      <c r="W562" s="9"/>
      <c r="X562" s="9"/>
      <c r="Y562" s="9"/>
      <c r="Z562" s="9"/>
      <c r="AA562" s="9"/>
      <c r="AB562" s="9"/>
      <c r="AC562" s="9"/>
      <c r="AD562" s="9"/>
      <c r="AE562" s="9"/>
      <c r="AF562" s="9"/>
    </row>
    <row r="563" spans="1:32" ht="54.95" customHeight="1" x14ac:dyDescent="0.2">
      <c r="A563" s="56"/>
      <c r="B563" s="9"/>
      <c r="C563" s="9"/>
      <c r="D563" s="9"/>
      <c r="E563" s="9"/>
      <c r="F563" s="9"/>
      <c r="G563" s="9"/>
      <c r="H563" s="9"/>
      <c r="I563" s="58"/>
      <c r="J563" s="9"/>
      <c r="K563" s="9"/>
      <c r="L563" s="9"/>
      <c r="M563" s="9"/>
      <c r="N563" s="9"/>
      <c r="O563" s="9"/>
      <c r="P563" s="9"/>
      <c r="Q563" s="9"/>
      <c r="R563" s="9"/>
      <c r="S563" s="9"/>
      <c r="T563" s="9"/>
      <c r="U563" s="9"/>
      <c r="V563" s="9"/>
      <c r="W563" s="9"/>
      <c r="X563" s="9"/>
      <c r="Y563" s="9"/>
      <c r="Z563" s="9"/>
      <c r="AA563" s="9"/>
      <c r="AB563" s="9"/>
      <c r="AC563" s="9"/>
      <c r="AD563" s="9"/>
      <c r="AE563" s="9"/>
      <c r="AF563" s="9"/>
    </row>
    <row r="564" spans="1:32" ht="54.95" customHeight="1" x14ac:dyDescent="0.2">
      <c r="A564" s="56"/>
      <c r="B564" s="9"/>
      <c r="C564" s="9"/>
      <c r="D564" s="9"/>
      <c r="E564" s="9"/>
      <c r="F564" s="9"/>
      <c r="G564" s="9"/>
      <c r="H564" s="9"/>
      <c r="I564" s="58"/>
      <c r="J564" s="9"/>
      <c r="K564" s="9"/>
      <c r="L564" s="9"/>
      <c r="M564" s="9"/>
      <c r="N564" s="9"/>
      <c r="O564" s="9"/>
      <c r="P564" s="9"/>
      <c r="Q564" s="9"/>
      <c r="R564" s="9"/>
      <c r="S564" s="9"/>
      <c r="T564" s="9"/>
      <c r="U564" s="9"/>
      <c r="V564" s="9"/>
      <c r="W564" s="9"/>
      <c r="X564" s="9"/>
      <c r="Y564" s="9"/>
      <c r="Z564" s="9"/>
      <c r="AA564" s="9"/>
      <c r="AB564" s="9"/>
      <c r="AC564" s="9"/>
      <c r="AD564" s="9"/>
      <c r="AE564" s="9"/>
      <c r="AF564" s="9"/>
    </row>
    <row r="565" spans="1:32" ht="54.95" customHeight="1" x14ac:dyDescent="0.2">
      <c r="A565" s="56"/>
      <c r="B565" s="9"/>
      <c r="C565" s="9"/>
      <c r="D565" s="9"/>
      <c r="E565" s="9"/>
      <c r="F565" s="9"/>
      <c r="G565" s="9"/>
      <c r="H565" s="9"/>
      <c r="I565" s="58"/>
      <c r="J565" s="9"/>
      <c r="K565" s="9"/>
      <c r="L565" s="9"/>
      <c r="M565" s="9"/>
      <c r="N565" s="9"/>
      <c r="O565" s="9"/>
      <c r="P565" s="9"/>
      <c r="Q565" s="9"/>
      <c r="R565" s="9"/>
      <c r="S565" s="9"/>
      <c r="T565" s="9"/>
      <c r="U565" s="9"/>
      <c r="V565" s="9"/>
      <c r="W565" s="9"/>
      <c r="X565" s="9"/>
      <c r="Y565" s="9"/>
      <c r="Z565" s="9"/>
      <c r="AA565" s="9"/>
      <c r="AB565" s="9"/>
      <c r="AC565" s="9"/>
      <c r="AD565" s="9"/>
      <c r="AE565" s="9"/>
      <c r="AF565" s="9"/>
    </row>
    <row r="566" spans="1:32" ht="54.95" customHeight="1" x14ac:dyDescent="0.2">
      <c r="A566" s="56"/>
      <c r="B566" s="9"/>
      <c r="C566" s="9"/>
      <c r="D566" s="9"/>
      <c r="E566" s="9"/>
      <c r="F566" s="9"/>
      <c r="G566" s="9"/>
      <c r="H566" s="9"/>
      <c r="I566" s="58"/>
      <c r="J566" s="9"/>
      <c r="K566" s="9"/>
      <c r="L566" s="9"/>
      <c r="M566" s="9"/>
      <c r="N566" s="9"/>
      <c r="O566" s="9"/>
      <c r="P566" s="9"/>
      <c r="Q566" s="9"/>
      <c r="R566" s="9"/>
      <c r="S566" s="9"/>
      <c r="T566" s="9"/>
      <c r="U566" s="9"/>
      <c r="V566" s="9"/>
      <c r="W566" s="9"/>
      <c r="X566" s="9"/>
      <c r="Y566" s="9"/>
      <c r="Z566" s="9"/>
      <c r="AA566" s="9"/>
      <c r="AB566" s="9"/>
      <c r="AC566" s="9"/>
      <c r="AD566" s="9"/>
      <c r="AE566" s="9"/>
      <c r="AF566" s="9"/>
    </row>
    <row r="567" spans="1:32" ht="54.95" customHeight="1" x14ac:dyDescent="0.2">
      <c r="A567" s="56"/>
      <c r="B567" s="9"/>
      <c r="C567" s="9"/>
      <c r="D567" s="9"/>
      <c r="E567" s="9"/>
      <c r="F567" s="9"/>
      <c r="G567" s="9"/>
      <c r="H567" s="9"/>
      <c r="I567" s="58"/>
      <c r="J567" s="9"/>
      <c r="K567" s="9"/>
      <c r="L567" s="9"/>
      <c r="M567" s="9"/>
      <c r="N567" s="9"/>
      <c r="O567" s="9"/>
      <c r="P567" s="9"/>
      <c r="Q567" s="9"/>
      <c r="R567" s="9"/>
      <c r="S567" s="9"/>
      <c r="T567" s="9"/>
      <c r="U567" s="9"/>
      <c r="V567" s="9"/>
      <c r="W567" s="9"/>
      <c r="X567" s="9"/>
      <c r="Y567" s="9"/>
      <c r="Z567" s="9"/>
      <c r="AA567" s="9"/>
      <c r="AB567" s="9"/>
      <c r="AC567" s="9"/>
      <c r="AD567" s="9"/>
      <c r="AE567" s="9"/>
      <c r="AF567" s="9"/>
    </row>
    <row r="568" spans="1:32" ht="54.95" customHeight="1" x14ac:dyDescent="0.2">
      <c r="A568" s="56"/>
      <c r="B568" s="9"/>
      <c r="C568" s="9"/>
      <c r="D568" s="9"/>
      <c r="E568" s="9"/>
      <c r="F568" s="9"/>
      <c r="G568" s="9"/>
      <c r="H568" s="9"/>
      <c r="I568" s="58"/>
      <c r="J568" s="9"/>
      <c r="K568" s="9"/>
      <c r="L568" s="9"/>
      <c r="M568" s="9"/>
      <c r="N568" s="9"/>
      <c r="O568" s="9"/>
      <c r="P568" s="9"/>
      <c r="Q568" s="9"/>
      <c r="R568" s="9"/>
      <c r="S568" s="9"/>
      <c r="T568" s="9"/>
      <c r="U568" s="9"/>
      <c r="V568" s="9"/>
      <c r="W568" s="9"/>
      <c r="X568" s="9"/>
      <c r="Y568" s="9"/>
      <c r="Z568" s="9"/>
      <c r="AA568" s="9"/>
      <c r="AB568" s="9"/>
      <c r="AC568" s="9"/>
      <c r="AD568" s="9"/>
      <c r="AE568" s="9"/>
      <c r="AF568" s="9"/>
    </row>
    <row r="569" spans="1:32" ht="54.95" customHeight="1" x14ac:dyDescent="0.2">
      <c r="A569" s="56"/>
      <c r="B569" s="9"/>
      <c r="C569" s="9"/>
      <c r="D569" s="9"/>
      <c r="E569" s="9"/>
      <c r="F569" s="9"/>
      <c r="G569" s="9"/>
      <c r="H569" s="9"/>
      <c r="I569" s="58"/>
      <c r="J569" s="9"/>
      <c r="K569" s="9"/>
      <c r="L569" s="9"/>
      <c r="M569" s="9"/>
      <c r="N569" s="9"/>
      <c r="O569" s="9"/>
      <c r="P569" s="9"/>
      <c r="Q569" s="9"/>
      <c r="R569" s="9"/>
      <c r="S569" s="9"/>
      <c r="T569" s="9"/>
      <c r="U569" s="9"/>
      <c r="V569" s="9"/>
      <c r="W569" s="9"/>
      <c r="X569" s="9"/>
      <c r="Y569" s="9"/>
      <c r="Z569" s="9"/>
      <c r="AA569" s="9"/>
      <c r="AB569" s="9"/>
      <c r="AC569" s="9"/>
      <c r="AD569" s="9"/>
      <c r="AE569" s="9"/>
      <c r="AF569" s="9"/>
    </row>
    <row r="570" spans="1:32" ht="54.95" customHeight="1" x14ac:dyDescent="0.2">
      <c r="A570" s="56"/>
      <c r="B570" s="9"/>
      <c r="C570" s="9"/>
      <c r="D570" s="9"/>
      <c r="E570" s="9"/>
      <c r="F570" s="9"/>
      <c r="G570" s="9"/>
      <c r="H570" s="9"/>
      <c r="I570" s="58"/>
      <c r="J570" s="9"/>
      <c r="K570" s="9"/>
      <c r="L570" s="9"/>
      <c r="M570" s="9"/>
      <c r="N570" s="9"/>
      <c r="O570" s="9"/>
      <c r="P570" s="9"/>
      <c r="Q570" s="9"/>
      <c r="R570" s="9"/>
      <c r="S570" s="9"/>
      <c r="T570" s="9"/>
      <c r="U570" s="9"/>
      <c r="V570" s="9"/>
      <c r="W570" s="9"/>
      <c r="X570" s="9"/>
      <c r="Y570" s="9"/>
      <c r="Z570" s="9"/>
      <c r="AA570" s="9"/>
      <c r="AB570" s="9"/>
      <c r="AC570" s="9"/>
      <c r="AD570" s="9"/>
      <c r="AE570" s="9"/>
      <c r="AF570" s="9"/>
    </row>
    <row r="571" spans="1:32" ht="54.95" customHeight="1" x14ac:dyDescent="0.2">
      <c r="A571" s="56"/>
      <c r="B571" s="9"/>
      <c r="C571" s="9"/>
      <c r="D571" s="9"/>
      <c r="E571" s="9"/>
      <c r="F571" s="9"/>
      <c r="G571" s="9"/>
      <c r="H571" s="9"/>
      <c r="I571" s="58"/>
      <c r="J571" s="9"/>
      <c r="K571" s="9"/>
      <c r="L571" s="9"/>
      <c r="M571" s="9"/>
      <c r="N571" s="9"/>
      <c r="O571" s="9"/>
      <c r="P571" s="9"/>
      <c r="Q571" s="9"/>
      <c r="R571" s="9"/>
      <c r="S571" s="9"/>
      <c r="T571" s="9"/>
      <c r="U571" s="9"/>
      <c r="V571" s="9"/>
      <c r="W571" s="9"/>
      <c r="X571" s="9"/>
      <c r="Y571" s="9"/>
      <c r="Z571" s="9"/>
      <c r="AA571" s="9"/>
      <c r="AB571" s="9"/>
      <c r="AC571" s="9"/>
      <c r="AD571" s="9"/>
      <c r="AE571" s="9"/>
      <c r="AF571" s="9"/>
    </row>
    <row r="572" spans="1:32" ht="54.95" customHeight="1" x14ac:dyDescent="0.2">
      <c r="A572" s="56"/>
      <c r="B572" s="9"/>
      <c r="C572" s="9"/>
      <c r="D572" s="9"/>
      <c r="E572" s="9"/>
      <c r="F572" s="9"/>
      <c r="G572" s="9"/>
      <c r="H572" s="9"/>
      <c r="I572" s="58"/>
      <c r="J572" s="9"/>
      <c r="K572" s="9"/>
      <c r="L572" s="9"/>
      <c r="M572" s="9"/>
      <c r="N572" s="9"/>
      <c r="O572" s="9"/>
      <c r="P572" s="9"/>
      <c r="Q572" s="9"/>
      <c r="R572" s="9"/>
      <c r="S572" s="9"/>
      <c r="T572" s="9"/>
      <c r="U572" s="9"/>
      <c r="V572" s="9"/>
      <c r="W572" s="9"/>
      <c r="X572" s="9"/>
      <c r="Y572" s="9"/>
      <c r="Z572" s="9"/>
      <c r="AA572" s="9"/>
      <c r="AB572" s="9"/>
      <c r="AC572" s="9"/>
      <c r="AD572" s="9"/>
      <c r="AE572" s="9"/>
      <c r="AF572" s="9"/>
    </row>
    <row r="573" spans="1:32" ht="54.95" customHeight="1" x14ac:dyDescent="0.2">
      <c r="A573" s="56"/>
      <c r="B573" s="9"/>
      <c r="C573" s="9"/>
      <c r="D573" s="9"/>
      <c r="E573" s="9"/>
      <c r="F573" s="9"/>
      <c r="G573" s="9"/>
      <c r="H573" s="9"/>
      <c r="I573" s="58"/>
      <c r="J573" s="9"/>
      <c r="K573" s="9"/>
      <c r="L573" s="9"/>
      <c r="M573" s="9"/>
      <c r="N573" s="9"/>
      <c r="O573" s="9"/>
      <c r="P573" s="9"/>
      <c r="Q573" s="9"/>
      <c r="R573" s="9"/>
      <c r="S573" s="9"/>
      <c r="T573" s="9"/>
      <c r="U573" s="9"/>
      <c r="V573" s="9"/>
      <c r="W573" s="9"/>
      <c r="X573" s="9"/>
      <c r="Y573" s="9"/>
      <c r="Z573" s="9"/>
      <c r="AA573" s="9"/>
      <c r="AB573" s="9"/>
      <c r="AC573" s="9"/>
      <c r="AD573" s="9"/>
      <c r="AE573" s="9"/>
      <c r="AF573" s="9"/>
    </row>
    <row r="574" spans="1:32" ht="54.95" customHeight="1" x14ac:dyDescent="0.2">
      <c r="A574" s="56"/>
      <c r="B574" s="9"/>
      <c r="C574" s="9"/>
      <c r="D574" s="9"/>
      <c r="E574" s="9"/>
      <c r="F574" s="9"/>
      <c r="G574" s="9"/>
      <c r="H574" s="9"/>
      <c r="I574" s="58"/>
      <c r="J574" s="9"/>
      <c r="K574" s="9"/>
      <c r="L574" s="9"/>
      <c r="M574" s="9"/>
      <c r="N574" s="9"/>
      <c r="O574" s="9"/>
      <c r="P574" s="9"/>
      <c r="Q574" s="9"/>
      <c r="R574" s="9"/>
      <c r="S574" s="9"/>
      <c r="T574" s="9"/>
      <c r="U574" s="9"/>
      <c r="V574" s="9"/>
      <c r="W574" s="9"/>
      <c r="X574" s="9"/>
      <c r="Y574" s="9"/>
      <c r="Z574" s="9"/>
      <c r="AA574" s="9"/>
      <c r="AB574" s="9"/>
      <c r="AC574" s="9"/>
      <c r="AD574" s="9"/>
      <c r="AE574" s="9"/>
      <c r="AF574" s="9"/>
    </row>
    <row r="575" spans="1:32" ht="54.95" customHeight="1" x14ac:dyDescent="0.2">
      <c r="A575" s="56"/>
      <c r="B575" s="9"/>
      <c r="C575" s="9"/>
      <c r="D575" s="9"/>
      <c r="E575" s="9"/>
      <c r="F575" s="9"/>
      <c r="G575" s="9"/>
      <c r="H575" s="9"/>
      <c r="I575" s="58"/>
      <c r="J575" s="9"/>
      <c r="K575" s="9"/>
      <c r="L575" s="9"/>
      <c r="M575" s="9"/>
      <c r="N575" s="9"/>
      <c r="O575" s="9"/>
      <c r="P575" s="9"/>
      <c r="Q575" s="9"/>
      <c r="R575" s="9"/>
      <c r="S575" s="9"/>
      <c r="T575" s="9"/>
      <c r="U575" s="9"/>
      <c r="V575" s="9"/>
      <c r="W575" s="9"/>
      <c r="X575" s="9"/>
      <c r="Y575" s="9"/>
      <c r="Z575" s="9"/>
      <c r="AA575" s="9"/>
      <c r="AB575" s="9"/>
      <c r="AC575" s="9"/>
      <c r="AD575" s="9"/>
      <c r="AE575" s="9"/>
      <c r="AF575" s="9"/>
    </row>
    <row r="576" spans="1:32" ht="54.95" customHeight="1" x14ac:dyDescent="0.2">
      <c r="A576" s="56"/>
      <c r="B576" s="9"/>
      <c r="C576" s="9"/>
      <c r="D576" s="9"/>
      <c r="E576" s="9"/>
      <c r="F576" s="9"/>
      <c r="G576" s="9"/>
      <c r="H576" s="9"/>
      <c r="I576" s="58"/>
      <c r="J576" s="9"/>
      <c r="K576" s="9"/>
      <c r="L576" s="9"/>
      <c r="M576" s="9"/>
      <c r="N576" s="9"/>
      <c r="O576" s="9"/>
      <c r="P576" s="9"/>
      <c r="Q576" s="9"/>
      <c r="R576" s="9"/>
      <c r="S576" s="9"/>
      <c r="T576" s="9"/>
      <c r="U576" s="9"/>
      <c r="V576" s="9"/>
      <c r="W576" s="9"/>
      <c r="X576" s="9"/>
      <c r="Y576" s="9"/>
      <c r="Z576" s="9"/>
      <c r="AA576" s="9"/>
      <c r="AB576" s="9"/>
      <c r="AC576" s="9"/>
      <c r="AD576" s="9"/>
      <c r="AE576" s="9"/>
      <c r="AF576" s="9"/>
    </row>
    <row r="577" spans="1:32" ht="54.95" customHeight="1" x14ac:dyDescent="0.2">
      <c r="A577" s="56"/>
      <c r="B577" s="9"/>
      <c r="C577" s="9"/>
      <c r="D577" s="9"/>
      <c r="E577" s="9"/>
      <c r="F577" s="9"/>
      <c r="G577" s="9"/>
      <c r="H577" s="9"/>
      <c r="I577" s="58"/>
      <c r="J577" s="9"/>
      <c r="K577" s="9"/>
      <c r="L577" s="9"/>
      <c r="M577" s="9"/>
      <c r="N577" s="9"/>
      <c r="O577" s="9"/>
      <c r="P577" s="9"/>
      <c r="Q577" s="9"/>
      <c r="R577" s="9"/>
      <c r="S577" s="9"/>
      <c r="T577" s="9"/>
      <c r="U577" s="9"/>
      <c r="V577" s="9"/>
      <c r="W577" s="9"/>
      <c r="X577" s="9"/>
      <c r="Y577" s="9"/>
      <c r="Z577" s="9"/>
      <c r="AA577" s="9"/>
      <c r="AB577" s="9"/>
      <c r="AC577" s="9"/>
      <c r="AD577" s="9"/>
      <c r="AE577" s="9"/>
      <c r="AF577" s="9"/>
    </row>
    <row r="578" spans="1:32" ht="54.95" customHeight="1" x14ac:dyDescent="0.2">
      <c r="A578" s="56"/>
      <c r="B578" s="9"/>
      <c r="C578" s="9"/>
      <c r="D578" s="9"/>
      <c r="E578" s="9"/>
      <c r="F578" s="9"/>
      <c r="G578" s="9"/>
      <c r="H578" s="9"/>
      <c r="I578" s="58"/>
      <c r="J578" s="9"/>
      <c r="K578" s="9"/>
      <c r="L578" s="9"/>
      <c r="M578" s="9"/>
      <c r="N578" s="9"/>
      <c r="O578" s="9"/>
      <c r="P578" s="9"/>
      <c r="Q578" s="9"/>
      <c r="R578" s="9"/>
      <c r="S578" s="9"/>
      <c r="T578" s="9"/>
      <c r="U578" s="9"/>
      <c r="V578" s="9"/>
      <c r="W578" s="9"/>
      <c r="X578" s="9"/>
      <c r="Y578" s="9"/>
      <c r="Z578" s="9"/>
      <c r="AA578" s="9"/>
      <c r="AB578" s="9"/>
      <c r="AC578" s="9"/>
      <c r="AD578" s="9"/>
      <c r="AE578" s="9"/>
      <c r="AF578" s="9"/>
    </row>
    <row r="579" spans="1:32" ht="54.95" customHeight="1" x14ac:dyDescent="0.2">
      <c r="A579" s="56"/>
      <c r="B579" s="9"/>
      <c r="C579" s="9"/>
      <c r="D579" s="9"/>
      <c r="E579" s="9"/>
      <c r="F579" s="9"/>
      <c r="G579" s="9"/>
      <c r="H579" s="9"/>
      <c r="I579" s="58"/>
      <c r="J579" s="9"/>
      <c r="K579" s="9"/>
      <c r="L579" s="9"/>
      <c r="M579" s="9"/>
      <c r="N579" s="9"/>
      <c r="O579" s="9"/>
      <c r="P579" s="9"/>
      <c r="Q579" s="9"/>
      <c r="R579" s="9"/>
      <c r="S579" s="9"/>
      <c r="T579" s="9"/>
      <c r="U579" s="9"/>
      <c r="V579" s="9"/>
      <c r="W579" s="9"/>
      <c r="X579" s="9"/>
      <c r="Y579" s="9"/>
      <c r="Z579" s="9"/>
      <c r="AA579" s="9"/>
      <c r="AB579" s="9"/>
      <c r="AC579" s="9"/>
      <c r="AD579" s="9"/>
      <c r="AE579" s="9"/>
      <c r="AF579" s="9"/>
    </row>
    <row r="580" spans="1:32" ht="54.95" customHeight="1" x14ac:dyDescent="0.2">
      <c r="A580" s="56"/>
      <c r="B580" s="9"/>
      <c r="C580" s="9"/>
      <c r="D580" s="9"/>
      <c r="E580" s="9"/>
      <c r="F580" s="9"/>
      <c r="G580" s="9"/>
      <c r="H580" s="9"/>
      <c r="I580" s="58"/>
      <c r="J580" s="9"/>
      <c r="K580" s="9"/>
      <c r="L580" s="9"/>
      <c r="M580" s="9"/>
      <c r="N580" s="9"/>
      <c r="O580" s="9"/>
      <c r="P580" s="9"/>
      <c r="Q580" s="9"/>
      <c r="R580" s="9"/>
      <c r="S580" s="9"/>
      <c r="T580" s="9"/>
      <c r="U580" s="9"/>
      <c r="V580" s="9"/>
      <c r="W580" s="9"/>
      <c r="X580" s="9"/>
      <c r="Y580" s="9"/>
      <c r="Z580" s="9"/>
      <c r="AA580" s="9"/>
      <c r="AB580" s="9"/>
      <c r="AC580" s="9"/>
      <c r="AD580" s="9"/>
      <c r="AE580" s="9"/>
      <c r="AF580" s="9"/>
    </row>
    <row r="581" spans="1:32" ht="54.95" customHeight="1" x14ac:dyDescent="0.2">
      <c r="A581" s="56"/>
      <c r="B581" s="9"/>
      <c r="C581" s="9"/>
      <c r="D581" s="9"/>
      <c r="E581" s="9"/>
      <c r="F581" s="9"/>
      <c r="G581" s="9"/>
      <c r="H581" s="9"/>
      <c r="I581" s="58"/>
      <c r="J581" s="9"/>
      <c r="K581" s="9"/>
      <c r="L581" s="9"/>
      <c r="M581" s="9"/>
      <c r="N581" s="9"/>
      <c r="O581" s="9"/>
      <c r="P581" s="9"/>
      <c r="Q581" s="9"/>
      <c r="R581" s="9"/>
      <c r="S581" s="9"/>
      <c r="T581" s="9"/>
      <c r="U581" s="9"/>
      <c r="V581" s="9"/>
      <c r="W581" s="9"/>
      <c r="X581" s="9"/>
      <c r="Y581" s="9"/>
      <c r="Z581" s="9"/>
      <c r="AA581" s="9"/>
      <c r="AB581" s="9"/>
      <c r="AC581" s="9"/>
      <c r="AD581" s="9"/>
      <c r="AE581" s="9"/>
      <c r="AF581" s="9"/>
    </row>
    <row r="582" spans="1:32" ht="54.95" customHeight="1" x14ac:dyDescent="0.2">
      <c r="A582" s="56"/>
      <c r="B582" s="9"/>
      <c r="C582" s="9"/>
      <c r="D582" s="9"/>
      <c r="E582" s="9"/>
      <c r="F582" s="9"/>
      <c r="G582" s="9"/>
      <c r="H582" s="9"/>
      <c r="I582" s="58"/>
      <c r="J582" s="9"/>
      <c r="K582" s="9"/>
      <c r="L582" s="9"/>
      <c r="M582" s="9"/>
      <c r="N582" s="9"/>
      <c r="O582" s="9"/>
      <c r="P582" s="9"/>
      <c r="Q582" s="9"/>
      <c r="R582" s="9"/>
      <c r="S582" s="9"/>
      <c r="T582" s="9"/>
      <c r="U582" s="9"/>
      <c r="V582" s="9"/>
      <c r="W582" s="9"/>
      <c r="X582" s="9"/>
      <c r="Y582" s="9"/>
      <c r="Z582" s="9"/>
      <c r="AA582" s="9"/>
      <c r="AB582" s="9"/>
      <c r="AC582" s="9"/>
      <c r="AD582" s="9"/>
      <c r="AE582" s="9"/>
      <c r="AF582" s="9"/>
    </row>
    <row r="583" spans="1:32" ht="54.95" customHeight="1" x14ac:dyDescent="0.2">
      <c r="A583" s="56"/>
      <c r="B583" s="9"/>
      <c r="C583" s="9"/>
      <c r="D583" s="9"/>
      <c r="E583" s="9"/>
      <c r="F583" s="9"/>
      <c r="G583" s="9"/>
      <c r="H583" s="9"/>
      <c r="I583" s="58"/>
      <c r="J583" s="9"/>
      <c r="K583" s="9"/>
      <c r="L583" s="9"/>
      <c r="M583" s="9"/>
      <c r="N583" s="9"/>
      <c r="O583" s="9"/>
      <c r="P583" s="9"/>
      <c r="Q583" s="9"/>
      <c r="R583" s="9"/>
      <c r="S583" s="9"/>
      <c r="T583" s="9"/>
      <c r="U583" s="9"/>
      <c r="V583" s="9"/>
      <c r="W583" s="9"/>
      <c r="X583" s="9"/>
      <c r="Y583" s="9"/>
      <c r="Z583" s="9"/>
      <c r="AA583" s="9"/>
      <c r="AB583" s="9"/>
      <c r="AC583" s="9"/>
      <c r="AD583" s="9"/>
      <c r="AE583" s="9"/>
      <c r="AF583" s="9"/>
    </row>
    <row r="584" spans="1:32" ht="54.95" customHeight="1" x14ac:dyDescent="0.2">
      <c r="A584" s="56"/>
      <c r="B584" s="9"/>
      <c r="C584" s="9"/>
      <c r="D584" s="9"/>
      <c r="E584" s="9"/>
      <c r="F584" s="9"/>
      <c r="G584" s="9"/>
      <c r="H584" s="9"/>
      <c r="I584" s="58"/>
      <c r="J584" s="9"/>
      <c r="K584" s="9"/>
      <c r="L584" s="9"/>
      <c r="M584" s="9"/>
      <c r="N584" s="9"/>
      <c r="O584" s="9"/>
      <c r="P584" s="9"/>
      <c r="Q584" s="9"/>
      <c r="R584" s="9"/>
      <c r="S584" s="9"/>
      <c r="T584" s="9"/>
      <c r="U584" s="9"/>
      <c r="V584" s="9"/>
      <c r="W584" s="9"/>
      <c r="X584" s="9"/>
      <c r="Y584" s="9"/>
      <c r="Z584" s="9"/>
      <c r="AA584" s="9"/>
      <c r="AB584" s="9"/>
      <c r="AC584" s="9"/>
      <c r="AD584" s="9"/>
      <c r="AE584" s="9"/>
      <c r="AF584" s="9"/>
    </row>
    <row r="585" spans="1:32" ht="54.95" customHeight="1" x14ac:dyDescent="0.2">
      <c r="A585" s="56"/>
      <c r="B585" s="9"/>
      <c r="C585" s="9"/>
      <c r="D585" s="9"/>
      <c r="E585" s="9"/>
      <c r="F585" s="9"/>
      <c r="G585" s="9"/>
      <c r="H585" s="9"/>
      <c r="I585" s="58"/>
      <c r="J585" s="9"/>
      <c r="K585" s="9"/>
      <c r="L585" s="9"/>
      <c r="M585" s="9"/>
      <c r="N585" s="9"/>
      <c r="O585" s="9"/>
      <c r="P585" s="9"/>
      <c r="Q585" s="9"/>
      <c r="R585" s="9"/>
      <c r="S585" s="9"/>
      <c r="T585" s="9"/>
      <c r="U585" s="9"/>
      <c r="V585" s="9"/>
      <c r="W585" s="9"/>
      <c r="X585" s="9"/>
      <c r="Y585" s="9"/>
      <c r="Z585" s="9"/>
      <c r="AA585" s="9"/>
      <c r="AB585" s="9"/>
      <c r="AC585" s="9"/>
      <c r="AD585" s="9"/>
      <c r="AE585" s="9"/>
      <c r="AF585" s="9"/>
    </row>
    <row r="586" spans="1:32" ht="54.95" customHeight="1" x14ac:dyDescent="0.2">
      <c r="A586" s="56"/>
      <c r="B586" s="9"/>
      <c r="C586" s="9"/>
      <c r="D586" s="9"/>
      <c r="E586" s="9"/>
      <c r="F586" s="9"/>
      <c r="G586" s="9"/>
      <c r="H586" s="9"/>
      <c r="I586" s="58"/>
      <c r="J586" s="9"/>
      <c r="K586" s="9"/>
      <c r="L586" s="9"/>
      <c r="M586" s="9"/>
      <c r="N586" s="9"/>
      <c r="O586" s="9"/>
      <c r="P586" s="9"/>
      <c r="Q586" s="9"/>
      <c r="R586" s="9"/>
      <c r="S586" s="9"/>
      <c r="T586" s="9"/>
      <c r="U586" s="9"/>
      <c r="V586" s="9"/>
      <c r="W586" s="9"/>
      <c r="X586" s="9"/>
      <c r="Y586" s="9"/>
      <c r="Z586" s="9"/>
      <c r="AA586" s="9"/>
      <c r="AB586" s="9"/>
      <c r="AC586" s="9"/>
      <c r="AD586" s="9"/>
      <c r="AE586" s="9"/>
      <c r="AF586" s="9"/>
    </row>
    <row r="587" spans="1:32" ht="54.95" customHeight="1" x14ac:dyDescent="0.2">
      <c r="A587" s="56"/>
      <c r="B587" s="9"/>
      <c r="C587" s="9"/>
      <c r="D587" s="9"/>
      <c r="E587" s="9"/>
      <c r="F587" s="9"/>
      <c r="G587" s="9"/>
      <c r="H587" s="9"/>
      <c r="I587" s="58"/>
      <c r="J587" s="9"/>
      <c r="K587" s="9"/>
      <c r="L587" s="9"/>
      <c r="M587" s="9"/>
      <c r="N587" s="9"/>
      <c r="O587" s="9"/>
      <c r="P587" s="9"/>
      <c r="Q587" s="9"/>
      <c r="R587" s="9"/>
      <c r="S587" s="9"/>
      <c r="T587" s="9"/>
      <c r="U587" s="9"/>
      <c r="V587" s="9"/>
      <c r="W587" s="9"/>
      <c r="X587" s="9"/>
      <c r="Y587" s="9"/>
      <c r="Z587" s="9"/>
      <c r="AA587" s="9"/>
      <c r="AB587" s="9"/>
      <c r="AC587" s="9"/>
      <c r="AD587" s="9"/>
      <c r="AE587" s="9"/>
      <c r="AF587" s="9"/>
    </row>
    <row r="588" spans="1:32" ht="54.95" customHeight="1" x14ac:dyDescent="0.2">
      <c r="A588" s="56"/>
      <c r="B588" s="9"/>
      <c r="C588" s="9"/>
      <c r="D588" s="9"/>
      <c r="E588" s="9"/>
      <c r="F588" s="9"/>
      <c r="G588" s="9"/>
      <c r="H588" s="9"/>
      <c r="I588" s="58"/>
      <c r="J588" s="9"/>
      <c r="K588" s="9"/>
      <c r="L588" s="9"/>
      <c r="M588" s="9"/>
      <c r="N588" s="9"/>
      <c r="O588" s="9"/>
      <c r="P588" s="9"/>
      <c r="Q588" s="9"/>
      <c r="R588" s="9"/>
      <c r="S588" s="9"/>
      <c r="T588" s="9"/>
      <c r="U588" s="9"/>
      <c r="V588" s="9"/>
      <c r="W588" s="9"/>
      <c r="X588" s="9"/>
      <c r="Y588" s="9"/>
      <c r="Z588" s="9"/>
      <c r="AA588" s="9"/>
      <c r="AB588" s="9"/>
      <c r="AC588" s="9"/>
      <c r="AD588" s="9"/>
      <c r="AE588" s="9"/>
      <c r="AF588" s="9"/>
    </row>
    <row r="589" spans="1:32" ht="54.95" customHeight="1" x14ac:dyDescent="0.2">
      <c r="A589" s="56"/>
      <c r="B589" s="9"/>
      <c r="C589" s="9"/>
      <c r="D589" s="9"/>
      <c r="E589" s="9"/>
      <c r="F589" s="9"/>
      <c r="G589" s="9"/>
      <c r="H589" s="9"/>
      <c r="I589" s="58"/>
      <c r="J589" s="9"/>
      <c r="K589" s="9"/>
      <c r="L589" s="9"/>
      <c r="M589" s="9"/>
      <c r="N589" s="9"/>
      <c r="O589" s="9"/>
      <c r="P589" s="9"/>
      <c r="Q589" s="9"/>
      <c r="R589" s="9"/>
      <c r="S589" s="9"/>
      <c r="T589" s="9"/>
      <c r="U589" s="9"/>
      <c r="V589" s="9"/>
      <c r="W589" s="9"/>
      <c r="X589" s="9"/>
      <c r="Y589" s="9"/>
      <c r="Z589" s="9"/>
      <c r="AA589" s="9"/>
      <c r="AB589" s="9"/>
      <c r="AC589" s="9"/>
      <c r="AD589" s="9"/>
      <c r="AE589" s="9"/>
      <c r="AF589" s="9"/>
    </row>
    <row r="590" spans="1:32" ht="54.95" customHeight="1" x14ac:dyDescent="0.2">
      <c r="A590" s="56"/>
      <c r="B590" s="9"/>
      <c r="C590" s="9"/>
      <c r="D590" s="9"/>
      <c r="E590" s="9"/>
      <c r="F590" s="9"/>
      <c r="G590" s="9"/>
      <c r="H590" s="9"/>
      <c r="I590" s="58"/>
      <c r="J590" s="9"/>
      <c r="K590" s="9"/>
      <c r="L590" s="9"/>
      <c r="M590" s="9"/>
      <c r="N590" s="9"/>
      <c r="O590" s="9"/>
      <c r="P590" s="9"/>
      <c r="Q590" s="9"/>
      <c r="R590" s="9"/>
      <c r="S590" s="9"/>
      <c r="T590" s="9"/>
      <c r="U590" s="9"/>
      <c r="V590" s="9"/>
      <c r="W590" s="9"/>
      <c r="X590" s="9"/>
      <c r="Y590" s="9"/>
      <c r="Z590" s="9"/>
      <c r="AA590" s="9"/>
      <c r="AB590" s="9"/>
      <c r="AC590" s="9"/>
      <c r="AD590" s="9"/>
      <c r="AE590" s="9"/>
      <c r="AF590" s="9"/>
    </row>
    <row r="591" spans="1:32" ht="54.95" customHeight="1" x14ac:dyDescent="0.2">
      <c r="A591" s="56"/>
      <c r="B591" s="9"/>
      <c r="C591" s="9"/>
      <c r="D591" s="9"/>
      <c r="E591" s="9"/>
      <c r="F591" s="9"/>
      <c r="G591" s="9"/>
      <c r="H591" s="9"/>
      <c r="I591" s="58"/>
      <c r="J591" s="9"/>
      <c r="K591" s="9"/>
      <c r="L591" s="9"/>
      <c r="M591" s="9"/>
      <c r="N591" s="9"/>
      <c r="O591" s="9"/>
      <c r="P591" s="9"/>
      <c r="Q591" s="9"/>
      <c r="R591" s="9"/>
      <c r="S591" s="9"/>
      <c r="T591" s="9"/>
      <c r="U591" s="9"/>
      <c r="V591" s="9"/>
      <c r="W591" s="9"/>
      <c r="X591" s="9"/>
      <c r="Y591" s="9"/>
      <c r="Z591" s="9"/>
      <c r="AA591" s="9"/>
      <c r="AB591" s="9"/>
      <c r="AC591" s="9"/>
      <c r="AD591" s="9"/>
      <c r="AE591" s="9"/>
      <c r="AF591" s="9"/>
    </row>
    <row r="592" spans="1:32" ht="54.95" customHeight="1" x14ac:dyDescent="0.2">
      <c r="A592" s="56"/>
      <c r="B592" s="9"/>
      <c r="C592" s="9"/>
      <c r="D592" s="9"/>
      <c r="E592" s="9"/>
      <c r="F592" s="9"/>
      <c r="G592" s="9"/>
      <c r="H592" s="9"/>
      <c r="I592" s="58"/>
      <c r="J592" s="9"/>
      <c r="K592" s="9"/>
      <c r="L592" s="9"/>
      <c r="M592" s="9"/>
      <c r="N592" s="9"/>
      <c r="O592" s="9"/>
      <c r="P592" s="9"/>
      <c r="Q592" s="9"/>
      <c r="R592" s="9"/>
      <c r="S592" s="9"/>
      <c r="T592" s="9"/>
      <c r="U592" s="9"/>
      <c r="V592" s="9"/>
      <c r="W592" s="9"/>
      <c r="X592" s="9"/>
      <c r="Y592" s="9"/>
      <c r="Z592" s="9"/>
      <c r="AA592" s="9"/>
      <c r="AB592" s="9"/>
      <c r="AC592" s="9"/>
      <c r="AD592" s="9"/>
      <c r="AE592" s="9"/>
      <c r="AF592" s="9"/>
    </row>
    <row r="593" spans="1:32" ht="54.95" customHeight="1" x14ac:dyDescent="0.2">
      <c r="A593" s="56"/>
      <c r="B593" s="9"/>
      <c r="C593" s="9"/>
      <c r="D593" s="9"/>
      <c r="E593" s="9"/>
      <c r="F593" s="9"/>
      <c r="G593" s="9"/>
      <c r="H593" s="9"/>
      <c r="I593" s="58"/>
      <c r="J593" s="9"/>
      <c r="K593" s="9"/>
      <c r="L593" s="9"/>
      <c r="M593" s="9"/>
      <c r="N593" s="9"/>
      <c r="O593" s="9"/>
      <c r="P593" s="9"/>
      <c r="Q593" s="9"/>
      <c r="R593" s="9"/>
      <c r="S593" s="9"/>
      <c r="T593" s="9"/>
      <c r="U593" s="9"/>
      <c r="V593" s="9"/>
      <c r="W593" s="9"/>
      <c r="X593" s="9"/>
      <c r="Y593" s="9"/>
      <c r="Z593" s="9"/>
      <c r="AA593" s="9"/>
      <c r="AB593" s="9"/>
      <c r="AC593" s="9"/>
      <c r="AD593" s="9"/>
      <c r="AE593" s="9"/>
      <c r="AF593" s="9"/>
    </row>
    <row r="594" spans="1:32" ht="54.95" customHeight="1" x14ac:dyDescent="0.2">
      <c r="A594" s="56"/>
      <c r="B594" s="9"/>
      <c r="C594" s="9"/>
      <c r="D594" s="9"/>
      <c r="E594" s="9"/>
      <c r="F594" s="9"/>
      <c r="G594" s="9"/>
      <c r="H594" s="9"/>
      <c r="I594" s="58"/>
      <c r="J594" s="9"/>
      <c r="K594" s="9"/>
      <c r="L594" s="9"/>
      <c r="M594" s="9"/>
      <c r="N594" s="9"/>
      <c r="O594" s="9"/>
      <c r="P594" s="9"/>
      <c r="Q594" s="9"/>
      <c r="R594" s="9"/>
      <c r="S594" s="9"/>
      <c r="T594" s="9"/>
      <c r="U594" s="9"/>
      <c r="V594" s="9"/>
      <c r="W594" s="9"/>
      <c r="X594" s="9"/>
      <c r="Y594" s="9"/>
      <c r="Z594" s="9"/>
      <c r="AA594" s="9"/>
      <c r="AB594" s="9"/>
      <c r="AC594" s="9"/>
      <c r="AD594" s="9"/>
      <c r="AE594" s="9"/>
      <c r="AF594" s="9"/>
    </row>
    <row r="595" spans="1:32" ht="54.95" customHeight="1" x14ac:dyDescent="0.2">
      <c r="A595" s="56"/>
      <c r="B595" s="9"/>
      <c r="C595" s="9"/>
      <c r="D595" s="9"/>
      <c r="E595" s="9"/>
      <c r="F595" s="9"/>
      <c r="G595" s="9"/>
      <c r="H595" s="9"/>
      <c r="I595" s="58"/>
      <c r="J595" s="9"/>
      <c r="K595" s="9"/>
      <c r="L595" s="9"/>
      <c r="M595" s="9"/>
      <c r="N595" s="9"/>
      <c r="O595" s="9"/>
      <c r="P595" s="9"/>
      <c r="Q595" s="9"/>
      <c r="R595" s="9"/>
      <c r="S595" s="9"/>
      <c r="T595" s="9"/>
      <c r="U595" s="9"/>
      <c r="V595" s="9"/>
      <c r="W595" s="9"/>
      <c r="X595" s="9"/>
      <c r="Y595" s="9"/>
      <c r="Z595" s="9"/>
      <c r="AA595" s="9"/>
      <c r="AB595" s="9"/>
      <c r="AC595" s="9"/>
      <c r="AD595" s="9"/>
      <c r="AE595" s="9"/>
      <c r="AF595" s="9"/>
    </row>
    <row r="596" spans="1:32" ht="54.95" customHeight="1" x14ac:dyDescent="0.2">
      <c r="A596" s="56"/>
      <c r="B596" s="9"/>
      <c r="C596" s="9"/>
      <c r="D596" s="9"/>
      <c r="E596" s="9"/>
      <c r="F596" s="9"/>
      <c r="G596" s="9"/>
      <c r="H596" s="9"/>
      <c r="I596" s="58"/>
      <c r="J596" s="9"/>
      <c r="K596" s="9"/>
      <c r="L596" s="9"/>
      <c r="M596" s="9"/>
      <c r="N596" s="9"/>
      <c r="O596" s="9"/>
      <c r="P596" s="9"/>
      <c r="Q596" s="9"/>
      <c r="R596" s="9"/>
      <c r="S596" s="9"/>
      <c r="T596" s="9"/>
      <c r="U596" s="9"/>
      <c r="V596" s="9"/>
      <c r="W596" s="9"/>
      <c r="X596" s="9"/>
      <c r="Y596" s="9"/>
      <c r="Z596" s="9"/>
      <c r="AA596" s="9"/>
      <c r="AB596" s="9"/>
      <c r="AC596" s="9"/>
      <c r="AD596" s="9"/>
      <c r="AE596" s="9"/>
      <c r="AF596" s="9"/>
    </row>
    <row r="597" spans="1:32" ht="54.95" customHeight="1" x14ac:dyDescent="0.2">
      <c r="A597" s="56"/>
      <c r="B597" s="9"/>
      <c r="C597" s="9"/>
      <c r="D597" s="9"/>
      <c r="E597" s="9"/>
      <c r="F597" s="9"/>
      <c r="G597" s="9"/>
      <c r="H597" s="9"/>
      <c r="I597" s="58"/>
      <c r="J597" s="9"/>
      <c r="K597" s="9"/>
      <c r="L597" s="9"/>
      <c r="M597" s="9"/>
      <c r="N597" s="9"/>
      <c r="O597" s="9"/>
      <c r="P597" s="9"/>
      <c r="Q597" s="9"/>
      <c r="R597" s="9"/>
      <c r="S597" s="9"/>
      <c r="T597" s="9"/>
      <c r="U597" s="9"/>
      <c r="V597" s="9"/>
      <c r="W597" s="9"/>
      <c r="X597" s="9"/>
      <c r="Y597" s="9"/>
      <c r="Z597" s="9"/>
      <c r="AA597" s="9"/>
      <c r="AB597" s="9"/>
      <c r="AC597" s="9"/>
      <c r="AD597" s="9"/>
      <c r="AE597" s="9"/>
      <c r="AF597" s="9"/>
    </row>
    <row r="598" spans="1:32" ht="54.95" customHeight="1" x14ac:dyDescent="0.2">
      <c r="A598" s="56"/>
      <c r="B598" s="9"/>
      <c r="C598" s="9"/>
      <c r="D598" s="9"/>
      <c r="E598" s="9"/>
      <c r="F598" s="9"/>
      <c r="G598" s="9"/>
      <c r="H598" s="9"/>
      <c r="I598" s="58"/>
      <c r="J598" s="9"/>
      <c r="K598" s="9"/>
      <c r="L598" s="9"/>
      <c r="M598" s="9"/>
      <c r="N598" s="9"/>
      <c r="O598" s="9"/>
      <c r="P598" s="9"/>
      <c r="Q598" s="9"/>
      <c r="R598" s="9"/>
      <c r="S598" s="9"/>
      <c r="T598" s="9"/>
      <c r="U598" s="9"/>
      <c r="V598" s="9"/>
      <c r="W598" s="9"/>
      <c r="X598" s="9"/>
      <c r="Y598" s="9"/>
      <c r="Z598" s="9"/>
      <c r="AA598" s="9"/>
      <c r="AB598" s="9"/>
      <c r="AC598" s="9"/>
      <c r="AD598" s="9"/>
      <c r="AE598" s="9"/>
      <c r="AF598" s="9"/>
    </row>
    <row r="599" spans="1:32" ht="54.95" customHeight="1" x14ac:dyDescent="0.2">
      <c r="A599" s="56"/>
      <c r="B599" s="9"/>
      <c r="C599" s="9"/>
      <c r="D599" s="9"/>
      <c r="E599" s="9"/>
      <c r="F599" s="9"/>
      <c r="G599" s="9"/>
      <c r="H599" s="9"/>
      <c r="I599" s="58"/>
      <c r="J599" s="9"/>
      <c r="K599" s="9"/>
      <c r="L599" s="9"/>
      <c r="M599" s="9"/>
      <c r="N599" s="9"/>
      <c r="O599" s="9"/>
      <c r="P599" s="9"/>
      <c r="Q599" s="9"/>
      <c r="R599" s="9"/>
      <c r="S599" s="9"/>
      <c r="T599" s="9"/>
      <c r="U599" s="9"/>
      <c r="V599" s="9"/>
      <c r="W599" s="9"/>
      <c r="X599" s="9"/>
      <c r="Y599" s="9"/>
      <c r="Z599" s="9"/>
      <c r="AA599" s="9"/>
      <c r="AB599" s="9"/>
      <c r="AC599" s="9"/>
      <c r="AD599" s="9"/>
      <c r="AE599" s="9"/>
      <c r="AF599" s="9"/>
    </row>
    <row r="600" spans="1:32" ht="54.95" customHeight="1" x14ac:dyDescent="0.2">
      <c r="A600" s="56"/>
      <c r="B600" s="9"/>
      <c r="C600" s="9"/>
      <c r="D600" s="9"/>
      <c r="E600" s="9"/>
      <c r="F600" s="9"/>
      <c r="G600" s="9"/>
      <c r="H600" s="9"/>
      <c r="I600" s="58"/>
      <c r="J600" s="9"/>
      <c r="K600" s="9"/>
      <c r="L600" s="9"/>
      <c r="M600" s="9"/>
      <c r="N600" s="9"/>
      <c r="O600" s="9"/>
      <c r="P600" s="9"/>
      <c r="Q600" s="9"/>
      <c r="R600" s="9"/>
      <c r="S600" s="9"/>
      <c r="T600" s="9"/>
      <c r="U600" s="9"/>
      <c r="V600" s="9"/>
      <c r="W600" s="9"/>
      <c r="X600" s="9"/>
      <c r="Y600" s="9"/>
      <c r="Z600" s="9"/>
      <c r="AA600" s="9"/>
      <c r="AB600" s="9"/>
      <c r="AC600" s="9"/>
      <c r="AD600" s="9"/>
      <c r="AE600" s="9"/>
      <c r="AF600" s="9"/>
    </row>
    <row r="601" spans="1:32" ht="54.95" customHeight="1" x14ac:dyDescent="0.2">
      <c r="A601" s="56"/>
      <c r="B601" s="9"/>
      <c r="C601" s="9"/>
      <c r="D601" s="9"/>
      <c r="E601" s="9"/>
      <c r="F601" s="9"/>
      <c r="G601" s="9"/>
      <c r="H601" s="9"/>
      <c r="I601" s="58"/>
      <c r="J601" s="9"/>
      <c r="K601" s="9"/>
      <c r="L601" s="9"/>
      <c r="M601" s="9"/>
      <c r="N601" s="9"/>
      <c r="O601" s="9"/>
      <c r="P601" s="9"/>
      <c r="Q601" s="9"/>
      <c r="R601" s="9"/>
      <c r="S601" s="9"/>
      <c r="T601" s="9"/>
      <c r="U601" s="9"/>
      <c r="V601" s="9"/>
      <c r="W601" s="9"/>
      <c r="X601" s="9"/>
      <c r="Y601" s="9"/>
      <c r="Z601" s="9"/>
      <c r="AA601" s="9"/>
      <c r="AB601" s="9"/>
      <c r="AC601" s="9"/>
      <c r="AD601" s="9"/>
      <c r="AE601" s="9"/>
      <c r="AF601" s="9"/>
    </row>
    <row r="602" spans="1:32" ht="54.95" customHeight="1" x14ac:dyDescent="0.2">
      <c r="A602" s="56"/>
      <c r="B602" s="9"/>
      <c r="C602" s="9"/>
      <c r="D602" s="9"/>
      <c r="E602" s="9"/>
      <c r="F602" s="9"/>
      <c r="G602" s="9"/>
      <c r="H602" s="9"/>
      <c r="I602" s="58"/>
      <c r="J602" s="9"/>
      <c r="K602" s="9"/>
      <c r="L602" s="9"/>
      <c r="M602" s="9"/>
      <c r="N602" s="9"/>
      <c r="O602" s="9"/>
      <c r="P602" s="9"/>
      <c r="Q602" s="9"/>
      <c r="R602" s="9"/>
      <c r="S602" s="9"/>
      <c r="T602" s="9"/>
      <c r="U602" s="9"/>
      <c r="V602" s="9"/>
      <c r="W602" s="9"/>
      <c r="X602" s="9"/>
      <c r="Y602" s="9"/>
      <c r="Z602" s="9"/>
      <c r="AA602" s="9"/>
      <c r="AB602" s="9"/>
      <c r="AC602" s="9"/>
      <c r="AD602" s="9"/>
      <c r="AE602" s="9"/>
      <c r="AF602" s="9"/>
    </row>
    <row r="603" spans="1:32" ht="54.95" customHeight="1" x14ac:dyDescent="0.2">
      <c r="A603" s="56"/>
      <c r="B603" s="9"/>
      <c r="C603" s="9"/>
      <c r="D603" s="9"/>
      <c r="E603" s="9"/>
      <c r="F603" s="9"/>
      <c r="G603" s="9"/>
      <c r="H603" s="9"/>
      <c r="I603" s="58"/>
      <c r="J603" s="9"/>
      <c r="K603" s="9"/>
      <c r="L603" s="9"/>
      <c r="M603" s="9"/>
      <c r="N603" s="9"/>
      <c r="O603" s="9"/>
      <c r="P603" s="9"/>
      <c r="Q603" s="9"/>
      <c r="R603" s="9"/>
      <c r="S603" s="9"/>
      <c r="T603" s="9"/>
      <c r="U603" s="9"/>
      <c r="V603" s="9"/>
      <c r="W603" s="9"/>
      <c r="X603" s="9"/>
      <c r="Y603" s="9"/>
      <c r="Z603" s="9"/>
      <c r="AA603" s="9"/>
      <c r="AB603" s="9"/>
      <c r="AC603" s="9"/>
      <c r="AD603" s="9"/>
      <c r="AE603" s="9"/>
      <c r="AF603" s="9"/>
    </row>
    <row r="604" spans="1:32" ht="54.95" customHeight="1" x14ac:dyDescent="0.2">
      <c r="A604" s="56"/>
      <c r="B604" s="9"/>
      <c r="C604" s="9"/>
      <c r="D604" s="9"/>
      <c r="E604" s="9"/>
      <c r="F604" s="9"/>
      <c r="G604" s="9"/>
      <c r="H604" s="9"/>
      <c r="I604" s="58"/>
      <c r="J604" s="9"/>
      <c r="K604" s="9"/>
      <c r="L604" s="9"/>
      <c r="M604" s="9"/>
      <c r="N604" s="9"/>
      <c r="O604" s="9"/>
      <c r="P604" s="9"/>
      <c r="Q604" s="9"/>
      <c r="R604" s="9"/>
      <c r="S604" s="9"/>
      <c r="T604" s="9"/>
      <c r="U604" s="9"/>
      <c r="V604" s="9"/>
      <c r="W604" s="9"/>
      <c r="X604" s="9"/>
      <c r="Y604" s="9"/>
      <c r="Z604" s="9"/>
      <c r="AA604" s="9"/>
      <c r="AB604" s="9"/>
      <c r="AC604" s="9"/>
      <c r="AD604" s="9"/>
      <c r="AE604" s="9"/>
      <c r="AF604" s="9"/>
    </row>
    <row r="605" spans="1:32" ht="54.95" customHeight="1" x14ac:dyDescent="0.2">
      <c r="A605" s="56"/>
      <c r="B605" s="9"/>
      <c r="C605" s="9"/>
      <c r="D605" s="9"/>
      <c r="E605" s="9"/>
      <c r="F605" s="9"/>
      <c r="G605" s="9"/>
      <c r="H605" s="9"/>
      <c r="I605" s="58"/>
      <c r="J605" s="9"/>
      <c r="K605" s="9"/>
      <c r="L605" s="9"/>
      <c r="M605" s="9"/>
      <c r="N605" s="9"/>
      <c r="O605" s="9"/>
      <c r="P605" s="9"/>
      <c r="Q605" s="9"/>
      <c r="R605" s="9"/>
      <c r="S605" s="9"/>
      <c r="T605" s="9"/>
      <c r="U605" s="9"/>
      <c r="V605" s="9"/>
      <c r="W605" s="9"/>
      <c r="X605" s="9"/>
      <c r="Y605" s="9"/>
      <c r="Z605" s="9"/>
      <c r="AA605" s="9"/>
      <c r="AB605" s="9"/>
      <c r="AC605" s="9"/>
      <c r="AD605" s="9"/>
      <c r="AE605" s="9"/>
      <c r="AF605" s="9"/>
    </row>
    <row r="606" spans="1:32" ht="54.95" customHeight="1" x14ac:dyDescent="0.2">
      <c r="A606" s="56"/>
      <c r="B606" s="9"/>
      <c r="C606" s="9"/>
      <c r="D606" s="9"/>
      <c r="E606" s="9"/>
      <c r="F606" s="9"/>
      <c r="G606" s="9"/>
      <c r="H606" s="9"/>
      <c r="I606" s="58"/>
      <c r="J606" s="9"/>
      <c r="K606" s="9"/>
      <c r="L606" s="9"/>
      <c r="M606" s="9"/>
      <c r="N606" s="9"/>
      <c r="O606" s="9"/>
      <c r="P606" s="9"/>
      <c r="Q606" s="9"/>
      <c r="R606" s="9"/>
      <c r="S606" s="9"/>
      <c r="T606" s="9"/>
      <c r="U606" s="9"/>
      <c r="V606" s="9"/>
      <c r="W606" s="9"/>
      <c r="X606" s="9"/>
      <c r="Y606" s="9"/>
      <c r="Z606" s="9"/>
      <c r="AA606" s="9"/>
      <c r="AB606" s="9"/>
      <c r="AC606" s="9"/>
      <c r="AD606" s="9"/>
      <c r="AE606" s="9"/>
      <c r="AF606" s="9"/>
    </row>
    <row r="607" spans="1:32" ht="54.95" customHeight="1" x14ac:dyDescent="0.2">
      <c r="A607" s="56"/>
      <c r="B607" s="9"/>
      <c r="C607" s="9"/>
      <c r="D607" s="9"/>
      <c r="E607" s="9"/>
      <c r="F607" s="9"/>
      <c r="G607" s="9"/>
      <c r="H607" s="9"/>
      <c r="I607" s="58"/>
      <c r="J607" s="9"/>
      <c r="K607" s="9"/>
      <c r="L607" s="9"/>
      <c r="M607" s="9"/>
      <c r="N607" s="9"/>
      <c r="O607" s="9"/>
      <c r="P607" s="9"/>
      <c r="Q607" s="9"/>
      <c r="R607" s="9"/>
      <c r="S607" s="9"/>
      <c r="T607" s="9"/>
      <c r="U607" s="9"/>
      <c r="V607" s="9"/>
      <c r="W607" s="9"/>
      <c r="X607" s="9"/>
      <c r="Y607" s="9"/>
      <c r="Z607" s="9"/>
      <c r="AA607" s="9"/>
      <c r="AB607" s="9"/>
      <c r="AC607" s="9"/>
      <c r="AD607" s="9"/>
      <c r="AE607" s="9"/>
      <c r="AF607" s="9"/>
    </row>
    <row r="608" spans="1:32" ht="54.95" customHeight="1" x14ac:dyDescent="0.2">
      <c r="A608" s="56"/>
      <c r="B608" s="9"/>
      <c r="C608" s="9"/>
      <c r="D608" s="9"/>
      <c r="E608" s="9"/>
      <c r="F608" s="9"/>
      <c r="G608" s="9"/>
      <c r="H608" s="9"/>
      <c r="I608" s="58"/>
      <c r="J608" s="9"/>
      <c r="K608" s="9"/>
      <c r="L608" s="9"/>
      <c r="M608" s="9"/>
      <c r="N608" s="9"/>
      <c r="O608" s="9"/>
      <c r="P608" s="9"/>
      <c r="Q608" s="9"/>
      <c r="R608" s="9"/>
      <c r="S608" s="9"/>
      <c r="T608" s="9"/>
      <c r="U608" s="9"/>
      <c r="V608" s="9"/>
      <c r="W608" s="9"/>
      <c r="X608" s="9"/>
      <c r="Y608" s="9"/>
      <c r="Z608" s="9"/>
      <c r="AA608" s="9"/>
      <c r="AB608" s="9"/>
      <c r="AC608" s="9"/>
      <c r="AD608" s="9"/>
      <c r="AE608" s="9"/>
      <c r="AF608" s="9"/>
    </row>
    <row r="609" spans="1:32" ht="54.95" customHeight="1" x14ac:dyDescent="0.2">
      <c r="A609" s="56"/>
      <c r="B609" s="9"/>
      <c r="C609" s="9"/>
      <c r="D609" s="9"/>
      <c r="E609" s="9"/>
      <c r="F609" s="9"/>
      <c r="G609" s="9"/>
      <c r="H609" s="9"/>
      <c r="I609" s="58"/>
      <c r="J609" s="9"/>
      <c r="K609" s="9"/>
      <c r="L609" s="9"/>
      <c r="M609" s="9"/>
      <c r="N609" s="9"/>
      <c r="O609" s="9"/>
      <c r="P609" s="9"/>
      <c r="Q609" s="9"/>
      <c r="R609" s="9"/>
      <c r="S609" s="9"/>
      <c r="T609" s="9"/>
      <c r="U609" s="9"/>
      <c r="V609" s="9"/>
      <c r="W609" s="9"/>
      <c r="X609" s="9"/>
      <c r="Y609" s="9"/>
      <c r="Z609" s="9"/>
      <c r="AA609" s="9"/>
      <c r="AB609" s="9"/>
      <c r="AC609" s="9"/>
      <c r="AD609" s="9"/>
      <c r="AE609" s="9"/>
      <c r="AF609" s="9"/>
    </row>
    <row r="610" spans="1:32" ht="54.95" customHeight="1" x14ac:dyDescent="0.2">
      <c r="A610" s="56"/>
      <c r="B610" s="9"/>
      <c r="C610" s="9"/>
      <c r="D610" s="9"/>
      <c r="E610" s="9"/>
      <c r="F610" s="9"/>
      <c r="G610" s="9"/>
      <c r="H610" s="9"/>
      <c r="I610" s="58"/>
      <c r="J610" s="9"/>
      <c r="K610" s="9"/>
      <c r="L610" s="9"/>
      <c r="M610" s="9"/>
      <c r="N610" s="9"/>
      <c r="O610" s="9"/>
      <c r="P610" s="9"/>
      <c r="Q610" s="9"/>
      <c r="R610" s="9"/>
      <c r="S610" s="9"/>
      <c r="T610" s="9"/>
      <c r="U610" s="9"/>
      <c r="V610" s="9"/>
      <c r="W610" s="9"/>
      <c r="X610" s="9"/>
      <c r="Y610" s="9"/>
      <c r="Z610" s="9"/>
      <c r="AA610" s="9"/>
      <c r="AB610" s="9"/>
      <c r="AC610" s="9"/>
      <c r="AD610" s="9"/>
      <c r="AE610" s="9"/>
      <c r="AF610" s="9"/>
    </row>
    <row r="611" spans="1:32" ht="54.95" customHeight="1" x14ac:dyDescent="0.2">
      <c r="A611" s="56"/>
      <c r="B611" s="9"/>
      <c r="C611" s="9"/>
      <c r="D611" s="9"/>
      <c r="E611" s="9"/>
      <c r="F611" s="9"/>
      <c r="G611" s="9"/>
      <c r="H611" s="9"/>
      <c r="I611" s="58"/>
      <c r="J611" s="9"/>
      <c r="K611" s="9"/>
      <c r="L611" s="9"/>
      <c r="M611" s="9"/>
      <c r="N611" s="9"/>
      <c r="O611" s="9"/>
      <c r="P611" s="9"/>
      <c r="Q611" s="9"/>
      <c r="R611" s="9"/>
      <c r="S611" s="9"/>
      <c r="T611" s="9"/>
      <c r="U611" s="9"/>
      <c r="V611" s="9"/>
      <c r="W611" s="9"/>
      <c r="X611" s="9"/>
      <c r="Y611" s="9"/>
      <c r="Z611" s="9"/>
      <c r="AA611" s="9"/>
      <c r="AB611" s="9"/>
      <c r="AC611" s="9"/>
      <c r="AD611" s="9"/>
      <c r="AE611" s="9"/>
      <c r="AF611" s="9"/>
    </row>
    <row r="612" spans="1:32" ht="54.95" customHeight="1" x14ac:dyDescent="0.2">
      <c r="A612" s="56"/>
      <c r="B612" s="9"/>
      <c r="C612" s="9"/>
      <c r="D612" s="9"/>
      <c r="E612" s="9"/>
      <c r="F612" s="9"/>
      <c r="G612" s="9"/>
      <c r="H612" s="9"/>
      <c r="I612" s="58"/>
      <c r="J612" s="9"/>
      <c r="K612" s="9"/>
      <c r="L612" s="9"/>
      <c r="M612" s="9"/>
      <c r="N612" s="9"/>
      <c r="O612" s="9"/>
      <c r="P612" s="9"/>
      <c r="Q612" s="9"/>
      <c r="R612" s="9"/>
      <c r="S612" s="9"/>
      <c r="T612" s="9"/>
      <c r="U612" s="9"/>
      <c r="V612" s="9"/>
      <c r="W612" s="9"/>
      <c r="X612" s="9"/>
      <c r="Y612" s="9"/>
      <c r="Z612" s="9"/>
      <c r="AA612" s="9"/>
      <c r="AB612" s="9"/>
      <c r="AC612" s="9"/>
      <c r="AD612" s="9"/>
      <c r="AE612" s="9"/>
      <c r="AF612" s="9"/>
    </row>
    <row r="613" spans="1:32" ht="54.95" customHeight="1" x14ac:dyDescent="0.2">
      <c r="A613" s="56"/>
      <c r="B613" s="9"/>
      <c r="C613" s="9"/>
      <c r="D613" s="9"/>
      <c r="E613" s="9"/>
      <c r="F613" s="9"/>
      <c r="G613" s="9"/>
      <c r="H613" s="9"/>
      <c r="I613" s="58"/>
      <c r="J613" s="9"/>
      <c r="K613" s="9"/>
      <c r="L613" s="9"/>
      <c r="M613" s="9"/>
      <c r="N613" s="9"/>
      <c r="O613" s="9"/>
      <c r="P613" s="9"/>
      <c r="Q613" s="9"/>
      <c r="R613" s="9"/>
      <c r="S613" s="9"/>
      <c r="T613" s="9"/>
      <c r="U613" s="9"/>
      <c r="V613" s="9"/>
      <c r="W613" s="9"/>
      <c r="X613" s="9"/>
      <c r="Y613" s="9"/>
      <c r="Z613" s="9"/>
      <c r="AA613" s="9"/>
      <c r="AB613" s="9"/>
      <c r="AC613" s="9"/>
      <c r="AD613" s="9"/>
      <c r="AE613" s="9"/>
      <c r="AF613" s="9"/>
    </row>
    <row r="614" spans="1:32" ht="54.95" customHeight="1" x14ac:dyDescent="0.2">
      <c r="A614" s="56"/>
      <c r="B614" s="9"/>
      <c r="C614" s="9"/>
      <c r="D614" s="9"/>
      <c r="E614" s="9"/>
      <c r="F614" s="9"/>
      <c r="G614" s="9"/>
      <c r="H614" s="9"/>
      <c r="I614" s="58"/>
      <c r="J614" s="9"/>
      <c r="K614" s="9"/>
      <c r="L614" s="9"/>
      <c r="M614" s="9"/>
      <c r="N614" s="9"/>
      <c r="O614" s="9"/>
      <c r="P614" s="9"/>
      <c r="Q614" s="9"/>
      <c r="R614" s="9"/>
      <c r="S614" s="9"/>
      <c r="T614" s="9"/>
      <c r="U614" s="9"/>
      <c r="V614" s="9"/>
      <c r="W614" s="9"/>
      <c r="X614" s="9"/>
      <c r="Y614" s="9"/>
      <c r="Z614" s="9"/>
      <c r="AA614" s="9"/>
      <c r="AB614" s="9"/>
      <c r="AC614" s="9"/>
      <c r="AD614" s="9"/>
      <c r="AE614" s="9"/>
      <c r="AF614" s="9"/>
    </row>
    <row r="615" spans="1:32" ht="54.95" customHeight="1" x14ac:dyDescent="0.2">
      <c r="A615" s="56"/>
      <c r="B615" s="9"/>
      <c r="C615" s="9"/>
      <c r="D615" s="9"/>
      <c r="E615" s="9"/>
      <c r="F615" s="9"/>
      <c r="G615" s="9"/>
      <c r="H615" s="9"/>
      <c r="I615" s="58"/>
      <c r="J615" s="9"/>
      <c r="K615" s="9"/>
      <c r="L615" s="9"/>
      <c r="M615" s="9"/>
      <c r="N615" s="9"/>
      <c r="O615" s="9"/>
      <c r="P615" s="9"/>
      <c r="Q615" s="9"/>
      <c r="R615" s="9"/>
      <c r="S615" s="9"/>
      <c r="T615" s="9"/>
      <c r="U615" s="9"/>
      <c r="V615" s="9"/>
      <c r="W615" s="9"/>
      <c r="X615" s="9"/>
      <c r="Y615" s="9"/>
      <c r="Z615" s="9"/>
      <c r="AA615" s="9"/>
      <c r="AB615" s="9"/>
      <c r="AC615" s="9"/>
      <c r="AD615" s="9"/>
      <c r="AE615" s="9"/>
      <c r="AF615" s="9"/>
    </row>
    <row r="616" spans="1:32" ht="54.95" customHeight="1" x14ac:dyDescent="0.2">
      <c r="A616" s="56"/>
      <c r="B616" s="9"/>
      <c r="C616" s="9"/>
      <c r="D616" s="9"/>
      <c r="E616" s="9"/>
      <c r="F616" s="9"/>
      <c r="G616" s="9"/>
      <c r="H616" s="9"/>
      <c r="I616" s="58"/>
      <c r="J616" s="9"/>
      <c r="K616" s="9"/>
      <c r="L616" s="9"/>
      <c r="M616" s="9"/>
      <c r="N616" s="9"/>
      <c r="O616" s="9"/>
      <c r="P616" s="9"/>
      <c r="Q616" s="9"/>
      <c r="R616" s="9"/>
      <c r="S616" s="9"/>
      <c r="T616" s="9"/>
      <c r="U616" s="9"/>
      <c r="V616" s="9"/>
      <c r="W616" s="9"/>
      <c r="X616" s="9"/>
      <c r="Y616" s="9"/>
      <c r="Z616" s="9"/>
      <c r="AA616" s="9"/>
      <c r="AB616" s="9"/>
      <c r="AC616" s="9"/>
      <c r="AD616" s="9"/>
      <c r="AE616" s="9"/>
      <c r="AF616" s="9"/>
    </row>
    <row r="617" spans="1:32" ht="54.95" customHeight="1" x14ac:dyDescent="0.2">
      <c r="A617" s="56"/>
      <c r="B617" s="9"/>
      <c r="C617" s="9"/>
      <c r="D617" s="9"/>
      <c r="E617" s="9"/>
      <c r="F617" s="9"/>
      <c r="G617" s="9"/>
      <c r="H617" s="9"/>
      <c r="I617" s="58"/>
      <c r="J617" s="9"/>
      <c r="K617" s="9"/>
      <c r="L617" s="9"/>
      <c r="M617" s="9"/>
      <c r="N617" s="9"/>
      <c r="O617" s="9"/>
      <c r="P617" s="9"/>
      <c r="Q617" s="9"/>
      <c r="R617" s="9"/>
      <c r="S617" s="9"/>
      <c r="T617" s="9"/>
      <c r="U617" s="9"/>
      <c r="V617" s="9"/>
      <c r="W617" s="9"/>
      <c r="X617" s="9"/>
      <c r="Y617" s="9"/>
      <c r="Z617" s="9"/>
      <c r="AA617" s="9"/>
      <c r="AB617" s="9"/>
      <c r="AC617" s="9"/>
      <c r="AD617" s="9"/>
      <c r="AE617" s="9"/>
      <c r="AF617" s="9"/>
    </row>
    <row r="618" spans="1:32" ht="54.95" customHeight="1" x14ac:dyDescent="0.2">
      <c r="A618" s="56"/>
      <c r="B618" s="9"/>
      <c r="C618" s="9"/>
      <c r="D618" s="9"/>
      <c r="E618" s="9"/>
      <c r="F618" s="9"/>
      <c r="G618" s="9"/>
      <c r="H618" s="9"/>
      <c r="I618" s="58"/>
      <c r="J618" s="9"/>
      <c r="K618" s="9"/>
      <c r="L618" s="9"/>
      <c r="M618" s="9"/>
      <c r="N618" s="9"/>
      <c r="O618" s="9"/>
      <c r="P618" s="9"/>
      <c r="Q618" s="9"/>
      <c r="R618" s="9"/>
      <c r="S618" s="9"/>
      <c r="T618" s="9"/>
      <c r="U618" s="9"/>
      <c r="V618" s="9"/>
      <c r="W618" s="9"/>
      <c r="X618" s="9"/>
      <c r="Y618" s="9"/>
      <c r="Z618" s="9"/>
      <c r="AA618" s="9"/>
      <c r="AB618" s="9"/>
      <c r="AC618" s="9"/>
      <c r="AD618" s="9"/>
      <c r="AE618" s="9"/>
      <c r="AF618" s="9"/>
    </row>
    <row r="619" spans="1:32" ht="54.95" customHeight="1" x14ac:dyDescent="0.2">
      <c r="A619" s="56"/>
      <c r="B619" s="9"/>
      <c r="C619" s="9"/>
      <c r="D619" s="9"/>
      <c r="E619" s="9"/>
      <c r="F619" s="9"/>
      <c r="G619" s="9"/>
      <c r="H619" s="9"/>
      <c r="I619" s="58"/>
      <c r="J619" s="9"/>
      <c r="K619" s="9"/>
      <c r="L619" s="9"/>
      <c r="M619" s="9"/>
      <c r="N619" s="9"/>
      <c r="O619" s="9"/>
      <c r="P619" s="9"/>
      <c r="Q619" s="9"/>
      <c r="R619" s="9"/>
      <c r="S619" s="9"/>
      <c r="T619" s="9"/>
      <c r="U619" s="9"/>
      <c r="V619" s="9"/>
      <c r="W619" s="9"/>
      <c r="X619" s="9"/>
      <c r="Y619" s="9"/>
      <c r="Z619" s="9"/>
      <c r="AA619" s="9"/>
      <c r="AB619" s="9"/>
      <c r="AC619" s="9"/>
      <c r="AD619" s="9"/>
      <c r="AE619" s="9"/>
      <c r="AF619" s="9"/>
    </row>
    <row r="620" spans="1:32" ht="54.95" customHeight="1" x14ac:dyDescent="0.2">
      <c r="A620" s="56"/>
      <c r="B620" s="9"/>
      <c r="C620" s="9"/>
      <c r="D620" s="9"/>
      <c r="E620" s="9"/>
      <c r="F620" s="9"/>
      <c r="G620" s="9"/>
      <c r="H620" s="9"/>
      <c r="I620" s="58"/>
      <c r="J620" s="9"/>
      <c r="K620" s="9"/>
      <c r="L620" s="9"/>
      <c r="M620" s="9"/>
      <c r="N620" s="9"/>
      <c r="O620" s="9"/>
      <c r="P620" s="9"/>
      <c r="Q620" s="9"/>
      <c r="R620" s="9"/>
      <c r="S620" s="9"/>
      <c r="T620" s="9"/>
      <c r="U620" s="9"/>
      <c r="V620" s="9"/>
      <c r="W620" s="9"/>
      <c r="X620" s="9"/>
      <c r="Y620" s="9"/>
      <c r="Z620" s="9"/>
      <c r="AA620" s="9"/>
      <c r="AB620" s="9"/>
      <c r="AC620" s="9"/>
      <c r="AD620" s="9"/>
      <c r="AE620" s="9"/>
      <c r="AF620" s="9"/>
    </row>
    <row r="621" spans="1:32" ht="54.95" customHeight="1" x14ac:dyDescent="0.2">
      <c r="A621" s="56"/>
      <c r="B621" s="9"/>
      <c r="C621" s="9"/>
      <c r="D621" s="9"/>
      <c r="E621" s="9"/>
      <c r="F621" s="9"/>
      <c r="G621" s="9"/>
      <c r="H621" s="9"/>
      <c r="I621" s="58"/>
      <c r="J621" s="9"/>
      <c r="K621" s="9"/>
      <c r="L621" s="9"/>
      <c r="M621" s="9"/>
      <c r="N621" s="9"/>
      <c r="O621" s="9"/>
      <c r="P621" s="9"/>
      <c r="Q621" s="9"/>
      <c r="R621" s="9"/>
      <c r="S621" s="9"/>
      <c r="T621" s="9"/>
      <c r="U621" s="9"/>
      <c r="V621" s="9"/>
      <c r="W621" s="9"/>
      <c r="X621" s="9"/>
      <c r="Y621" s="9"/>
      <c r="Z621" s="9"/>
      <c r="AA621" s="9"/>
      <c r="AB621" s="9"/>
      <c r="AC621" s="9"/>
      <c r="AD621" s="9"/>
      <c r="AE621" s="9"/>
      <c r="AF621" s="9"/>
    </row>
    <row r="622" spans="1:32" ht="54.95" customHeight="1" x14ac:dyDescent="0.2">
      <c r="A622" s="56"/>
      <c r="B622" s="9"/>
      <c r="C622" s="9"/>
      <c r="D622" s="9"/>
      <c r="E622" s="9"/>
      <c r="F622" s="9"/>
      <c r="G622" s="9"/>
      <c r="H622" s="9"/>
      <c r="I622" s="58"/>
      <c r="J622" s="9"/>
      <c r="K622" s="9"/>
      <c r="L622" s="9"/>
      <c r="M622" s="9"/>
      <c r="N622" s="9"/>
      <c r="O622" s="9"/>
      <c r="P622" s="9"/>
      <c r="Q622" s="9"/>
      <c r="R622" s="9"/>
      <c r="S622" s="9"/>
      <c r="T622" s="9"/>
      <c r="U622" s="9"/>
      <c r="V622" s="9"/>
      <c r="W622" s="9"/>
      <c r="X622" s="9"/>
      <c r="Y622" s="9"/>
      <c r="Z622" s="9"/>
      <c r="AA622" s="9"/>
      <c r="AB622" s="9"/>
      <c r="AC622" s="9"/>
      <c r="AD622" s="9"/>
      <c r="AE622" s="9"/>
      <c r="AF622" s="9"/>
    </row>
    <row r="623" spans="1:32" ht="54.95" customHeight="1" x14ac:dyDescent="0.2">
      <c r="A623" s="56"/>
      <c r="B623" s="9"/>
      <c r="C623" s="9"/>
      <c r="D623" s="9"/>
      <c r="E623" s="9"/>
      <c r="F623" s="9"/>
      <c r="G623" s="9"/>
      <c r="H623" s="9"/>
      <c r="I623" s="58"/>
      <c r="J623" s="9"/>
      <c r="K623" s="9"/>
      <c r="L623" s="9"/>
      <c r="M623" s="9"/>
      <c r="N623" s="9"/>
      <c r="O623" s="9"/>
      <c r="P623" s="9"/>
      <c r="Q623" s="9"/>
      <c r="R623" s="9"/>
      <c r="S623" s="9"/>
      <c r="T623" s="9"/>
      <c r="U623" s="9"/>
      <c r="V623" s="9"/>
      <c r="W623" s="9"/>
      <c r="X623" s="9"/>
      <c r="Y623" s="9"/>
      <c r="Z623" s="9"/>
      <c r="AA623" s="9"/>
      <c r="AB623" s="9"/>
      <c r="AC623" s="9"/>
      <c r="AD623" s="9"/>
      <c r="AE623" s="9"/>
      <c r="AF623" s="9"/>
    </row>
    <row r="624" spans="1:32" ht="54.95" customHeight="1" x14ac:dyDescent="0.2">
      <c r="A624" s="56"/>
      <c r="B624" s="9"/>
      <c r="C624" s="9"/>
      <c r="D624" s="9"/>
      <c r="E624" s="9"/>
      <c r="F624" s="9"/>
      <c r="G624" s="9"/>
      <c r="H624" s="9"/>
      <c r="I624" s="58"/>
      <c r="J624" s="9"/>
      <c r="K624" s="9"/>
      <c r="L624" s="9"/>
      <c r="M624" s="9"/>
      <c r="N624" s="9"/>
      <c r="O624" s="9"/>
      <c r="P624" s="9"/>
      <c r="Q624" s="9"/>
      <c r="R624" s="9"/>
      <c r="S624" s="9"/>
      <c r="T624" s="9"/>
      <c r="U624" s="9"/>
      <c r="V624" s="9"/>
      <c r="W624" s="9"/>
      <c r="X624" s="9"/>
      <c r="Y624" s="9"/>
      <c r="Z624" s="9"/>
      <c r="AA624" s="9"/>
      <c r="AB624" s="9"/>
      <c r="AC624" s="9"/>
      <c r="AD624" s="9"/>
      <c r="AE624" s="9"/>
      <c r="AF624" s="9"/>
    </row>
    <row r="625" spans="1:32" ht="54.95" customHeight="1" x14ac:dyDescent="0.2">
      <c r="A625" s="56"/>
      <c r="B625" s="9"/>
      <c r="C625" s="9"/>
      <c r="D625" s="9"/>
      <c r="E625" s="9"/>
      <c r="F625" s="9"/>
      <c r="G625" s="9"/>
      <c r="H625" s="9"/>
      <c r="I625" s="58"/>
      <c r="J625" s="9"/>
      <c r="K625" s="9"/>
      <c r="L625" s="9"/>
      <c r="M625" s="9"/>
      <c r="N625" s="9"/>
      <c r="O625" s="9"/>
      <c r="P625" s="9"/>
      <c r="Q625" s="9"/>
      <c r="R625" s="9"/>
      <c r="S625" s="9"/>
      <c r="T625" s="9"/>
      <c r="U625" s="9"/>
      <c r="V625" s="9"/>
      <c r="W625" s="9"/>
      <c r="X625" s="9"/>
      <c r="Y625" s="9"/>
      <c r="Z625" s="9"/>
      <c r="AA625" s="9"/>
      <c r="AB625" s="9"/>
      <c r="AC625" s="9"/>
      <c r="AD625" s="9"/>
      <c r="AE625" s="9"/>
      <c r="AF625" s="9"/>
    </row>
    <row r="626" spans="1:32" ht="54.95" customHeight="1" x14ac:dyDescent="0.2">
      <c r="A626" s="56"/>
      <c r="B626" s="9"/>
      <c r="C626" s="9"/>
      <c r="D626" s="9"/>
      <c r="E626" s="9"/>
      <c r="F626" s="9"/>
      <c r="G626" s="9"/>
      <c r="H626" s="9"/>
      <c r="I626" s="58"/>
      <c r="J626" s="9"/>
      <c r="K626" s="9"/>
      <c r="L626" s="9"/>
      <c r="M626" s="9"/>
      <c r="N626" s="9"/>
      <c r="O626" s="9"/>
      <c r="P626" s="9"/>
      <c r="Q626" s="9"/>
      <c r="R626" s="9"/>
      <c r="S626" s="9"/>
      <c r="T626" s="9"/>
      <c r="U626" s="9"/>
      <c r="V626" s="9"/>
      <c r="W626" s="9"/>
      <c r="X626" s="9"/>
      <c r="Y626" s="9"/>
      <c r="Z626" s="9"/>
      <c r="AA626" s="9"/>
      <c r="AB626" s="9"/>
      <c r="AC626" s="9"/>
      <c r="AD626" s="9"/>
      <c r="AE626" s="9"/>
      <c r="AF626" s="9"/>
    </row>
    <row r="627" spans="1:32" ht="54.95" customHeight="1" x14ac:dyDescent="0.2">
      <c r="A627" s="56"/>
      <c r="B627" s="9"/>
      <c r="C627" s="9"/>
      <c r="D627" s="9"/>
      <c r="E627" s="9"/>
      <c r="F627" s="9"/>
      <c r="G627" s="9"/>
      <c r="H627" s="9"/>
      <c r="I627" s="58"/>
      <c r="J627" s="9"/>
      <c r="K627" s="9"/>
      <c r="L627" s="9"/>
      <c r="M627" s="9"/>
      <c r="N627" s="9"/>
      <c r="O627" s="9"/>
      <c r="P627" s="9"/>
      <c r="Q627" s="9"/>
      <c r="R627" s="9"/>
      <c r="S627" s="9"/>
      <c r="T627" s="9"/>
      <c r="U627" s="9"/>
      <c r="V627" s="9"/>
      <c r="W627" s="9"/>
      <c r="X627" s="9"/>
      <c r="Y627" s="9"/>
      <c r="Z627" s="9"/>
      <c r="AA627" s="9"/>
      <c r="AB627" s="9"/>
      <c r="AC627" s="9"/>
      <c r="AD627" s="9"/>
      <c r="AE627" s="9"/>
      <c r="AF627" s="9"/>
    </row>
    <row r="628" spans="1:32" ht="54.95" customHeight="1" x14ac:dyDescent="0.2">
      <c r="A628" s="56"/>
      <c r="B628" s="9"/>
      <c r="C628" s="9"/>
      <c r="D628" s="9"/>
      <c r="E628" s="9"/>
      <c r="F628" s="9"/>
      <c r="G628" s="9"/>
      <c r="H628" s="9"/>
      <c r="I628" s="58"/>
      <c r="J628" s="9"/>
      <c r="K628" s="9"/>
      <c r="L628" s="9"/>
      <c r="M628" s="9"/>
      <c r="N628" s="9"/>
      <c r="O628" s="9"/>
      <c r="P628" s="9"/>
      <c r="Q628" s="9"/>
      <c r="R628" s="9"/>
      <c r="S628" s="9"/>
      <c r="T628" s="9"/>
      <c r="U628" s="9"/>
      <c r="V628" s="9"/>
      <c r="W628" s="9"/>
      <c r="X628" s="9"/>
      <c r="Y628" s="9"/>
      <c r="Z628" s="9"/>
      <c r="AA628" s="9"/>
      <c r="AB628" s="9"/>
      <c r="AC628" s="9"/>
      <c r="AD628" s="9"/>
      <c r="AE628" s="9"/>
      <c r="AF628" s="9"/>
    </row>
    <row r="629" spans="1:32" ht="54.95" customHeight="1" x14ac:dyDescent="0.2">
      <c r="A629" s="56"/>
      <c r="B629" s="9"/>
      <c r="C629" s="9"/>
      <c r="D629" s="9"/>
      <c r="E629" s="9"/>
      <c r="F629" s="9"/>
      <c r="G629" s="9"/>
      <c r="H629" s="9"/>
      <c r="I629" s="58"/>
      <c r="J629" s="9"/>
      <c r="K629" s="9"/>
      <c r="L629" s="9"/>
      <c r="M629" s="9"/>
      <c r="N629" s="9"/>
      <c r="O629" s="9"/>
      <c r="P629" s="9"/>
      <c r="Q629" s="9"/>
      <c r="R629" s="9"/>
      <c r="S629" s="9"/>
      <c r="T629" s="9"/>
      <c r="U629" s="9"/>
      <c r="V629" s="9"/>
      <c r="W629" s="9"/>
      <c r="X629" s="9"/>
      <c r="Y629" s="9"/>
      <c r="Z629" s="9"/>
      <c r="AA629" s="9"/>
      <c r="AB629" s="9"/>
      <c r="AC629" s="9"/>
      <c r="AD629" s="9"/>
      <c r="AE629" s="9"/>
      <c r="AF629" s="9"/>
    </row>
    <row r="630" spans="1:32" ht="54.95" customHeight="1" x14ac:dyDescent="0.2">
      <c r="A630" s="56"/>
      <c r="B630" s="9"/>
      <c r="C630" s="9"/>
      <c r="D630" s="9"/>
      <c r="E630" s="9"/>
      <c r="F630" s="9"/>
      <c r="G630" s="9"/>
      <c r="H630" s="9"/>
      <c r="I630" s="58"/>
      <c r="J630" s="9"/>
      <c r="K630" s="9"/>
      <c r="L630" s="9"/>
      <c r="M630" s="9"/>
      <c r="N630" s="9"/>
      <c r="O630" s="9"/>
      <c r="P630" s="9"/>
      <c r="Q630" s="9"/>
      <c r="R630" s="9"/>
      <c r="S630" s="9"/>
      <c r="T630" s="9"/>
      <c r="U630" s="9"/>
      <c r="V630" s="9"/>
      <c r="W630" s="9"/>
      <c r="X630" s="9"/>
      <c r="Y630" s="9"/>
      <c r="Z630" s="9"/>
      <c r="AA630" s="9"/>
      <c r="AB630" s="9"/>
      <c r="AC630" s="9"/>
      <c r="AD630" s="9"/>
      <c r="AE630" s="9"/>
      <c r="AF630" s="9"/>
    </row>
    <row r="631" spans="1:32" ht="54.95" customHeight="1" x14ac:dyDescent="0.2">
      <c r="A631" s="56"/>
      <c r="B631" s="9"/>
      <c r="C631" s="9"/>
      <c r="D631" s="9"/>
      <c r="E631" s="9"/>
      <c r="F631" s="9"/>
      <c r="G631" s="9"/>
      <c r="H631" s="9"/>
      <c r="I631" s="58"/>
      <c r="J631" s="9"/>
      <c r="K631" s="9"/>
      <c r="L631" s="9"/>
      <c r="M631" s="9"/>
      <c r="N631" s="9"/>
      <c r="O631" s="9"/>
      <c r="P631" s="9"/>
      <c r="Q631" s="9"/>
      <c r="R631" s="9"/>
      <c r="S631" s="9"/>
      <c r="T631" s="9"/>
      <c r="U631" s="9"/>
      <c r="V631" s="9"/>
      <c r="W631" s="9"/>
      <c r="X631" s="9"/>
      <c r="Y631" s="9"/>
      <c r="Z631" s="9"/>
      <c r="AA631" s="9"/>
      <c r="AB631" s="9"/>
      <c r="AC631" s="9"/>
      <c r="AD631" s="9"/>
      <c r="AE631" s="9"/>
      <c r="AF631" s="9"/>
    </row>
    <row r="632" spans="1:32" ht="54.95" customHeight="1" x14ac:dyDescent="0.2">
      <c r="A632" s="56"/>
      <c r="B632" s="9"/>
      <c r="C632" s="9"/>
      <c r="D632" s="9"/>
      <c r="E632" s="9"/>
      <c r="F632" s="9"/>
      <c r="G632" s="9"/>
      <c r="H632" s="9"/>
      <c r="I632" s="58"/>
      <c r="J632" s="9"/>
      <c r="K632" s="9"/>
      <c r="L632" s="9"/>
      <c r="M632" s="9"/>
      <c r="N632" s="9"/>
      <c r="O632" s="9"/>
      <c r="P632" s="9"/>
      <c r="Q632" s="9"/>
      <c r="R632" s="9"/>
      <c r="S632" s="9"/>
      <c r="T632" s="9"/>
      <c r="U632" s="9"/>
      <c r="V632" s="9"/>
      <c r="W632" s="9"/>
      <c r="X632" s="9"/>
      <c r="Y632" s="9"/>
      <c r="Z632" s="9"/>
      <c r="AA632" s="9"/>
      <c r="AB632" s="9"/>
      <c r="AC632" s="9"/>
      <c r="AD632" s="9"/>
      <c r="AE632" s="9"/>
      <c r="AF632" s="9"/>
    </row>
    <row r="633" spans="1:32" ht="54.95" customHeight="1" x14ac:dyDescent="0.2">
      <c r="A633" s="56"/>
      <c r="B633" s="9"/>
      <c r="C633" s="9"/>
      <c r="D633" s="9"/>
      <c r="E633" s="9"/>
      <c r="F633" s="9"/>
      <c r="G633" s="9"/>
      <c r="H633" s="9"/>
      <c r="I633" s="58"/>
      <c r="J633" s="9"/>
      <c r="K633" s="9"/>
      <c r="L633" s="9"/>
      <c r="M633" s="9"/>
      <c r="N633" s="9"/>
      <c r="O633" s="9"/>
      <c r="P633" s="9"/>
      <c r="Q633" s="9"/>
      <c r="R633" s="9"/>
      <c r="S633" s="9"/>
      <c r="T633" s="9"/>
      <c r="U633" s="9"/>
      <c r="V633" s="9"/>
      <c r="W633" s="9"/>
      <c r="X633" s="9"/>
      <c r="Y633" s="9"/>
      <c r="Z633" s="9"/>
      <c r="AA633" s="9"/>
      <c r="AB633" s="9"/>
      <c r="AC633" s="9"/>
      <c r="AD633" s="9"/>
      <c r="AE633" s="9"/>
      <c r="AF633" s="9"/>
    </row>
    <row r="634" spans="1:32" ht="54.95" customHeight="1" x14ac:dyDescent="0.2">
      <c r="A634" s="56"/>
      <c r="B634" s="9"/>
      <c r="C634" s="9"/>
      <c r="D634" s="9"/>
      <c r="E634" s="9"/>
      <c r="F634" s="9"/>
      <c r="G634" s="9"/>
      <c r="H634" s="9"/>
      <c r="I634" s="58"/>
      <c r="J634" s="9"/>
      <c r="K634" s="9"/>
      <c r="L634" s="9"/>
      <c r="M634" s="9"/>
      <c r="N634" s="9"/>
      <c r="O634" s="9"/>
      <c r="P634" s="9"/>
      <c r="Q634" s="9"/>
      <c r="R634" s="9"/>
      <c r="S634" s="9"/>
      <c r="T634" s="9"/>
      <c r="U634" s="9"/>
      <c r="V634" s="9"/>
      <c r="W634" s="9"/>
      <c r="X634" s="9"/>
      <c r="Y634" s="9"/>
      <c r="Z634" s="9"/>
      <c r="AA634" s="9"/>
      <c r="AB634" s="9"/>
      <c r="AC634" s="9"/>
      <c r="AD634" s="9"/>
      <c r="AE634" s="9"/>
      <c r="AF634" s="9"/>
    </row>
    <row r="635" spans="1:32" ht="54.95" customHeight="1" x14ac:dyDescent="0.2">
      <c r="A635" s="56"/>
      <c r="B635" s="9"/>
      <c r="C635" s="9"/>
      <c r="D635" s="9"/>
      <c r="E635" s="9"/>
      <c r="F635" s="9"/>
      <c r="G635" s="9"/>
      <c r="H635" s="9"/>
      <c r="I635" s="58"/>
      <c r="J635" s="9"/>
      <c r="K635" s="9"/>
      <c r="L635" s="9"/>
      <c r="M635" s="9"/>
      <c r="N635" s="9"/>
      <c r="O635" s="9"/>
      <c r="P635" s="9"/>
      <c r="Q635" s="9"/>
      <c r="R635" s="9"/>
      <c r="S635" s="9"/>
      <c r="T635" s="9"/>
      <c r="U635" s="9"/>
      <c r="V635" s="9"/>
      <c r="W635" s="9"/>
      <c r="X635" s="9"/>
      <c r="Y635" s="9"/>
      <c r="Z635" s="9"/>
      <c r="AA635" s="9"/>
      <c r="AB635" s="9"/>
      <c r="AC635" s="9"/>
      <c r="AD635" s="9"/>
      <c r="AE635" s="9"/>
      <c r="AF635" s="9"/>
    </row>
    <row r="636" spans="1:32" ht="54.95" customHeight="1" x14ac:dyDescent="0.2">
      <c r="A636" s="56"/>
      <c r="B636" s="9"/>
      <c r="C636" s="9"/>
      <c r="D636" s="9"/>
      <c r="E636" s="9"/>
      <c r="F636" s="9"/>
      <c r="G636" s="9"/>
      <c r="H636" s="9"/>
      <c r="I636" s="58"/>
      <c r="J636" s="9"/>
      <c r="K636" s="9"/>
      <c r="L636" s="9"/>
      <c r="M636" s="9"/>
      <c r="N636" s="9"/>
      <c r="O636" s="9"/>
      <c r="P636" s="9"/>
      <c r="Q636" s="9"/>
      <c r="R636" s="9"/>
      <c r="S636" s="9"/>
      <c r="T636" s="9"/>
      <c r="U636" s="9"/>
      <c r="V636" s="9"/>
      <c r="W636" s="9"/>
      <c r="X636" s="9"/>
      <c r="Y636" s="9"/>
      <c r="Z636" s="9"/>
      <c r="AA636" s="9"/>
      <c r="AB636" s="9"/>
      <c r="AC636" s="9"/>
      <c r="AD636" s="9"/>
      <c r="AE636" s="9"/>
      <c r="AF636" s="9"/>
    </row>
    <row r="637" spans="1:32" ht="54.95" customHeight="1" x14ac:dyDescent="0.2">
      <c r="A637" s="56"/>
      <c r="B637" s="9"/>
      <c r="C637" s="9"/>
      <c r="D637" s="9"/>
      <c r="E637" s="9"/>
      <c r="F637" s="9"/>
      <c r="G637" s="9"/>
      <c r="H637" s="9"/>
      <c r="I637" s="58"/>
      <c r="J637" s="9"/>
      <c r="K637" s="9"/>
      <c r="L637" s="9"/>
      <c r="M637" s="9"/>
      <c r="N637" s="9"/>
      <c r="O637" s="9"/>
      <c r="P637" s="9"/>
      <c r="Q637" s="9"/>
      <c r="R637" s="9"/>
      <c r="S637" s="9"/>
      <c r="T637" s="9"/>
      <c r="U637" s="9"/>
      <c r="V637" s="9"/>
      <c r="W637" s="9"/>
      <c r="X637" s="9"/>
      <c r="Y637" s="9"/>
      <c r="Z637" s="9"/>
      <c r="AA637" s="9"/>
      <c r="AB637" s="9"/>
      <c r="AC637" s="9"/>
      <c r="AD637" s="9"/>
      <c r="AE637" s="9"/>
      <c r="AF637" s="9"/>
    </row>
    <row r="638" spans="1:32" ht="54.95" customHeight="1" x14ac:dyDescent="0.2">
      <c r="A638" s="56"/>
      <c r="B638" s="9"/>
      <c r="C638" s="9"/>
      <c r="D638" s="9"/>
      <c r="E638" s="9"/>
      <c r="F638" s="9"/>
      <c r="G638" s="9"/>
      <c r="H638" s="9"/>
      <c r="I638" s="58"/>
      <c r="J638" s="9"/>
      <c r="K638" s="9"/>
      <c r="L638" s="9"/>
      <c r="M638" s="9"/>
      <c r="N638" s="9"/>
      <c r="O638" s="9"/>
      <c r="P638" s="9"/>
      <c r="Q638" s="9"/>
      <c r="R638" s="9"/>
      <c r="S638" s="9"/>
      <c r="T638" s="9"/>
      <c r="U638" s="9"/>
      <c r="V638" s="9"/>
      <c r="W638" s="9"/>
      <c r="X638" s="9"/>
      <c r="Y638" s="9"/>
      <c r="Z638" s="9"/>
      <c r="AA638" s="9"/>
      <c r="AB638" s="9"/>
      <c r="AC638" s="9"/>
      <c r="AD638" s="9"/>
      <c r="AE638" s="9"/>
      <c r="AF638" s="9"/>
    </row>
    <row r="639" spans="1:32" ht="54.95" customHeight="1" x14ac:dyDescent="0.2">
      <c r="A639" s="56"/>
      <c r="B639" s="9"/>
      <c r="C639" s="9"/>
      <c r="D639" s="9"/>
      <c r="E639" s="9"/>
      <c r="F639" s="9"/>
      <c r="G639" s="9"/>
      <c r="H639" s="9"/>
      <c r="I639" s="58"/>
      <c r="J639" s="9"/>
      <c r="K639" s="9"/>
      <c r="L639" s="9"/>
      <c r="M639" s="9"/>
      <c r="N639" s="9"/>
      <c r="O639" s="9"/>
      <c r="P639" s="9"/>
      <c r="Q639" s="9"/>
      <c r="R639" s="9"/>
      <c r="S639" s="9"/>
      <c r="T639" s="9"/>
      <c r="U639" s="9"/>
      <c r="V639" s="9"/>
      <c r="W639" s="9"/>
      <c r="X639" s="9"/>
      <c r="Y639" s="9"/>
      <c r="Z639" s="9"/>
      <c r="AA639" s="9"/>
      <c r="AB639" s="9"/>
      <c r="AC639" s="9"/>
      <c r="AD639" s="9"/>
      <c r="AE639" s="9"/>
      <c r="AF639" s="9"/>
    </row>
    <row r="640" spans="1:32" ht="54.95" customHeight="1" x14ac:dyDescent="0.2">
      <c r="A640" s="56"/>
      <c r="B640" s="9"/>
      <c r="C640" s="9"/>
      <c r="D640" s="9"/>
      <c r="E640" s="9"/>
      <c r="F640" s="9"/>
      <c r="G640" s="9"/>
      <c r="H640" s="9"/>
      <c r="I640" s="58"/>
      <c r="J640" s="9"/>
      <c r="K640" s="9"/>
      <c r="L640" s="9"/>
      <c r="M640" s="9"/>
      <c r="N640" s="9"/>
      <c r="O640" s="9"/>
      <c r="P640" s="9"/>
      <c r="Q640" s="9"/>
      <c r="R640" s="9"/>
      <c r="S640" s="9"/>
      <c r="T640" s="9"/>
      <c r="U640" s="9"/>
      <c r="V640" s="9"/>
      <c r="W640" s="9"/>
      <c r="X640" s="9"/>
      <c r="Y640" s="9"/>
      <c r="Z640" s="9"/>
      <c r="AA640" s="9"/>
      <c r="AB640" s="9"/>
      <c r="AC640" s="9"/>
      <c r="AD640" s="9"/>
      <c r="AE640" s="9"/>
      <c r="AF640" s="9"/>
    </row>
    <row r="641" spans="1:32" ht="54.95" customHeight="1" x14ac:dyDescent="0.2">
      <c r="A641" s="56"/>
      <c r="B641" s="9"/>
      <c r="C641" s="9"/>
      <c r="D641" s="9"/>
      <c r="E641" s="9"/>
      <c r="F641" s="9"/>
      <c r="G641" s="9"/>
      <c r="H641" s="9"/>
      <c r="I641" s="58"/>
      <c r="J641" s="9"/>
      <c r="K641" s="9"/>
      <c r="L641" s="9"/>
      <c r="M641" s="9"/>
      <c r="N641" s="9"/>
      <c r="O641" s="9"/>
      <c r="P641" s="9"/>
      <c r="Q641" s="9"/>
      <c r="R641" s="9"/>
      <c r="S641" s="9"/>
      <c r="T641" s="9"/>
      <c r="U641" s="9"/>
      <c r="V641" s="9"/>
      <c r="W641" s="9"/>
      <c r="X641" s="9"/>
      <c r="Y641" s="9"/>
      <c r="Z641" s="9"/>
      <c r="AA641" s="9"/>
      <c r="AB641" s="9"/>
      <c r="AC641" s="9"/>
      <c r="AD641" s="9"/>
      <c r="AE641" s="9"/>
      <c r="AF641" s="9"/>
    </row>
    <row r="642" spans="1:32" ht="54.95" customHeight="1" x14ac:dyDescent="0.2">
      <c r="A642" s="56"/>
      <c r="B642" s="9"/>
      <c r="C642" s="9"/>
      <c r="D642" s="9"/>
      <c r="E642" s="9"/>
      <c r="F642" s="9"/>
      <c r="G642" s="9"/>
      <c r="H642" s="9"/>
      <c r="I642" s="58"/>
      <c r="J642" s="9"/>
      <c r="K642" s="9"/>
      <c r="L642" s="9"/>
      <c r="M642" s="9"/>
      <c r="N642" s="9"/>
      <c r="O642" s="9"/>
      <c r="P642" s="9"/>
      <c r="Q642" s="9"/>
      <c r="R642" s="9"/>
      <c r="S642" s="9"/>
      <c r="T642" s="9"/>
      <c r="U642" s="9"/>
      <c r="V642" s="9"/>
      <c r="W642" s="9"/>
      <c r="X642" s="9"/>
      <c r="Y642" s="9"/>
      <c r="Z642" s="9"/>
      <c r="AA642" s="9"/>
      <c r="AB642" s="9"/>
      <c r="AC642" s="9"/>
      <c r="AD642" s="9"/>
      <c r="AE642" s="9"/>
      <c r="AF642" s="9"/>
    </row>
    <row r="643" spans="1:32" ht="54.95" customHeight="1" x14ac:dyDescent="0.2">
      <c r="A643" s="56"/>
      <c r="B643" s="9"/>
      <c r="C643" s="9"/>
      <c r="D643" s="9"/>
      <c r="E643" s="9"/>
      <c r="F643" s="9"/>
      <c r="G643" s="9"/>
      <c r="H643" s="9"/>
      <c r="I643" s="58"/>
      <c r="J643" s="9"/>
      <c r="K643" s="9"/>
      <c r="L643" s="9"/>
      <c r="M643" s="9"/>
      <c r="N643" s="9"/>
      <c r="O643" s="9"/>
      <c r="P643" s="9"/>
      <c r="Q643" s="9"/>
      <c r="R643" s="9"/>
      <c r="S643" s="9"/>
      <c r="T643" s="9"/>
      <c r="U643" s="9"/>
      <c r="V643" s="9"/>
      <c r="W643" s="9"/>
      <c r="X643" s="9"/>
      <c r="Y643" s="9"/>
      <c r="Z643" s="9"/>
      <c r="AA643" s="9"/>
      <c r="AB643" s="9"/>
      <c r="AC643" s="9"/>
      <c r="AD643" s="9"/>
      <c r="AE643" s="9"/>
      <c r="AF643" s="9"/>
    </row>
    <row r="644" spans="1:32" ht="54.95" customHeight="1" x14ac:dyDescent="0.2">
      <c r="A644" s="56"/>
      <c r="B644" s="9"/>
      <c r="C644" s="9"/>
      <c r="D644" s="9"/>
      <c r="E644" s="9"/>
      <c r="F644" s="9"/>
      <c r="G644" s="9"/>
      <c r="H644" s="9"/>
      <c r="I644" s="58"/>
      <c r="J644" s="9"/>
      <c r="K644" s="9"/>
      <c r="L644" s="9"/>
      <c r="M644" s="9"/>
      <c r="N644" s="9"/>
      <c r="O644" s="9"/>
      <c r="P644" s="9"/>
      <c r="Q644" s="9"/>
      <c r="R644" s="9"/>
      <c r="S644" s="9"/>
      <c r="T644" s="9"/>
      <c r="U644" s="9"/>
      <c r="V644" s="9"/>
      <c r="W644" s="9"/>
      <c r="X644" s="9"/>
      <c r="Y644" s="9"/>
      <c r="Z644" s="9"/>
      <c r="AA644" s="9"/>
      <c r="AB644" s="9"/>
      <c r="AC644" s="9"/>
      <c r="AD644" s="9"/>
      <c r="AE644" s="9"/>
      <c r="AF644" s="9"/>
    </row>
    <row r="645" spans="1:32" ht="54.95" customHeight="1" x14ac:dyDescent="0.2">
      <c r="A645" s="56"/>
      <c r="B645" s="9"/>
      <c r="C645" s="9"/>
      <c r="D645" s="9"/>
      <c r="E645" s="9"/>
      <c r="F645" s="9"/>
      <c r="G645" s="9"/>
      <c r="H645" s="9"/>
      <c r="I645" s="58"/>
      <c r="J645" s="9"/>
      <c r="K645" s="9"/>
      <c r="L645" s="9"/>
      <c r="M645" s="9"/>
      <c r="N645" s="9"/>
      <c r="O645" s="9"/>
      <c r="P645" s="9"/>
      <c r="Q645" s="9"/>
      <c r="R645" s="9"/>
      <c r="S645" s="9"/>
      <c r="T645" s="9"/>
      <c r="U645" s="9"/>
      <c r="V645" s="9"/>
      <c r="W645" s="9"/>
      <c r="X645" s="9"/>
      <c r="Y645" s="9"/>
      <c r="Z645" s="9"/>
      <c r="AA645" s="9"/>
      <c r="AB645" s="9"/>
      <c r="AC645" s="9"/>
      <c r="AD645" s="9"/>
      <c r="AE645" s="9"/>
      <c r="AF645" s="9"/>
    </row>
    <row r="646" spans="1:32" ht="54.95" customHeight="1" x14ac:dyDescent="0.2">
      <c r="A646" s="56"/>
      <c r="B646" s="9"/>
      <c r="C646" s="9"/>
      <c r="D646" s="9"/>
      <c r="E646" s="9"/>
      <c r="F646" s="9"/>
      <c r="G646" s="9"/>
      <c r="H646" s="9"/>
      <c r="I646" s="58"/>
      <c r="J646" s="9"/>
      <c r="K646" s="9"/>
      <c r="L646" s="9"/>
      <c r="M646" s="9"/>
      <c r="N646" s="9"/>
      <c r="O646" s="9"/>
      <c r="P646" s="9"/>
      <c r="Q646" s="9"/>
      <c r="R646" s="9"/>
      <c r="S646" s="9"/>
      <c r="T646" s="9"/>
      <c r="U646" s="9"/>
      <c r="V646" s="9"/>
      <c r="W646" s="9"/>
      <c r="X646" s="9"/>
      <c r="Y646" s="9"/>
      <c r="Z646" s="9"/>
      <c r="AA646" s="9"/>
      <c r="AB646" s="9"/>
      <c r="AC646" s="9"/>
      <c r="AD646" s="9"/>
      <c r="AE646" s="9"/>
      <c r="AF646" s="9"/>
    </row>
    <row r="647" spans="1:32" ht="54.95" customHeight="1" x14ac:dyDescent="0.2">
      <c r="A647" s="56"/>
      <c r="B647" s="9"/>
      <c r="C647" s="9"/>
      <c r="D647" s="9"/>
      <c r="E647" s="9"/>
      <c r="F647" s="9"/>
      <c r="G647" s="9"/>
      <c r="H647" s="9"/>
      <c r="I647" s="58"/>
      <c r="J647" s="9"/>
      <c r="K647" s="9"/>
      <c r="L647" s="9"/>
      <c r="M647" s="9"/>
      <c r="N647" s="9"/>
      <c r="O647" s="9"/>
      <c r="P647" s="9"/>
      <c r="Q647" s="9"/>
      <c r="R647" s="9"/>
      <c r="S647" s="9"/>
      <c r="T647" s="9"/>
      <c r="U647" s="9"/>
      <c r="V647" s="9"/>
      <c r="W647" s="9"/>
      <c r="X647" s="9"/>
      <c r="Y647" s="9"/>
      <c r="Z647" s="9"/>
      <c r="AA647" s="9"/>
      <c r="AB647" s="9"/>
      <c r="AC647" s="9"/>
      <c r="AD647" s="9"/>
      <c r="AE647" s="9"/>
      <c r="AF647" s="9"/>
    </row>
    <row r="648" spans="1:32" ht="54.95" customHeight="1" x14ac:dyDescent="0.2">
      <c r="A648" s="56"/>
      <c r="B648" s="9"/>
      <c r="C648" s="9"/>
      <c r="D648" s="9"/>
      <c r="E648" s="9"/>
      <c r="F648" s="9"/>
      <c r="G648" s="9"/>
      <c r="H648" s="9"/>
      <c r="I648" s="58"/>
      <c r="J648" s="9"/>
      <c r="K648" s="9"/>
      <c r="L648" s="9"/>
      <c r="M648" s="9"/>
      <c r="N648" s="9"/>
      <c r="O648" s="9"/>
      <c r="P648" s="9"/>
      <c r="Q648" s="9"/>
      <c r="R648" s="9"/>
      <c r="S648" s="9"/>
      <c r="T648" s="9"/>
      <c r="U648" s="9"/>
      <c r="V648" s="9"/>
      <c r="W648" s="9"/>
      <c r="X648" s="9"/>
      <c r="Y648" s="9"/>
      <c r="Z648" s="9"/>
      <c r="AA648" s="9"/>
      <c r="AB648" s="9"/>
      <c r="AC648" s="9"/>
      <c r="AD648" s="9"/>
      <c r="AE648" s="9"/>
      <c r="AF648" s="9"/>
    </row>
    <row r="649" spans="1:32" ht="54.95" customHeight="1" x14ac:dyDescent="0.2">
      <c r="A649" s="56"/>
      <c r="B649" s="9"/>
      <c r="C649" s="9"/>
      <c r="D649" s="9"/>
      <c r="E649" s="9"/>
      <c r="F649" s="9"/>
      <c r="G649" s="9"/>
      <c r="H649" s="9"/>
      <c r="I649" s="58"/>
      <c r="J649" s="9"/>
      <c r="K649" s="9"/>
      <c r="L649" s="9"/>
      <c r="M649" s="9"/>
      <c r="N649" s="9"/>
      <c r="O649" s="9"/>
      <c r="P649" s="9"/>
      <c r="Q649" s="9"/>
      <c r="R649" s="9"/>
      <c r="S649" s="9"/>
      <c r="T649" s="9"/>
      <c r="U649" s="9"/>
      <c r="V649" s="9"/>
      <c r="W649" s="9"/>
      <c r="X649" s="9"/>
      <c r="Y649" s="9"/>
      <c r="Z649" s="9"/>
      <c r="AA649" s="9"/>
      <c r="AB649" s="9"/>
      <c r="AC649" s="9"/>
      <c r="AD649" s="9"/>
      <c r="AE649" s="9"/>
      <c r="AF649" s="9"/>
    </row>
    <row r="650" spans="1:32" ht="54.95" customHeight="1" x14ac:dyDescent="0.2">
      <c r="A650" s="56"/>
      <c r="B650" s="9"/>
      <c r="C650" s="9"/>
      <c r="D650" s="9"/>
      <c r="E650" s="9"/>
      <c r="F650" s="9"/>
      <c r="G650" s="9"/>
      <c r="H650" s="9"/>
      <c r="I650" s="58"/>
      <c r="J650" s="9"/>
      <c r="K650" s="9"/>
      <c r="L650" s="9"/>
      <c r="M650" s="9"/>
      <c r="N650" s="9"/>
      <c r="O650" s="9"/>
      <c r="P650" s="9"/>
      <c r="Q650" s="9"/>
      <c r="R650" s="9"/>
      <c r="S650" s="9"/>
      <c r="T650" s="9"/>
      <c r="U650" s="9"/>
      <c r="V650" s="9"/>
      <c r="W650" s="9"/>
      <c r="X650" s="9"/>
      <c r="Y650" s="9"/>
      <c r="Z650" s="9"/>
      <c r="AA650" s="9"/>
      <c r="AB650" s="9"/>
      <c r="AC650" s="9"/>
      <c r="AD650" s="9"/>
      <c r="AE650" s="9"/>
      <c r="AF650" s="9"/>
    </row>
    <row r="651" spans="1:32" ht="54.95" customHeight="1" x14ac:dyDescent="0.2">
      <c r="A651" s="56"/>
      <c r="B651" s="9"/>
      <c r="C651" s="9"/>
      <c r="D651" s="9"/>
      <c r="E651" s="9"/>
      <c r="F651" s="9"/>
      <c r="G651" s="9"/>
      <c r="H651" s="9"/>
      <c r="I651" s="58"/>
      <c r="J651" s="9"/>
      <c r="K651" s="9"/>
      <c r="L651" s="9"/>
      <c r="M651" s="9"/>
      <c r="N651" s="9"/>
      <c r="O651" s="9"/>
      <c r="P651" s="9"/>
      <c r="Q651" s="9"/>
      <c r="R651" s="9"/>
      <c r="S651" s="9"/>
      <c r="T651" s="9"/>
      <c r="U651" s="9"/>
      <c r="V651" s="9"/>
      <c r="W651" s="9"/>
      <c r="X651" s="9"/>
      <c r="Y651" s="9"/>
      <c r="Z651" s="9"/>
      <c r="AA651" s="9"/>
      <c r="AB651" s="9"/>
      <c r="AC651" s="9"/>
      <c r="AD651" s="9"/>
      <c r="AE651" s="9"/>
      <c r="AF651" s="9"/>
    </row>
    <row r="652" spans="1:32" ht="54.95" customHeight="1" x14ac:dyDescent="0.2">
      <c r="A652" s="56"/>
      <c r="B652" s="9"/>
      <c r="C652" s="9"/>
      <c r="D652" s="9"/>
      <c r="E652" s="9"/>
      <c r="F652" s="9"/>
      <c r="G652" s="9"/>
      <c r="H652" s="9"/>
      <c r="I652" s="58"/>
      <c r="J652" s="9"/>
      <c r="K652" s="9"/>
      <c r="L652" s="9"/>
      <c r="M652" s="9"/>
      <c r="N652" s="9"/>
      <c r="O652" s="9"/>
      <c r="P652" s="9"/>
      <c r="Q652" s="9"/>
      <c r="R652" s="9"/>
      <c r="S652" s="9"/>
      <c r="T652" s="9"/>
      <c r="U652" s="9"/>
      <c r="V652" s="9"/>
      <c r="W652" s="9"/>
      <c r="X652" s="9"/>
      <c r="Y652" s="9"/>
      <c r="Z652" s="9"/>
      <c r="AA652" s="9"/>
      <c r="AB652" s="9"/>
      <c r="AC652" s="9"/>
      <c r="AD652" s="9"/>
      <c r="AE652" s="9"/>
      <c r="AF652" s="9"/>
    </row>
    <row r="653" spans="1:32" ht="54.95" customHeight="1" x14ac:dyDescent="0.2">
      <c r="A653" s="56"/>
      <c r="B653" s="9"/>
      <c r="C653" s="9"/>
      <c r="D653" s="9"/>
      <c r="E653" s="9"/>
      <c r="F653" s="9"/>
      <c r="G653" s="9"/>
      <c r="H653" s="9"/>
      <c r="I653" s="58"/>
      <c r="J653" s="9"/>
      <c r="K653" s="9"/>
      <c r="L653" s="9"/>
      <c r="M653" s="9"/>
      <c r="N653" s="9"/>
      <c r="O653" s="9"/>
      <c r="P653" s="9"/>
      <c r="Q653" s="9"/>
      <c r="R653" s="9"/>
      <c r="S653" s="9"/>
      <c r="T653" s="9"/>
      <c r="U653" s="9"/>
      <c r="V653" s="9"/>
      <c r="W653" s="9"/>
      <c r="X653" s="9"/>
      <c r="Y653" s="9"/>
      <c r="Z653" s="9"/>
      <c r="AA653" s="9"/>
      <c r="AB653" s="9"/>
      <c r="AC653" s="9"/>
      <c r="AD653" s="9"/>
      <c r="AE653" s="9"/>
      <c r="AF653" s="9"/>
    </row>
    <row r="654" spans="1:32" ht="54.95" customHeight="1" x14ac:dyDescent="0.2">
      <c r="A654" s="56"/>
      <c r="B654" s="9"/>
      <c r="C654" s="9"/>
      <c r="D654" s="9"/>
      <c r="E654" s="9"/>
      <c r="F654" s="9"/>
      <c r="G654" s="9"/>
      <c r="H654" s="9"/>
      <c r="I654" s="58"/>
      <c r="J654" s="9"/>
      <c r="K654" s="9"/>
      <c r="L654" s="9"/>
      <c r="M654" s="9"/>
      <c r="N654" s="9"/>
      <c r="O654" s="9"/>
      <c r="P654" s="9"/>
      <c r="Q654" s="9"/>
      <c r="R654" s="9"/>
      <c r="S654" s="9"/>
      <c r="T654" s="9"/>
      <c r="U654" s="9"/>
      <c r="V654" s="9"/>
      <c r="W654" s="9"/>
      <c r="X654" s="9"/>
      <c r="Y654" s="9"/>
      <c r="Z654" s="9"/>
      <c r="AA654" s="9"/>
      <c r="AB654" s="9"/>
      <c r="AC654" s="9"/>
      <c r="AD654" s="9"/>
      <c r="AE654" s="9"/>
      <c r="AF654" s="9"/>
    </row>
    <row r="655" spans="1:32" ht="54.95" customHeight="1" x14ac:dyDescent="0.2">
      <c r="A655" s="56"/>
      <c r="B655" s="9"/>
      <c r="C655" s="9"/>
      <c r="D655" s="9"/>
      <c r="E655" s="9"/>
      <c r="F655" s="9"/>
      <c r="G655" s="9"/>
      <c r="H655" s="9"/>
      <c r="I655" s="58"/>
      <c r="J655" s="9"/>
      <c r="K655" s="9"/>
      <c r="L655" s="9"/>
      <c r="M655" s="9"/>
      <c r="N655" s="9"/>
      <c r="O655" s="9"/>
      <c r="P655" s="9"/>
      <c r="Q655" s="9"/>
      <c r="R655" s="9"/>
      <c r="S655" s="9"/>
      <c r="T655" s="9"/>
      <c r="U655" s="9"/>
      <c r="V655" s="9"/>
      <c r="W655" s="9"/>
      <c r="X655" s="9"/>
      <c r="Y655" s="9"/>
      <c r="Z655" s="9"/>
      <c r="AA655" s="9"/>
      <c r="AB655" s="9"/>
      <c r="AC655" s="9"/>
      <c r="AD655" s="9"/>
      <c r="AE655" s="9"/>
      <c r="AF655" s="9"/>
    </row>
    <row r="656" spans="1:32" ht="54.95" customHeight="1" x14ac:dyDescent="0.2">
      <c r="A656" s="56"/>
      <c r="B656" s="9"/>
      <c r="C656" s="9"/>
      <c r="D656" s="9"/>
      <c r="E656" s="9"/>
      <c r="F656" s="9"/>
      <c r="G656" s="9"/>
      <c r="H656" s="9"/>
      <c r="I656" s="58"/>
      <c r="J656" s="9"/>
      <c r="K656" s="9"/>
      <c r="L656" s="9"/>
      <c r="M656" s="9"/>
      <c r="N656" s="9"/>
      <c r="O656" s="9"/>
      <c r="P656" s="9"/>
      <c r="Q656" s="9"/>
      <c r="R656" s="9"/>
      <c r="S656" s="9"/>
      <c r="T656" s="9"/>
      <c r="U656" s="9"/>
      <c r="V656" s="9"/>
      <c r="W656" s="9"/>
      <c r="X656" s="9"/>
      <c r="Y656" s="9"/>
      <c r="Z656" s="9"/>
      <c r="AA656" s="9"/>
      <c r="AB656" s="9"/>
      <c r="AC656" s="9"/>
      <c r="AD656" s="9"/>
      <c r="AE656" s="9"/>
      <c r="AF656" s="9"/>
    </row>
    <row r="657" spans="1:32" ht="54.95" customHeight="1" x14ac:dyDescent="0.2">
      <c r="A657" s="56"/>
      <c r="B657" s="9"/>
      <c r="C657" s="9"/>
      <c r="D657" s="9"/>
      <c r="E657" s="9"/>
      <c r="F657" s="9"/>
      <c r="G657" s="9"/>
      <c r="H657" s="9"/>
      <c r="I657" s="58"/>
      <c r="J657" s="9"/>
      <c r="K657" s="9"/>
      <c r="L657" s="9"/>
      <c r="M657" s="9"/>
      <c r="N657" s="9"/>
      <c r="O657" s="9"/>
      <c r="P657" s="9"/>
      <c r="Q657" s="9"/>
      <c r="R657" s="9"/>
      <c r="S657" s="9"/>
      <c r="T657" s="9"/>
      <c r="U657" s="9"/>
      <c r="V657" s="9"/>
      <c r="W657" s="9"/>
      <c r="X657" s="9"/>
      <c r="Y657" s="9"/>
      <c r="Z657" s="9"/>
      <c r="AA657" s="9"/>
      <c r="AB657" s="9"/>
      <c r="AC657" s="9"/>
      <c r="AD657" s="9"/>
      <c r="AE657" s="9"/>
      <c r="AF657" s="9"/>
    </row>
    <row r="658" spans="1:32" ht="54.95" customHeight="1" x14ac:dyDescent="0.2">
      <c r="A658" s="56"/>
      <c r="B658" s="9"/>
      <c r="C658" s="9"/>
      <c r="D658" s="9"/>
      <c r="E658" s="9"/>
      <c r="F658" s="9"/>
      <c r="G658" s="9"/>
      <c r="H658" s="9"/>
      <c r="I658" s="58"/>
      <c r="J658" s="9"/>
      <c r="K658" s="9"/>
      <c r="L658" s="9"/>
      <c r="M658" s="9"/>
      <c r="N658" s="9"/>
      <c r="O658" s="9"/>
      <c r="P658" s="9"/>
      <c r="Q658" s="9"/>
      <c r="R658" s="9"/>
      <c r="S658" s="9"/>
      <c r="T658" s="9"/>
      <c r="U658" s="9"/>
      <c r="V658" s="9"/>
      <c r="W658" s="9"/>
      <c r="X658" s="9"/>
      <c r="Y658" s="9"/>
      <c r="Z658" s="9"/>
      <c r="AA658" s="9"/>
      <c r="AB658" s="9"/>
      <c r="AC658" s="9"/>
      <c r="AD658" s="9"/>
      <c r="AE658" s="9"/>
      <c r="AF658" s="9"/>
    </row>
    <row r="659" spans="1:32" ht="54.95" customHeight="1" x14ac:dyDescent="0.2">
      <c r="A659" s="56"/>
      <c r="B659" s="9"/>
      <c r="C659" s="9"/>
      <c r="D659" s="9"/>
      <c r="E659" s="9"/>
      <c r="F659" s="9"/>
      <c r="G659" s="9"/>
      <c r="H659" s="9"/>
      <c r="I659" s="58"/>
      <c r="J659" s="9"/>
      <c r="K659" s="9"/>
      <c r="L659" s="9"/>
      <c r="M659" s="9"/>
      <c r="N659" s="9"/>
      <c r="O659" s="9"/>
      <c r="P659" s="9"/>
      <c r="Q659" s="9"/>
      <c r="R659" s="9"/>
      <c r="S659" s="9"/>
      <c r="T659" s="9"/>
      <c r="U659" s="9"/>
      <c r="V659" s="9"/>
      <c r="W659" s="9"/>
      <c r="X659" s="9"/>
      <c r="Y659" s="9"/>
      <c r="Z659" s="9"/>
      <c r="AA659" s="9"/>
      <c r="AB659" s="9"/>
      <c r="AC659" s="9"/>
      <c r="AD659" s="9"/>
      <c r="AE659" s="9"/>
      <c r="AF659" s="9"/>
    </row>
    <row r="660" spans="1:32" ht="54.95" customHeight="1" x14ac:dyDescent="0.2">
      <c r="A660" s="56"/>
      <c r="B660" s="9"/>
      <c r="C660" s="9"/>
      <c r="D660" s="9"/>
      <c r="E660" s="9"/>
      <c r="F660" s="9"/>
      <c r="G660" s="9"/>
      <c r="H660" s="9"/>
      <c r="I660" s="58"/>
      <c r="J660" s="9"/>
      <c r="K660" s="9"/>
      <c r="L660" s="9"/>
      <c r="M660" s="9"/>
      <c r="N660" s="9"/>
      <c r="O660" s="9"/>
      <c r="P660" s="9"/>
      <c r="Q660" s="9"/>
      <c r="R660" s="9"/>
      <c r="S660" s="9"/>
      <c r="T660" s="9"/>
      <c r="U660" s="9"/>
      <c r="V660" s="9"/>
      <c r="W660" s="9"/>
      <c r="X660" s="9"/>
      <c r="Y660" s="9"/>
      <c r="Z660" s="9"/>
      <c r="AA660" s="9"/>
      <c r="AB660" s="9"/>
      <c r="AC660" s="9"/>
      <c r="AD660" s="9"/>
      <c r="AE660" s="9"/>
      <c r="AF660" s="9"/>
    </row>
    <row r="661" spans="1:32" ht="54.95" customHeight="1" x14ac:dyDescent="0.2">
      <c r="A661" s="56"/>
      <c r="B661" s="9"/>
      <c r="C661" s="9"/>
      <c r="D661" s="9"/>
      <c r="E661" s="9"/>
      <c r="F661" s="9"/>
      <c r="G661" s="9"/>
      <c r="H661" s="9"/>
      <c r="I661" s="58"/>
      <c r="J661" s="9"/>
      <c r="K661" s="9"/>
      <c r="L661" s="9"/>
      <c r="M661" s="9"/>
      <c r="N661" s="9"/>
      <c r="O661" s="9"/>
      <c r="P661" s="9"/>
      <c r="Q661" s="9"/>
      <c r="R661" s="9"/>
      <c r="S661" s="9"/>
      <c r="T661" s="9"/>
      <c r="U661" s="9"/>
      <c r="V661" s="9"/>
      <c r="W661" s="9"/>
      <c r="X661" s="9"/>
      <c r="Y661" s="9"/>
      <c r="Z661" s="9"/>
      <c r="AA661" s="9"/>
      <c r="AB661" s="9"/>
      <c r="AC661" s="9"/>
      <c r="AD661" s="9"/>
      <c r="AE661" s="9"/>
      <c r="AF661" s="9"/>
    </row>
    <row r="662" spans="1:32" ht="54.95" customHeight="1" x14ac:dyDescent="0.2">
      <c r="A662" s="56"/>
      <c r="B662" s="9"/>
      <c r="C662" s="9"/>
      <c r="D662" s="9"/>
      <c r="E662" s="9"/>
      <c r="F662" s="9"/>
      <c r="G662" s="9"/>
      <c r="H662" s="9"/>
      <c r="I662" s="58"/>
      <c r="J662" s="9"/>
      <c r="K662" s="9"/>
      <c r="L662" s="9"/>
      <c r="M662" s="9"/>
      <c r="N662" s="9"/>
      <c r="O662" s="9"/>
      <c r="P662" s="9"/>
      <c r="Q662" s="9"/>
      <c r="R662" s="9"/>
      <c r="S662" s="9"/>
      <c r="T662" s="9"/>
      <c r="U662" s="9"/>
      <c r="V662" s="9"/>
      <c r="W662" s="9"/>
      <c r="X662" s="9"/>
      <c r="Y662" s="9"/>
      <c r="Z662" s="9"/>
      <c r="AA662" s="9"/>
      <c r="AB662" s="9"/>
      <c r="AC662" s="9"/>
      <c r="AD662" s="9"/>
      <c r="AE662" s="9"/>
      <c r="AF662" s="9"/>
    </row>
    <row r="663" spans="1:32" ht="54.95" customHeight="1" x14ac:dyDescent="0.2">
      <c r="A663" s="56"/>
      <c r="B663" s="9"/>
      <c r="C663" s="9"/>
      <c r="D663" s="9"/>
      <c r="E663" s="9"/>
      <c r="F663" s="9"/>
      <c r="G663" s="9"/>
      <c r="H663" s="9"/>
      <c r="I663" s="58"/>
      <c r="J663" s="9"/>
      <c r="K663" s="9"/>
      <c r="L663" s="9"/>
      <c r="M663" s="9"/>
      <c r="N663" s="9"/>
      <c r="O663" s="9"/>
      <c r="P663" s="9"/>
      <c r="Q663" s="9"/>
      <c r="R663" s="9"/>
      <c r="S663" s="9"/>
      <c r="T663" s="9"/>
      <c r="U663" s="9"/>
      <c r="V663" s="9"/>
      <c r="W663" s="9"/>
      <c r="X663" s="9"/>
      <c r="Y663" s="9"/>
      <c r="Z663" s="9"/>
      <c r="AA663" s="9"/>
      <c r="AB663" s="9"/>
      <c r="AC663" s="9"/>
      <c r="AD663" s="9"/>
      <c r="AE663" s="9"/>
      <c r="AF663" s="9"/>
    </row>
    <row r="664" spans="1:32" ht="54.95" customHeight="1" x14ac:dyDescent="0.2">
      <c r="A664" s="56"/>
      <c r="B664" s="9"/>
      <c r="C664" s="9"/>
      <c r="D664" s="9"/>
      <c r="E664" s="9"/>
      <c r="F664" s="9"/>
      <c r="G664" s="9"/>
      <c r="H664" s="9"/>
      <c r="I664" s="58"/>
      <c r="J664" s="9"/>
      <c r="K664" s="9"/>
      <c r="L664" s="9"/>
      <c r="M664" s="9"/>
      <c r="N664" s="9"/>
      <c r="O664" s="9"/>
      <c r="P664" s="9"/>
      <c r="Q664" s="9"/>
      <c r="R664" s="9"/>
      <c r="S664" s="9"/>
      <c r="T664" s="9"/>
      <c r="U664" s="9"/>
      <c r="V664" s="9"/>
      <c r="W664" s="9"/>
      <c r="X664" s="9"/>
      <c r="Y664" s="9"/>
      <c r="Z664" s="9"/>
      <c r="AA664" s="9"/>
      <c r="AB664" s="9"/>
      <c r="AC664" s="9"/>
      <c r="AD664" s="9"/>
      <c r="AE664" s="9"/>
      <c r="AF664" s="9"/>
    </row>
    <row r="665" spans="1:32" ht="54.95" customHeight="1" x14ac:dyDescent="0.2">
      <c r="A665" s="56"/>
      <c r="B665" s="9"/>
      <c r="C665" s="9"/>
      <c r="D665" s="9"/>
      <c r="E665" s="9"/>
      <c r="F665" s="9"/>
      <c r="G665" s="9"/>
      <c r="H665" s="9"/>
      <c r="I665" s="58"/>
      <c r="J665" s="9"/>
      <c r="K665" s="9"/>
      <c r="L665" s="9"/>
      <c r="M665" s="9"/>
      <c r="N665" s="9"/>
      <c r="O665" s="9"/>
      <c r="P665" s="9"/>
      <c r="Q665" s="9"/>
      <c r="R665" s="9"/>
      <c r="S665" s="9"/>
      <c r="T665" s="9"/>
      <c r="U665" s="9"/>
      <c r="V665" s="9"/>
      <c r="W665" s="9"/>
      <c r="X665" s="9"/>
      <c r="Y665" s="9"/>
      <c r="Z665" s="9"/>
      <c r="AA665" s="9"/>
      <c r="AB665" s="9"/>
      <c r="AC665" s="9"/>
      <c r="AD665" s="9"/>
      <c r="AE665" s="9"/>
      <c r="AF665" s="9"/>
    </row>
    <row r="666" spans="1:32" ht="54.95" customHeight="1" x14ac:dyDescent="0.2">
      <c r="A666" s="56"/>
      <c r="B666" s="9"/>
      <c r="C666" s="9"/>
      <c r="D666" s="9"/>
      <c r="E666" s="9"/>
      <c r="F666" s="9"/>
      <c r="G666" s="9"/>
      <c r="H666" s="9"/>
      <c r="I666" s="58"/>
      <c r="J666" s="9"/>
      <c r="K666" s="9"/>
      <c r="L666" s="9"/>
      <c r="M666" s="9"/>
      <c r="N666" s="9"/>
      <c r="O666" s="9"/>
      <c r="P666" s="9"/>
      <c r="Q666" s="9"/>
      <c r="R666" s="9"/>
      <c r="S666" s="9"/>
      <c r="T666" s="9"/>
      <c r="U666" s="9"/>
      <c r="V666" s="9"/>
      <c r="W666" s="9"/>
      <c r="X666" s="9"/>
      <c r="Y666" s="9"/>
      <c r="Z666" s="9"/>
      <c r="AA666" s="9"/>
      <c r="AB666" s="9"/>
      <c r="AC666" s="9"/>
      <c r="AD666" s="9"/>
      <c r="AE666" s="9"/>
      <c r="AF666" s="9"/>
    </row>
    <row r="667" spans="1:32" ht="54.95" customHeight="1" x14ac:dyDescent="0.2">
      <c r="A667" s="56"/>
      <c r="B667" s="9"/>
      <c r="C667" s="9"/>
      <c r="D667" s="9"/>
      <c r="E667" s="9"/>
      <c r="F667" s="9"/>
      <c r="G667" s="9"/>
      <c r="H667" s="9"/>
      <c r="I667" s="58"/>
      <c r="J667" s="9"/>
      <c r="K667" s="9"/>
      <c r="L667" s="9"/>
      <c r="M667" s="9"/>
      <c r="N667" s="9"/>
      <c r="O667" s="9"/>
      <c r="P667" s="9"/>
      <c r="Q667" s="9"/>
      <c r="R667" s="9"/>
      <c r="S667" s="9"/>
      <c r="T667" s="9"/>
      <c r="U667" s="9"/>
      <c r="V667" s="9"/>
      <c r="W667" s="9"/>
      <c r="X667" s="9"/>
      <c r="Y667" s="9"/>
      <c r="Z667" s="9"/>
      <c r="AA667" s="9"/>
      <c r="AB667" s="9"/>
      <c r="AC667" s="9"/>
      <c r="AD667" s="9"/>
      <c r="AE667" s="9"/>
      <c r="AF667" s="9"/>
    </row>
    <row r="668" spans="1:32" ht="54.95" customHeight="1" x14ac:dyDescent="0.2">
      <c r="A668" s="56"/>
      <c r="B668" s="9"/>
      <c r="C668" s="9"/>
      <c r="D668" s="9"/>
      <c r="E668" s="9"/>
      <c r="F668" s="9"/>
      <c r="G668" s="9"/>
      <c r="H668" s="9"/>
      <c r="I668" s="58"/>
      <c r="J668" s="9"/>
      <c r="K668" s="9"/>
      <c r="L668" s="9"/>
      <c r="M668" s="9"/>
      <c r="N668" s="9"/>
      <c r="O668" s="9"/>
      <c r="P668" s="9"/>
      <c r="Q668" s="9"/>
      <c r="R668" s="9"/>
      <c r="S668" s="9"/>
      <c r="T668" s="9"/>
      <c r="U668" s="9"/>
      <c r="V668" s="9"/>
      <c r="W668" s="9"/>
      <c r="X668" s="9"/>
      <c r="Y668" s="9"/>
      <c r="Z668" s="9"/>
      <c r="AA668" s="9"/>
      <c r="AB668" s="9"/>
      <c r="AC668" s="9"/>
      <c r="AD668" s="9"/>
      <c r="AE668" s="9"/>
      <c r="AF668" s="9"/>
    </row>
    <row r="669" spans="1:32" ht="54.95" customHeight="1" x14ac:dyDescent="0.2">
      <c r="A669" s="56"/>
      <c r="B669" s="9"/>
      <c r="C669" s="9"/>
      <c r="D669" s="9"/>
      <c r="E669" s="9"/>
      <c r="F669" s="9"/>
      <c r="G669" s="9"/>
      <c r="H669" s="9"/>
      <c r="I669" s="58"/>
      <c r="J669" s="9"/>
      <c r="K669" s="9"/>
      <c r="L669" s="9"/>
      <c r="M669" s="9"/>
      <c r="N669" s="9"/>
      <c r="O669" s="9"/>
      <c r="P669" s="9"/>
      <c r="Q669" s="9"/>
      <c r="R669" s="9"/>
      <c r="S669" s="9"/>
      <c r="T669" s="9"/>
      <c r="U669" s="9"/>
      <c r="V669" s="9"/>
      <c r="W669" s="9"/>
      <c r="X669" s="9"/>
      <c r="Y669" s="9"/>
      <c r="Z669" s="9"/>
      <c r="AA669" s="9"/>
      <c r="AB669" s="9"/>
      <c r="AC669" s="9"/>
      <c r="AD669" s="9"/>
      <c r="AE669" s="9"/>
      <c r="AF669" s="9"/>
    </row>
    <row r="670" spans="1:32" ht="54.95" customHeight="1" x14ac:dyDescent="0.2">
      <c r="A670" s="56"/>
      <c r="B670" s="9"/>
      <c r="C670" s="9"/>
      <c r="D670" s="9"/>
      <c r="E670" s="9"/>
      <c r="F670" s="9"/>
      <c r="G670" s="9"/>
      <c r="H670" s="9"/>
      <c r="I670" s="58"/>
      <c r="J670" s="9"/>
      <c r="K670" s="9"/>
      <c r="L670" s="9"/>
      <c r="M670" s="9"/>
      <c r="N670" s="9"/>
      <c r="O670" s="9"/>
      <c r="P670" s="9"/>
      <c r="Q670" s="9"/>
      <c r="R670" s="9"/>
      <c r="S670" s="9"/>
      <c r="T670" s="9"/>
      <c r="U670" s="9"/>
      <c r="V670" s="9"/>
      <c r="W670" s="9"/>
      <c r="X670" s="9"/>
      <c r="Y670" s="9"/>
      <c r="Z670" s="9"/>
      <c r="AA670" s="9"/>
      <c r="AB670" s="9"/>
      <c r="AC670" s="9"/>
      <c r="AD670" s="9"/>
      <c r="AE670" s="9"/>
      <c r="AF670" s="9"/>
    </row>
    <row r="671" spans="1:32" ht="54.95" customHeight="1" x14ac:dyDescent="0.2">
      <c r="A671" s="56"/>
      <c r="B671" s="9"/>
      <c r="C671" s="9"/>
      <c r="D671" s="9"/>
      <c r="E671" s="9"/>
      <c r="F671" s="9"/>
      <c r="G671" s="9"/>
      <c r="H671" s="9"/>
      <c r="I671" s="58"/>
      <c r="J671" s="9"/>
      <c r="K671" s="9"/>
      <c r="L671" s="9"/>
      <c r="M671" s="9"/>
      <c r="N671" s="9"/>
      <c r="O671" s="9"/>
      <c r="P671" s="9"/>
      <c r="Q671" s="9"/>
      <c r="R671" s="9"/>
      <c r="S671" s="9"/>
      <c r="T671" s="9"/>
      <c r="U671" s="9"/>
      <c r="V671" s="9"/>
      <c r="W671" s="9"/>
      <c r="X671" s="9"/>
      <c r="Y671" s="9"/>
      <c r="Z671" s="9"/>
      <c r="AA671" s="9"/>
      <c r="AB671" s="9"/>
      <c r="AC671" s="9"/>
      <c r="AD671" s="9"/>
      <c r="AE671" s="9"/>
      <c r="AF671" s="9"/>
    </row>
    <row r="672" spans="1:32" ht="54.95" customHeight="1" x14ac:dyDescent="0.2">
      <c r="A672" s="56"/>
      <c r="B672" s="9"/>
      <c r="C672" s="9"/>
      <c r="D672" s="9"/>
      <c r="E672" s="9"/>
      <c r="F672" s="9"/>
      <c r="G672" s="9"/>
      <c r="H672" s="9"/>
      <c r="I672" s="58"/>
      <c r="J672" s="9"/>
      <c r="K672" s="9"/>
      <c r="L672" s="9"/>
      <c r="M672" s="9"/>
      <c r="N672" s="9"/>
      <c r="O672" s="9"/>
      <c r="P672" s="9"/>
      <c r="Q672" s="9"/>
      <c r="R672" s="9"/>
      <c r="S672" s="9"/>
      <c r="T672" s="9"/>
      <c r="U672" s="9"/>
      <c r="V672" s="9"/>
      <c r="W672" s="9"/>
      <c r="X672" s="9"/>
      <c r="Y672" s="9"/>
      <c r="Z672" s="9"/>
      <c r="AA672" s="9"/>
      <c r="AB672" s="9"/>
      <c r="AC672" s="9"/>
      <c r="AD672" s="9"/>
      <c r="AE672" s="9"/>
      <c r="AF672" s="9"/>
    </row>
    <row r="673" spans="1:32" ht="54.95" customHeight="1" x14ac:dyDescent="0.2">
      <c r="A673" s="56"/>
      <c r="B673" s="9"/>
      <c r="C673" s="9"/>
      <c r="D673" s="9"/>
      <c r="E673" s="9"/>
      <c r="F673" s="9"/>
      <c r="G673" s="9"/>
      <c r="H673" s="9"/>
      <c r="I673" s="58"/>
      <c r="J673" s="9"/>
      <c r="K673" s="9"/>
      <c r="L673" s="9"/>
      <c r="M673" s="9"/>
      <c r="N673" s="9"/>
      <c r="O673" s="9"/>
      <c r="P673" s="9"/>
      <c r="Q673" s="9"/>
      <c r="R673" s="9"/>
      <c r="S673" s="9"/>
      <c r="T673" s="9"/>
      <c r="U673" s="9"/>
      <c r="V673" s="9"/>
      <c r="W673" s="9"/>
      <c r="X673" s="9"/>
      <c r="Y673" s="9"/>
      <c r="Z673" s="9"/>
      <c r="AA673" s="9"/>
      <c r="AB673" s="9"/>
      <c r="AC673" s="9"/>
      <c r="AD673" s="9"/>
      <c r="AE673" s="9"/>
      <c r="AF673" s="9"/>
    </row>
    <row r="674" spans="1:32" ht="54.95" customHeight="1" x14ac:dyDescent="0.2">
      <c r="A674" s="56"/>
      <c r="B674" s="9"/>
      <c r="C674" s="9"/>
      <c r="D674" s="9"/>
      <c r="E674" s="9"/>
      <c r="F674" s="9"/>
      <c r="G674" s="9"/>
      <c r="H674" s="9"/>
      <c r="I674" s="58"/>
      <c r="J674" s="9"/>
      <c r="K674" s="9"/>
      <c r="L674" s="9"/>
      <c r="M674" s="9"/>
      <c r="N674" s="9"/>
      <c r="O674" s="9"/>
      <c r="P674" s="9"/>
      <c r="Q674" s="9"/>
      <c r="R674" s="9"/>
      <c r="S674" s="9"/>
      <c r="T674" s="9"/>
      <c r="U674" s="9"/>
      <c r="V674" s="9"/>
      <c r="W674" s="9"/>
      <c r="X674" s="9"/>
      <c r="Y674" s="9"/>
      <c r="Z674" s="9"/>
      <c r="AA674" s="9"/>
      <c r="AB674" s="9"/>
      <c r="AC674" s="9"/>
      <c r="AD674" s="9"/>
      <c r="AE674" s="9"/>
      <c r="AF674" s="9"/>
    </row>
    <row r="675" spans="1:32" ht="54.95" customHeight="1" x14ac:dyDescent="0.2">
      <c r="A675" s="56"/>
      <c r="B675" s="9"/>
      <c r="C675" s="9"/>
      <c r="D675" s="9"/>
      <c r="E675" s="9"/>
      <c r="F675" s="9"/>
      <c r="G675" s="9"/>
      <c r="H675" s="9"/>
      <c r="I675" s="58"/>
      <c r="J675" s="9"/>
      <c r="K675" s="9"/>
      <c r="L675" s="9"/>
      <c r="M675" s="9"/>
      <c r="N675" s="9"/>
      <c r="O675" s="9"/>
      <c r="P675" s="9"/>
      <c r="Q675" s="9"/>
      <c r="R675" s="9"/>
      <c r="S675" s="9"/>
      <c r="T675" s="9"/>
      <c r="U675" s="9"/>
      <c r="V675" s="9"/>
      <c r="W675" s="9"/>
      <c r="X675" s="9"/>
      <c r="Y675" s="9"/>
      <c r="Z675" s="9"/>
      <c r="AA675" s="9"/>
      <c r="AB675" s="9"/>
      <c r="AC675" s="9"/>
      <c r="AD675" s="9"/>
      <c r="AE675" s="9"/>
      <c r="AF675" s="9"/>
    </row>
    <row r="676" spans="1:32" ht="54.95" customHeight="1" x14ac:dyDescent="0.2">
      <c r="A676" s="56"/>
      <c r="B676" s="9"/>
      <c r="C676" s="9"/>
      <c r="D676" s="9"/>
      <c r="E676" s="9"/>
      <c r="F676" s="9"/>
      <c r="G676" s="9"/>
      <c r="H676" s="9"/>
      <c r="I676" s="58"/>
      <c r="J676" s="9"/>
      <c r="K676" s="9"/>
      <c r="L676" s="9"/>
      <c r="M676" s="9"/>
      <c r="N676" s="9"/>
      <c r="O676" s="9"/>
      <c r="P676" s="9"/>
      <c r="Q676" s="9"/>
      <c r="R676" s="9"/>
      <c r="S676" s="9"/>
      <c r="T676" s="9"/>
      <c r="U676" s="9"/>
      <c r="V676" s="9"/>
      <c r="W676" s="9"/>
      <c r="X676" s="9"/>
      <c r="Y676" s="9"/>
      <c r="Z676" s="9"/>
      <c r="AA676" s="9"/>
      <c r="AB676" s="9"/>
      <c r="AC676" s="9"/>
      <c r="AD676" s="9"/>
      <c r="AE676" s="9"/>
      <c r="AF676" s="9"/>
    </row>
    <row r="677" spans="1:32" ht="54.95" customHeight="1" x14ac:dyDescent="0.2">
      <c r="A677" s="56"/>
      <c r="B677" s="9"/>
      <c r="C677" s="9"/>
      <c r="D677" s="9"/>
      <c r="E677" s="9"/>
      <c r="F677" s="9"/>
      <c r="G677" s="9"/>
      <c r="H677" s="9"/>
      <c r="I677" s="58"/>
      <c r="J677" s="9"/>
      <c r="K677" s="9"/>
      <c r="L677" s="9"/>
      <c r="M677" s="9"/>
      <c r="N677" s="9"/>
      <c r="O677" s="9"/>
      <c r="P677" s="9"/>
      <c r="Q677" s="9"/>
      <c r="R677" s="9"/>
      <c r="S677" s="9"/>
      <c r="T677" s="9"/>
      <c r="U677" s="9"/>
      <c r="V677" s="9"/>
      <c r="W677" s="9"/>
      <c r="X677" s="9"/>
      <c r="Y677" s="9"/>
      <c r="Z677" s="9"/>
      <c r="AA677" s="9"/>
      <c r="AB677" s="9"/>
      <c r="AC677" s="9"/>
      <c r="AD677" s="9"/>
      <c r="AE677" s="9"/>
      <c r="AF677" s="9"/>
    </row>
    <row r="678" spans="1:32" ht="54.95" customHeight="1" x14ac:dyDescent="0.2">
      <c r="A678" s="56"/>
      <c r="B678" s="9"/>
      <c r="C678" s="9"/>
      <c r="D678" s="9"/>
      <c r="E678" s="9"/>
      <c r="F678" s="9"/>
      <c r="G678" s="9"/>
      <c r="H678" s="9"/>
      <c r="I678" s="58"/>
      <c r="J678" s="9"/>
      <c r="K678" s="9"/>
      <c r="L678" s="9"/>
      <c r="M678" s="9"/>
      <c r="N678" s="9"/>
      <c r="O678" s="9"/>
      <c r="P678" s="9"/>
      <c r="Q678" s="9"/>
      <c r="R678" s="9"/>
      <c r="S678" s="9"/>
      <c r="T678" s="9"/>
      <c r="U678" s="9"/>
      <c r="V678" s="9"/>
      <c r="W678" s="9"/>
      <c r="X678" s="9"/>
      <c r="Y678" s="9"/>
      <c r="Z678" s="9"/>
      <c r="AA678" s="9"/>
      <c r="AB678" s="9"/>
      <c r="AC678" s="9"/>
      <c r="AD678" s="9"/>
      <c r="AE678" s="9"/>
      <c r="AF678" s="9"/>
    </row>
    <row r="679" spans="1:32" ht="54.95" customHeight="1" x14ac:dyDescent="0.2">
      <c r="A679" s="56"/>
      <c r="B679" s="9"/>
      <c r="C679" s="9"/>
      <c r="D679" s="9"/>
      <c r="E679" s="9"/>
      <c r="F679" s="9"/>
      <c r="G679" s="9"/>
      <c r="H679" s="9"/>
      <c r="I679" s="58"/>
      <c r="J679" s="9"/>
      <c r="K679" s="9"/>
      <c r="L679" s="9"/>
      <c r="M679" s="9"/>
      <c r="N679" s="9"/>
      <c r="O679" s="9"/>
      <c r="P679" s="9"/>
      <c r="Q679" s="9"/>
      <c r="R679" s="9"/>
      <c r="S679" s="9"/>
      <c r="T679" s="9"/>
      <c r="U679" s="9"/>
      <c r="V679" s="9"/>
      <c r="W679" s="9"/>
      <c r="X679" s="9"/>
      <c r="Y679" s="9"/>
      <c r="Z679" s="9"/>
      <c r="AA679" s="9"/>
      <c r="AB679" s="9"/>
      <c r="AC679" s="9"/>
      <c r="AD679" s="9"/>
      <c r="AE679" s="9"/>
      <c r="AF679" s="9"/>
    </row>
    <row r="680" spans="1:32" ht="54.95" customHeight="1" x14ac:dyDescent="0.2">
      <c r="A680" s="56"/>
      <c r="B680" s="9"/>
      <c r="C680" s="9"/>
      <c r="D680" s="9"/>
      <c r="E680" s="9"/>
      <c r="F680" s="9"/>
      <c r="G680" s="9"/>
      <c r="H680" s="9"/>
      <c r="I680" s="58"/>
      <c r="J680" s="9"/>
      <c r="K680" s="9"/>
      <c r="L680" s="9"/>
      <c r="M680" s="9"/>
      <c r="N680" s="9"/>
      <c r="O680" s="9"/>
      <c r="P680" s="9"/>
      <c r="Q680" s="9"/>
      <c r="R680" s="9"/>
      <c r="S680" s="9"/>
      <c r="T680" s="9"/>
      <c r="U680" s="9"/>
      <c r="V680" s="9"/>
      <c r="W680" s="9"/>
      <c r="X680" s="9"/>
      <c r="Y680" s="9"/>
      <c r="Z680" s="9"/>
      <c r="AA680" s="9"/>
      <c r="AB680" s="9"/>
      <c r="AC680" s="9"/>
      <c r="AD680" s="9"/>
      <c r="AE680" s="9"/>
      <c r="AF680" s="9"/>
    </row>
    <row r="681" spans="1:32" ht="54.95" customHeight="1" x14ac:dyDescent="0.2">
      <c r="A681" s="56"/>
      <c r="B681" s="9"/>
      <c r="C681" s="9"/>
      <c r="D681" s="9"/>
      <c r="E681" s="9"/>
      <c r="F681" s="9"/>
      <c r="G681" s="9"/>
      <c r="H681" s="9"/>
      <c r="I681" s="58"/>
      <c r="J681" s="9"/>
      <c r="K681" s="9"/>
      <c r="L681" s="9"/>
      <c r="M681" s="9"/>
      <c r="N681" s="9"/>
      <c r="O681" s="9"/>
      <c r="P681" s="9"/>
      <c r="Q681" s="9"/>
      <c r="R681" s="9"/>
      <c r="S681" s="9"/>
      <c r="T681" s="9"/>
      <c r="U681" s="9"/>
      <c r="V681" s="9"/>
      <c r="W681" s="9"/>
      <c r="X681" s="9"/>
      <c r="Y681" s="9"/>
      <c r="Z681" s="9"/>
      <c r="AA681" s="9"/>
      <c r="AB681" s="9"/>
      <c r="AC681" s="9"/>
      <c r="AD681" s="9"/>
      <c r="AE681" s="9"/>
      <c r="AF681" s="9"/>
    </row>
    <row r="682" spans="1:32" ht="54.95" customHeight="1" x14ac:dyDescent="0.2">
      <c r="A682" s="56"/>
      <c r="B682" s="9"/>
      <c r="C682" s="9"/>
      <c r="D682" s="9"/>
      <c r="E682" s="9"/>
      <c r="F682" s="9"/>
      <c r="G682" s="9"/>
      <c r="H682" s="9"/>
      <c r="I682" s="58"/>
      <c r="J682" s="9"/>
      <c r="K682" s="9"/>
      <c r="L682" s="9"/>
      <c r="M682" s="9"/>
      <c r="N682" s="9"/>
      <c r="O682" s="9"/>
      <c r="P682" s="9"/>
      <c r="Q682" s="9"/>
      <c r="R682" s="9"/>
      <c r="S682" s="9"/>
      <c r="T682" s="9"/>
      <c r="U682" s="9"/>
      <c r="V682" s="9"/>
      <c r="W682" s="9"/>
      <c r="X682" s="9"/>
      <c r="Y682" s="9"/>
      <c r="Z682" s="9"/>
      <c r="AA682" s="9"/>
      <c r="AB682" s="9"/>
      <c r="AC682" s="9"/>
      <c r="AD682" s="9"/>
      <c r="AE682" s="9"/>
      <c r="AF682" s="9"/>
    </row>
    <row r="683" spans="1:32" ht="54.95" customHeight="1" x14ac:dyDescent="0.2">
      <c r="A683" s="56"/>
      <c r="B683" s="9"/>
      <c r="C683" s="9"/>
      <c r="D683" s="9"/>
      <c r="E683" s="9"/>
      <c r="F683" s="9"/>
      <c r="G683" s="9"/>
      <c r="H683" s="9"/>
      <c r="I683" s="58"/>
      <c r="J683" s="9"/>
      <c r="K683" s="9"/>
      <c r="L683" s="9"/>
      <c r="M683" s="9"/>
      <c r="N683" s="9"/>
      <c r="O683" s="9"/>
      <c r="P683" s="9"/>
      <c r="Q683" s="9"/>
      <c r="R683" s="9"/>
      <c r="S683" s="9"/>
      <c r="T683" s="9"/>
      <c r="U683" s="9"/>
      <c r="V683" s="9"/>
      <c r="W683" s="9"/>
      <c r="X683" s="9"/>
      <c r="Y683" s="9"/>
      <c r="Z683" s="9"/>
      <c r="AA683" s="9"/>
      <c r="AB683" s="9"/>
      <c r="AC683" s="9"/>
      <c r="AD683" s="9"/>
      <c r="AE683" s="9"/>
      <c r="AF683" s="9"/>
    </row>
    <row r="684" spans="1:32" ht="54.95" customHeight="1" x14ac:dyDescent="0.2">
      <c r="A684" s="56"/>
      <c r="B684" s="9"/>
      <c r="C684" s="9"/>
      <c r="D684" s="9"/>
      <c r="E684" s="9"/>
      <c r="F684" s="9"/>
      <c r="G684" s="9"/>
      <c r="H684" s="9"/>
      <c r="I684" s="58"/>
      <c r="J684" s="9"/>
      <c r="K684" s="9"/>
      <c r="L684" s="9"/>
      <c r="M684" s="9"/>
      <c r="N684" s="9"/>
      <c r="O684" s="9"/>
      <c r="P684" s="9"/>
      <c r="Q684" s="9"/>
      <c r="R684" s="9"/>
      <c r="S684" s="9"/>
      <c r="T684" s="9"/>
      <c r="U684" s="9"/>
      <c r="V684" s="9"/>
      <c r="W684" s="9"/>
      <c r="X684" s="9"/>
      <c r="Y684" s="9"/>
      <c r="Z684" s="9"/>
      <c r="AA684" s="9"/>
      <c r="AB684" s="9"/>
      <c r="AC684" s="9"/>
      <c r="AD684" s="9"/>
      <c r="AE684" s="9"/>
      <c r="AF684" s="9"/>
    </row>
    <row r="685" spans="1:32" ht="54.95" customHeight="1" x14ac:dyDescent="0.2">
      <c r="A685" s="56"/>
      <c r="B685" s="9"/>
      <c r="C685" s="9"/>
      <c r="D685" s="9"/>
      <c r="E685" s="9"/>
      <c r="F685" s="9"/>
      <c r="G685" s="9"/>
      <c r="H685" s="9"/>
      <c r="I685" s="58"/>
      <c r="J685" s="9"/>
      <c r="K685" s="9"/>
      <c r="L685" s="9"/>
      <c r="M685" s="9"/>
      <c r="N685" s="9"/>
      <c r="O685" s="9"/>
      <c r="P685" s="9"/>
      <c r="Q685" s="9"/>
      <c r="R685" s="9"/>
      <c r="S685" s="9"/>
      <c r="T685" s="9"/>
      <c r="U685" s="9"/>
      <c r="V685" s="9"/>
      <c r="W685" s="9"/>
      <c r="X685" s="9"/>
      <c r="Y685" s="9"/>
      <c r="Z685" s="9"/>
      <c r="AA685" s="9"/>
      <c r="AB685" s="9"/>
      <c r="AC685" s="9"/>
      <c r="AD685" s="9"/>
      <c r="AE685" s="9"/>
      <c r="AF685" s="9"/>
    </row>
    <row r="686" spans="1:32" ht="54.95" customHeight="1" x14ac:dyDescent="0.2">
      <c r="A686" s="56"/>
      <c r="B686" s="9"/>
      <c r="C686" s="9"/>
      <c r="D686" s="9"/>
      <c r="E686" s="9"/>
      <c r="F686" s="9"/>
      <c r="G686" s="9"/>
      <c r="H686" s="9"/>
      <c r="I686" s="58"/>
      <c r="J686" s="9"/>
      <c r="K686" s="9"/>
      <c r="L686" s="9"/>
      <c r="M686" s="9"/>
      <c r="N686" s="9"/>
      <c r="O686" s="9"/>
      <c r="P686" s="9"/>
      <c r="Q686" s="9"/>
      <c r="R686" s="9"/>
      <c r="S686" s="9"/>
      <c r="T686" s="9"/>
      <c r="U686" s="9"/>
      <c r="V686" s="9"/>
      <c r="W686" s="9"/>
      <c r="X686" s="9"/>
      <c r="Y686" s="9"/>
      <c r="Z686" s="9"/>
      <c r="AA686" s="9"/>
      <c r="AB686" s="9"/>
      <c r="AC686" s="9"/>
      <c r="AD686" s="9"/>
      <c r="AE686" s="9"/>
      <c r="AF686" s="9"/>
    </row>
    <row r="687" spans="1:32" ht="54.95" customHeight="1" x14ac:dyDescent="0.2">
      <c r="A687" s="56"/>
      <c r="B687" s="9"/>
      <c r="C687" s="9"/>
      <c r="D687" s="9"/>
      <c r="E687" s="9"/>
      <c r="F687" s="9"/>
      <c r="G687" s="9"/>
      <c r="H687" s="9"/>
      <c r="I687" s="58"/>
      <c r="J687" s="9"/>
      <c r="K687" s="9"/>
      <c r="L687" s="9"/>
      <c r="M687" s="9"/>
      <c r="N687" s="9"/>
      <c r="O687" s="9"/>
      <c r="P687" s="9"/>
      <c r="Q687" s="9"/>
      <c r="R687" s="9"/>
      <c r="S687" s="9"/>
      <c r="T687" s="9"/>
      <c r="U687" s="9"/>
      <c r="V687" s="9"/>
      <c r="W687" s="9"/>
      <c r="X687" s="9"/>
      <c r="Y687" s="9"/>
      <c r="Z687" s="9"/>
      <c r="AA687" s="9"/>
      <c r="AB687" s="9"/>
      <c r="AC687" s="9"/>
      <c r="AD687" s="9"/>
      <c r="AE687" s="9"/>
      <c r="AF687" s="9"/>
    </row>
    <row r="688" spans="1:32" ht="54.95" customHeight="1" x14ac:dyDescent="0.2">
      <c r="A688" s="56"/>
      <c r="B688" s="9"/>
      <c r="C688" s="9"/>
      <c r="D688" s="9"/>
      <c r="E688" s="9"/>
      <c r="F688" s="9"/>
      <c r="G688" s="9"/>
      <c r="H688" s="9"/>
      <c r="I688" s="58"/>
      <c r="J688" s="9"/>
      <c r="K688" s="9"/>
      <c r="L688" s="9"/>
      <c r="M688" s="9"/>
      <c r="N688" s="9"/>
      <c r="O688" s="9"/>
      <c r="P688" s="9"/>
      <c r="Q688" s="9"/>
      <c r="R688" s="9"/>
      <c r="S688" s="9"/>
      <c r="T688" s="9"/>
      <c r="U688" s="9"/>
      <c r="V688" s="9"/>
      <c r="W688" s="9"/>
      <c r="X688" s="9"/>
      <c r="Y688" s="9"/>
      <c r="Z688" s="9"/>
      <c r="AA688" s="9"/>
      <c r="AB688" s="9"/>
      <c r="AC688" s="9"/>
      <c r="AD688" s="9"/>
      <c r="AE688" s="9"/>
      <c r="AF688" s="9"/>
    </row>
    <row r="689" spans="1:32" ht="54.95" customHeight="1" x14ac:dyDescent="0.2">
      <c r="A689" s="56"/>
      <c r="B689" s="9"/>
      <c r="C689" s="9"/>
      <c r="D689" s="9"/>
      <c r="E689" s="9"/>
      <c r="F689" s="9"/>
      <c r="G689" s="9"/>
      <c r="H689" s="9"/>
      <c r="I689" s="58"/>
      <c r="J689" s="9"/>
      <c r="K689" s="9"/>
      <c r="L689" s="9"/>
      <c r="M689" s="9"/>
      <c r="N689" s="9"/>
      <c r="O689" s="9"/>
      <c r="P689" s="9"/>
      <c r="Q689" s="9"/>
      <c r="R689" s="9"/>
      <c r="S689" s="9"/>
      <c r="T689" s="9"/>
      <c r="U689" s="9"/>
      <c r="V689" s="9"/>
      <c r="W689" s="9"/>
      <c r="X689" s="9"/>
      <c r="Y689" s="9"/>
      <c r="Z689" s="9"/>
      <c r="AA689" s="9"/>
      <c r="AB689" s="9"/>
      <c r="AC689" s="9"/>
      <c r="AD689" s="9"/>
      <c r="AE689" s="9"/>
      <c r="AF689" s="9"/>
    </row>
    <row r="690" spans="1:32" ht="54.95" customHeight="1" x14ac:dyDescent="0.2">
      <c r="A690" s="56"/>
      <c r="B690" s="9"/>
      <c r="C690" s="9"/>
      <c r="D690" s="9"/>
      <c r="E690" s="9"/>
      <c r="F690" s="9"/>
      <c r="G690" s="9"/>
      <c r="H690" s="9"/>
      <c r="I690" s="58"/>
      <c r="J690" s="9"/>
      <c r="K690" s="9"/>
      <c r="L690" s="9"/>
      <c r="M690" s="9"/>
      <c r="N690" s="9"/>
      <c r="O690" s="9"/>
      <c r="P690" s="9"/>
      <c r="Q690" s="9"/>
      <c r="R690" s="9"/>
      <c r="S690" s="9"/>
      <c r="T690" s="9"/>
      <c r="U690" s="9"/>
      <c r="V690" s="9"/>
      <c r="W690" s="9"/>
      <c r="X690" s="9"/>
      <c r="Y690" s="9"/>
      <c r="Z690" s="9"/>
      <c r="AA690" s="9"/>
      <c r="AB690" s="9"/>
      <c r="AC690" s="9"/>
      <c r="AD690" s="9"/>
      <c r="AE690" s="9"/>
      <c r="AF690" s="9"/>
    </row>
    <row r="691" spans="1:32" ht="54.95" customHeight="1" x14ac:dyDescent="0.2">
      <c r="A691" s="56"/>
      <c r="B691" s="9"/>
      <c r="C691" s="9"/>
      <c r="D691" s="9"/>
      <c r="E691" s="9"/>
      <c r="F691" s="9"/>
      <c r="G691" s="9"/>
      <c r="H691" s="9"/>
      <c r="I691" s="58"/>
      <c r="J691" s="9"/>
      <c r="K691" s="9"/>
      <c r="L691" s="9"/>
      <c r="M691" s="9"/>
      <c r="N691" s="9"/>
      <c r="O691" s="9"/>
      <c r="P691" s="9"/>
      <c r="Q691" s="9"/>
      <c r="R691" s="9"/>
      <c r="S691" s="9"/>
      <c r="T691" s="9"/>
      <c r="U691" s="9"/>
      <c r="V691" s="9"/>
      <c r="W691" s="9"/>
      <c r="X691" s="9"/>
      <c r="Y691" s="9"/>
      <c r="Z691" s="9"/>
      <c r="AA691" s="9"/>
      <c r="AB691" s="9"/>
      <c r="AC691" s="9"/>
      <c r="AD691" s="9"/>
      <c r="AE691" s="9"/>
      <c r="AF691" s="9"/>
    </row>
    <row r="692" spans="1:32" ht="54.95" customHeight="1" x14ac:dyDescent="0.2">
      <c r="A692" s="56"/>
      <c r="B692" s="9"/>
      <c r="C692" s="9"/>
      <c r="D692" s="9"/>
      <c r="E692" s="9"/>
      <c r="F692" s="9"/>
      <c r="G692" s="9"/>
      <c r="H692" s="9"/>
      <c r="I692" s="58"/>
      <c r="J692" s="9"/>
      <c r="K692" s="9"/>
      <c r="L692" s="9"/>
      <c r="M692" s="9"/>
      <c r="N692" s="9"/>
      <c r="O692" s="9"/>
      <c r="P692" s="9"/>
      <c r="Q692" s="9"/>
      <c r="R692" s="9"/>
      <c r="S692" s="9"/>
      <c r="T692" s="9"/>
      <c r="U692" s="9"/>
      <c r="V692" s="9"/>
      <c r="W692" s="9"/>
      <c r="X692" s="9"/>
      <c r="Y692" s="9"/>
      <c r="Z692" s="9"/>
      <c r="AA692" s="9"/>
      <c r="AB692" s="9"/>
      <c r="AC692" s="9"/>
      <c r="AD692" s="9"/>
      <c r="AE692" s="9"/>
      <c r="AF692" s="9"/>
    </row>
    <row r="693" spans="1:32" ht="54.95" customHeight="1" x14ac:dyDescent="0.2">
      <c r="A693" s="56"/>
      <c r="B693" s="9"/>
      <c r="C693" s="9"/>
      <c r="D693" s="9"/>
      <c r="E693" s="9"/>
      <c r="F693" s="9"/>
      <c r="G693" s="9"/>
      <c r="H693" s="9"/>
      <c r="I693" s="58"/>
      <c r="J693" s="9"/>
      <c r="K693" s="9"/>
      <c r="L693" s="9"/>
      <c r="M693" s="9"/>
      <c r="N693" s="9"/>
      <c r="O693" s="9"/>
      <c r="P693" s="9"/>
      <c r="Q693" s="9"/>
      <c r="R693" s="9"/>
      <c r="S693" s="9"/>
      <c r="T693" s="9"/>
      <c r="U693" s="9"/>
      <c r="V693" s="9"/>
      <c r="W693" s="9"/>
      <c r="X693" s="9"/>
      <c r="Y693" s="9"/>
      <c r="Z693" s="9"/>
      <c r="AA693" s="9"/>
      <c r="AB693" s="9"/>
      <c r="AC693" s="9"/>
      <c r="AD693" s="9"/>
      <c r="AE693" s="9"/>
      <c r="AF693" s="9"/>
    </row>
    <row r="694" spans="1:32" ht="54.95" customHeight="1" x14ac:dyDescent="0.2">
      <c r="A694" s="56"/>
      <c r="B694" s="9"/>
      <c r="C694" s="9"/>
      <c r="D694" s="9"/>
      <c r="E694" s="9"/>
      <c r="F694" s="9"/>
      <c r="G694" s="9"/>
      <c r="H694" s="9"/>
      <c r="I694" s="58"/>
      <c r="J694" s="9"/>
      <c r="K694" s="9"/>
      <c r="L694" s="9"/>
      <c r="M694" s="9"/>
      <c r="N694" s="9"/>
      <c r="O694" s="9"/>
      <c r="P694" s="9"/>
      <c r="Q694" s="9"/>
      <c r="R694" s="9"/>
      <c r="S694" s="9"/>
      <c r="T694" s="9"/>
      <c r="U694" s="9"/>
      <c r="V694" s="9"/>
      <c r="W694" s="9"/>
      <c r="X694" s="9"/>
      <c r="Y694" s="9"/>
      <c r="Z694" s="9"/>
      <c r="AA694" s="9"/>
      <c r="AB694" s="9"/>
      <c r="AC694" s="9"/>
      <c r="AD694" s="9"/>
      <c r="AE694" s="9"/>
      <c r="AF694" s="9"/>
    </row>
    <row r="695" spans="1:32" ht="54.95" customHeight="1" x14ac:dyDescent="0.2">
      <c r="A695" s="56"/>
      <c r="B695" s="9"/>
      <c r="C695" s="9"/>
      <c r="D695" s="9"/>
      <c r="E695" s="9"/>
      <c r="F695" s="9"/>
      <c r="G695" s="9"/>
      <c r="H695" s="9"/>
      <c r="I695" s="58"/>
      <c r="J695" s="9"/>
      <c r="K695" s="9"/>
      <c r="L695" s="9"/>
      <c r="M695" s="9"/>
      <c r="N695" s="9"/>
      <c r="O695" s="9"/>
      <c r="P695" s="9"/>
      <c r="Q695" s="9"/>
      <c r="R695" s="9"/>
      <c r="S695" s="9"/>
      <c r="T695" s="9"/>
      <c r="U695" s="9"/>
      <c r="V695" s="9"/>
      <c r="W695" s="9"/>
      <c r="X695" s="9"/>
      <c r="Y695" s="9"/>
      <c r="Z695" s="9"/>
      <c r="AA695" s="9"/>
      <c r="AB695" s="9"/>
      <c r="AC695" s="9"/>
      <c r="AD695" s="9"/>
      <c r="AE695" s="9"/>
      <c r="AF695" s="9"/>
    </row>
    <row r="696" spans="1:32" ht="54.95" customHeight="1" x14ac:dyDescent="0.2">
      <c r="A696" s="56"/>
      <c r="B696" s="9"/>
      <c r="C696" s="9"/>
      <c r="D696" s="9"/>
      <c r="E696" s="9"/>
      <c r="F696" s="9"/>
      <c r="G696" s="9"/>
      <c r="H696" s="9"/>
      <c r="I696" s="58"/>
      <c r="J696" s="9"/>
      <c r="K696" s="9"/>
      <c r="L696" s="9"/>
      <c r="M696" s="9"/>
      <c r="N696" s="9"/>
      <c r="O696" s="9"/>
      <c r="P696" s="9"/>
      <c r="Q696" s="9"/>
      <c r="R696" s="9"/>
      <c r="S696" s="9"/>
      <c r="T696" s="9"/>
      <c r="U696" s="9"/>
      <c r="V696" s="9"/>
      <c r="W696" s="9"/>
      <c r="X696" s="9"/>
      <c r="Y696" s="9"/>
      <c r="Z696" s="9"/>
      <c r="AA696" s="9"/>
      <c r="AB696" s="9"/>
      <c r="AC696" s="9"/>
      <c r="AD696" s="9"/>
      <c r="AE696" s="9"/>
      <c r="AF696" s="9"/>
    </row>
    <row r="697" spans="1:32" ht="54.95" customHeight="1" x14ac:dyDescent="0.2">
      <c r="A697" s="56"/>
      <c r="B697" s="9"/>
      <c r="C697" s="9"/>
      <c r="D697" s="9"/>
      <c r="E697" s="9"/>
      <c r="F697" s="9"/>
      <c r="G697" s="9"/>
      <c r="H697" s="9"/>
      <c r="I697" s="58"/>
      <c r="J697" s="9"/>
      <c r="K697" s="9"/>
      <c r="L697" s="9"/>
      <c r="M697" s="9"/>
      <c r="N697" s="9"/>
      <c r="O697" s="9"/>
      <c r="P697" s="9"/>
      <c r="Q697" s="9"/>
      <c r="R697" s="9"/>
      <c r="S697" s="9"/>
      <c r="T697" s="9"/>
      <c r="U697" s="9"/>
      <c r="V697" s="9"/>
      <c r="W697" s="9"/>
      <c r="X697" s="9"/>
      <c r="Y697" s="9"/>
      <c r="Z697" s="9"/>
      <c r="AA697" s="9"/>
      <c r="AB697" s="9"/>
      <c r="AC697" s="9"/>
      <c r="AD697" s="9"/>
      <c r="AE697" s="9"/>
      <c r="AF697" s="9"/>
    </row>
    <row r="698" spans="1:32" ht="54.95" customHeight="1" x14ac:dyDescent="0.2">
      <c r="A698" s="56"/>
      <c r="B698" s="9"/>
      <c r="C698" s="9"/>
      <c r="D698" s="9"/>
      <c r="E698" s="9"/>
      <c r="F698" s="9"/>
      <c r="G698" s="9"/>
      <c r="H698" s="9"/>
      <c r="I698" s="58"/>
      <c r="J698" s="9"/>
      <c r="K698" s="9"/>
      <c r="L698" s="9"/>
      <c r="M698" s="9"/>
      <c r="N698" s="9"/>
      <c r="O698" s="9"/>
      <c r="P698" s="9"/>
      <c r="Q698" s="9"/>
      <c r="R698" s="9"/>
      <c r="S698" s="9"/>
      <c r="T698" s="9"/>
      <c r="U698" s="9"/>
      <c r="V698" s="9"/>
      <c r="W698" s="9"/>
      <c r="X698" s="9"/>
      <c r="Y698" s="9"/>
      <c r="Z698" s="9"/>
      <c r="AA698" s="9"/>
      <c r="AB698" s="9"/>
      <c r="AC698" s="9"/>
      <c r="AD698" s="9"/>
      <c r="AE698" s="9"/>
      <c r="AF698" s="9"/>
    </row>
    <row r="699" spans="1:32" ht="54.95" customHeight="1" x14ac:dyDescent="0.2">
      <c r="A699" s="56"/>
      <c r="B699" s="9"/>
      <c r="C699" s="9"/>
      <c r="D699" s="9"/>
      <c r="E699" s="9"/>
      <c r="F699" s="9"/>
      <c r="G699" s="9"/>
      <c r="H699" s="9"/>
      <c r="I699" s="58"/>
      <c r="J699" s="9"/>
      <c r="K699" s="9"/>
      <c r="L699" s="9"/>
      <c r="M699" s="9"/>
      <c r="N699" s="9"/>
      <c r="O699" s="9"/>
      <c r="P699" s="9"/>
      <c r="Q699" s="9"/>
      <c r="R699" s="9"/>
      <c r="S699" s="9"/>
      <c r="T699" s="9"/>
      <c r="U699" s="9"/>
      <c r="V699" s="9"/>
      <c r="W699" s="9"/>
      <c r="X699" s="9"/>
      <c r="Y699" s="9"/>
      <c r="Z699" s="9"/>
      <c r="AA699" s="9"/>
      <c r="AB699" s="9"/>
      <c r="AC699" s="9"/>
      <c r="AD699" s="9"/>
      <c r="AE699" s="9"/>
      <c r="AF699" s="9"/>
    </row>
    <row r="700" spans="1:32" ht="54.95" customHeight="1" x14ac:dyDescent="0.2">
      <c r="A700" s="56"/>
      <c r="B700" s="9"/>
      <c r="C700" s="9"/>
      <c r="D700" s="9"/>
      <c r="E700" s="9"/>
      <c r="F700" s="9"/>
      <c r="G700" s="9"/>
      <c r="H700" s="9"/>
      <c r="I700" s="58"/>
      <c r="J700" s="9"/>
      <c r="K700" s="9"/>
      <c r="L700" s="9"/>
      <c r="M700" s="9"/>
      <c r="N700" s="9"/>
      <c r="O700" s="9"/>
      <c r="P700" s="9"/>
      <c r="Q700" s="9"/>
      <c r="R700" s="9"/>
      <c r="S700" s="9"/>
      <c r="T700" s="9"/>
      <c r="U700" s="9"/>
      <c r="V700" s="9"/>
      <c r="W700" s="9"/>
      <c r="X700" s="9"/>
      <c r="Y700" s="9"/>
      <c r="Z700" s="9"/>
      <c r="AA700" s="9"/>
      <c r="AB700" s="9"/>
      <c r="AC700" s="9"/>
      <c r="AD700" s="9"/>
      <c r="AE700" s="9"/>
      <c r="AF700" s="9"/>
    </row>
    <row r="701" spans="1:32" ht="54.95" customHeight="1" x14ac:dyDescent="0.2">
      <c r="A701" s="56"/>
      <c r="B701" s="9"/>
      <c r="C701" s="9"/>
      <c r="D701" s="9"/>
      <c r="E701" s="9"/>
      <c r="F701" s="9"/>
      <c r="G701" s="9"/>
      <c r="H701" s="9"/>
      <c r="I701" s="58"/>
      <c r="J701" s="9"/>
      <c r="K701" s="9"/>
      <c r="L701" s="9"/>
      <c r="M701" s="9"/>
      <c r="N701" s="9"/>
      <c r="O701" s="9"/>
      <c r="P701" s="9"/>
      <c r="Q701" s="9"/>
      <c r="R701" s="9"/>
      <c r="S701" s="9"/>
      <c r="T701" s="9"/>
      <c r="U701" s="9"/>
      <c r="V701" s="9"/>
      <c r="W701" s="9"/>
      <c r="X701" s="9"/>
      <c r="Y701" s="9"/>
      <c r="Z701" s="9"/>
      <c r="AA701" s="9"/>
      <c r="AB701" s="9"/>
      <c r="AC701" s="9"/>
      <c r="AD701" s="9"/>
      <c r="AE701" s="9"/>
      <c r="AF701" s="9"/>
    </row>
    <row r="702" spans="1:32" ht="54.95" customHeight="1" x14ac:dyDescent="0.2">
      <c r="A702" s="56"/>
      <c r="B702" s="9"/>
      <c r="C702" s="9"/>
      <c r="D702" s="9"/>
      <c r="E702" s="9"/>
      <c r="F702" s="9"/>
      <c r="G702" s="9"/>
      <c r="H702" s="9"/>
      <c r="I702" s="58"/>
      <c r="J702" s="9"/>
      <c r="K702" s="9"/>
      <c r="L702" s="9"/>
      <c r="M702" s="9"/>
      <c r="N702" s="9"/>
      <c r="O702" s="9"/>
      <c r="P702" s="9"/>
      <c r="Q702" s="9"/>
      <c r="R702" s="9"/>
      <c r="S702" s="9"/>
      <c r="T702" s="9"/>
      <c r="U702" s="9"/>
      <c r="V702" s="9"/>
      <c r="W702" s="9"/>
      <c r="X702" s="9"/>
      <c r="Y702" s="9"/>
      <c r="Z702" s="9"/>
      <c r="AA702" s="9"/>
      <c r="AB702" s="9"/>
      <c r="AC702" s="9"/>
      <c r="AD702" s="9"/>
      <c r="AE702" s="9"/>
      <c r="AF702" s="9"/>
    </row>
    <row r="703" spans="1:32" ht="54.95" customHeight="1" x14ac:dyDescent="0.2">
      <c r="A703" s="56"/>
      <c r="B703" s="9"/>
      <c r="C703" s="9"/>
      <c r="D703" s="9"/>
      <c r="E703" s="9"/>
      <c r="F703" s="9"/>
      <c r="G703" s="9"/>
      <c r="H703" s="9"/>
      <c r="I703" s="58"/>
      <c r="J703" s="9"/>
      <c r="K703" s="9"/>
      <c r="L703" s="9"/>
      <c r="M703" s="9"/>
      <c r="N703" s="9"/>
      <c r="O703" s="9"/>
      <c r="P703" s="9"/>
      <c r="Q703" s="9"/>
      <c r="R703" s="9"/>
      <c r="S703" s="9"/>
      <c r="T703" s="9"/>
      <c r="U703" s="9"/>
      <c r="V703" s="9"/>
      <c r="W703" s="9"/>
      <c r="X703" s="9"/>
      <c r="Y703" s="9"/>
      <c r="Z703" s="9"/>
      <c r="AA703" s="9"/>
      <c r="AB703" s="9"/>
      <c r="AC703" s="9"/>
      <c r="AD703" s="9"/>
      <c r="AE703" s="9"/>
      <c r="AF703" s="9"/>
    </row>
    <row r="704" spans="1:32" ht="54.95" customHeight="1" x14ac:dyDescent="0.2">
      <c r="A704" s="56"/>
      <c r="B704" s="9"/>
      <c r="C704" s="9"/>
      <c r="D704" s="9"/>
      <c r="E704" s="9"/>
      <c r="F704" s="9"/>
      <c r="G704" s="9"/>
      <c r="H704" s="9"/>
      <c r="I704" s="58"/>
      <c r="J704" s="9"/>
      <c r="K704" s="9"/>
      <c r="L704" s="9"/>
      <c r="M704" s="9"/>
      <c r="N704" s="9"/>
      <c r="O704" s="9"/>
      <c r="P704" s="9"/>
      <c r="Q704" s="9"/>
      <c r="R704" s="9"/>
      <c r="S704" s="9"/>
      <c r="T704" s="9"/>
      <c r="U704" s="9"/>
      <c r="V704" s="9"/>
      <c r="W704" s="9"/>
      <c r="X704" s="9"/>
      <c r="Y704" s="9"/>
      <c r="Z704" s="9"/>
      <c r="AA704" s="9"/>
      <c r="AB704" s="9"/>
      <c r="AC704" s="9"/>
      <c r="AD704" s="9"/>
      <c r="AE704" s="9"/>
      <c r="AF704" s="9"/>
    </row>
    <row r="705" spans="1:32" ht="54.95" customHeight="1" x14ac:dyDescent="0.2">
      <c r="A705" s="56"/>
      <c r="B705" s="9"/>
      <c r="C705" s="9"/>
      <c r="D705" s="9"/>
      <c r="E705" s="9"/>
      <c r="F705" s="9"/>
      <c r="G705" s="9"/>
      <c r="H705" s="9"/>
      <c r="I705" s="58"/>
      <c r="J705" s="9"/>
      <c r="K705" s="9"/>
      <c r="L705" s="9"/>
      <c r="M705" s="9"/>
      <c r="N705" s="9"/>
      <c r="O705" s="9"/>
      <c r="P705" s="9"/>
      <c r="Q705" s="9"/>
      <c r="R705" s="9"/>
      <c r="S705" s="9"/>
      <c r="T705" s="9"/>
      <c r="U705" s="9"/>
      <c r="V705" s="9"/>
      <c r="W705" s="9"/>
      <c r="X705" s="9"/>
      <c r="Y705" s="9"/>
      <c r="Z705" s="9"/>
      <c r="AA705" s="9"/>
      <c r="AB705" s="9"/>
      <c r="AC705" s="9"/>
      <c r="AD705" s="9"/>
      <c r="AE705" s="9"/>
      <c r="AF705" s="9"/>
    </row>
    <row r="706" spans="1:32" ht="54.95" customHeight="1" x14ac:dyDescent="0.2">
      <c r="A706" s="56"/>
      <c r="B706" s="9"/>
      <c r="C706" s="9"/>
      <c r="D706" s="9"/>
      <c r="E706" s="9"/>
      <c r="F706" s="9"/>
      <c r="G706" s="9"/>
      <c r="H706" s="9"/>
      <c r="I706" s="58"/>
      <c r="J706" s="9"/>
      <c r="K706" s="9"/>
      <c r="L706" s="9"/>
      <c r="M706" s="9"/>
      <c r="N706" s="9"/>
      <c r="O706" s="9"/>
      <c r="P706" s="9"/>
      <c r="Q706" s="9"/>
      <c r="R706" s="9"/>
      <c r="S706" s="9"/>
      <c r="T706" s="9"/>
      <c r="U706" s="9"/>
      <c r="V706" s="9"/>
      <c r="W706" s="9"/>
      <c r="X706" s="9"/>
      <c r="Y706" s="9"/>
      <c r="Z706" s="9"/>
      <c r="AA706" s="9"/>
      <c r="AB706" s="9"/>
      <c r="AC706" s="9"/>
      <c r="AD706" s="9"/>
      <c r="AE706" s="9"/>
      <c r="AF706" s="9"/>
    </row>
    <row r="707" spans="1:32" ht="54.95" customHeight="1" x14ac:dyDescent="0.2">
      <c r="A707" s="56"/>
      <c r="B707" s="9"/>
      <c r="C707" s="9"/>
      <c r="D707" s="9"/>
      <c r="E707" s="9"/>
      <c r="F707" s="9"/>
      <c r="G707" s="9"/>
      <c r="H707" s="9"/>
      <c r="I707" s="58"/>
      <c r="J707" s="9"/>
      <c r="K707" s="9"/>
      <c r="L707" s="9"/>
      <c r="M707" s="9"/>
      <c r="N707" s="9"/>
      <c r="O707" s="9"/>
      <c r="P707" s="9"/>
      <c r="Q707" s="9"/>
      <c r="R707" s="9"/>
      <c r="S707" s="9"/>
      <c r="T707" s="9"/>
      <c r="U707" s="9"/>
      <c r="V707" s="9"/>
      <c r="W707" s="9"/>
      <c r="X707" s="9"/>
      <c r="Y707" s="9"/>
      <c r="Z707" s="9"/>
      <c r="AA707" s="9"/>
      <c r="AB707" s="9"/>
      <c r="AC707" s="9"/>
      <c r="AD707" s="9"/>
      <c r="AE707" s="9"/>
      <c r="AF707" s="9"/>
    </row>
    <row r="708" spans="1:32" ht="54.95" customHeight="1" x14ac:dyDescent="0.2">
      <c r="A708" s="56"/>
      <c r="B708" s="9"/>
      <c r="C708" s="9"/>
      <c r="D708" s="9"/>
      <c r="E708" s="9"/>
      <c r="F708" s="9"/>
      <c r="G708" s="9"/>
      <c r="H708" s="9"/>
      <c r="I708" s="58"/>
      <c r="J708" s="9"/>
      <c r="K708" s="9"/>
      <c r="L708" s="9"/>
      <c r="M708" s="9"/>
      <c r="N708" s="9"/>
      <c r="O708" s="9"/>
      <c r="P708" s="9"/>
      <c r="Q708" s="9"/>
      <c r="R708" s="9"/>
      <c r="S708" s="9"/>
      <c r="T708" s="9"/>
      <c r="U708" s="9"/>
      <c r="V708" s="9"/>
      <c r="W708" s="9"/>
      <c r="X708" s="9"/>
      <c r="Y708" s="9"/>
      <c r="Z708" s="9"/>
      <c r="AA708" s="9"/>
      <c r="AB708" s="9"/>
      <c r="AC708" s="9"/>
      <c r="AD708" s="9"/>
      <c r="AE708" s="9"/>
      <c r="AF708" s="9"/>
    </row>
    <row r="709" spans="1:32" ht="54.95" customHeight="1" x14ac:dyDescent="0.2">
      <c r="A709" s="56"/>
      <c r="B709" s="9"/>
      <c r="C709" s="9"/>
      <c r="D709" s="9"/>
      <c r="E709" s="9"/>
      <c r="F709" s="9"/>
      <c r="G709" s="9"/>
      <c r="H709" s="9"/>
      <c r="I709" s="58"/>
      <c r="J709" s="9"/>
      <c r="K709" s="9"/>
      <c r="L709" s="9"/>
      <c r="M709" s="9"/>
      <c r="N709" s="9"/>
      <c r="O709" s="9"/>
      <c r="P709" s="9"/>
      <c r="Q709" s="9"/>
      <c r="R709" s="9"/>
      <c r="S709" s="9"/>
      <c r="T709" s="9"/>
      <c r="U709" s="9"/>
      <c r="V709" s="9"/>
      <c r="W709" s="9"/>
      <c r="X709" s="9"/>
      <c r="Y709" s="9"/>
      <c r="Z709" s="9"/>
      <c r="AA709" s="9"/>
      <c r="AB709" s="9"/>
      <c r="AC709" s="9"/>
      <c r="AD709" s="9"/>
      <c r="AE709" s="9"/>
      <c r="AF709" s="9"/>
    </row>
    <row r="710" spans="1:32" ht="54.95" customHeight="1" x14ac:dyDescent="0.2">
      <c r="A710" s="56"/>
      <c r="B710" s="9"/>
      <c r="C710" s="9"/>
      <c r="D710" s="9"/>
      <c r="E710" s="9"/>
      <c r="F710" s="9"/>
      <c r="G710" s="9"/>
      <c r="H710" s="9"/>
      <c r="I710" s="58"/>
      <c r="J710" s="9"/>
      <c r="K710" s="9"/>
      <c r="L710" s="9"/>
      <c r="M710" s="9"/>
      <c r="N710" s="9"/>
      <c r="O710" s="9"/>
      <c r="P710" s="9"/>
      <c r="Q710" s="9"/>
      <c r="R710" s="9"/>
      <c r="S710" s="9"/>
      <c r="T710" s="9"/>
      <c r="U710" s="9"/>
      <c r="V710" s="9"/>
      <c r="W710" s="9"/>
      <c r="X710" s="9"/>
      <c r="Y710" s="9"/>
      <c r="Z710" s="9"/>
      <c r="AA710" s="9"/>
      <c r="AB710" s="9"/>
      <c r="AC710" s="9"/>
      <c r="AD710" s="9"/>
      <c r="AE710" s="9"/>
      <c r="AF710" s="9"/>
    </row>
    <row r="711" spans="1:32" ht="54.95" customHeight="1" x14ac:dyDescent="0.2">
      <c r="A711" s="56"/>
      <c r="B711" s="9"/>
      <c r="C711" s="9"/>
      <c r="D711" s="9"/>
      <c r="E711" s="9"/>
      <c r="F711" s="9"/>
      <c r="G711" s="9"/>
      <c r="H711" s="9"/>
      <c r="I711" s="58"/>
      <c r="J711" s="9"/>
      <c r="K711" s="9"/>
      <c r="L711" s="9"/>
      <c r="M711" s="9"/>
      <c r="N711" s="9"/>
      <c r="O711" s="9"/>
      <c r="P711" s="9"/>
      <c r="Q711" s="9"/>
      <c r="R711" s="9"/>
      <c r="S711" s="9"/>
      <c r="T711" s="9"/>
      <c r="U711" s="9"/>
      <c r="V711" s="9"/>
      <c r="W711" s="9"/>
      <c r="X711" s="9"/>
      <c r="Y711" s="9"/>
      <c r="Z711" s="9"/>
      <c r="AA711" s="9"/>
      <c r="AB711" s="9"/>
      <c r="AC711" s="9"/>
      <c r="AD711" s="9"/>
      <c r="AE711" s="9"/>
      <c r="AF711" s="9"/>
    </row>
    <row r="712" spans="1:32" ht="54.95" customHeight="1" x14ac:dyDescent="0.2">
      <c r="A712" s="56"/>
      <c r="B712" s="9"/>
      <c r="C712" s="9"/>
      <c r="D712" s="9"/>
      <c r="E712" s="9"/>
      <c r="F712" s="9"/>
      <c r="G712" s="9"/>
      <c r="H712" s="9"/>
      <c r="I712" s="58"/>
      <c r="J712" s="9"/>
      <c r="K712" s="9"/>
      <c r="L712" s="9"/>
      <c r="M712" s="9"/>
      <c r="N712" s="9"/>
      <c r="O712" s="9"/>
      <c r="P712" s="9"/>
      <c r="Q712" s="9"/>
      <c r="R712" s="9"/>
      <c r="S712" s="9"/>
      <c r="T712" s="9"/>
      <c r="U712" s="9"/>
      <c r="V712" s="9"/>
      <c r="W712" s="9"/>
      <c r="X712" s="9"/>
      <c r="Y712" s="9"/>
      <c r="Z712" s="9"/>
      <c r="AA712" s="9"/>
      <c r="AB712" s="9"/>
      <c r="AC712" s="9"/>
      <c r="AD712" s="9"/>
      <c r="AE712" s="9"/>
      <c r="AF712" s="9"/>
    </row>
    <row r="713" spans="1:32" ht="54.95" customHeight="1" x14ac:dyDescent="0.2">
      <c r="A713" s="56"/>
      <c r="B713" s="9"/>
      <c r="C713" s="9"/>
      <c r="D713" s="9"/>
      <c r="E713" s="9"/>
      <c r="F713" s="9"/>
      <c r="G713" s="9"/>
      <c r="H713" s="9"/>
      <c r="I713" s="58"/>
      <c r="J713" s="9"/>
      <c r="K713" s="9"/>
      <c r="L713" s="9"/>
      <c r="M713" s="9"/>
      <c r="N713" s="9"/>
      <c r="O713" s="9"/>
      <c r="P713" s="9"/>
      <c r="Q713" s="9"/>
      <c r="R713" s="9"/>
      <c r="S713" s="9"/>
      <c r="T713" s="9"/>
      <c r="U713" s="9"/>
      <c r="V713" s="9"/>
      <c r="W713" s="9"/>
      <c r="X713" s="9"/>
      <c r="Y713" s="9"/>
      <c r="Z713" s="9"/>
      <c r="AA713" s="9"/>
      <c r="AB713" s="9"/>
      <c r="AC713" s="9"/>
      <c r="AD713" s="9"/>
      <c r="AE713" s="9"/>
      <c r="AF713" s="9"/>
    </row>
    <row r="714" spans="1:32" ht="54.95" customHeight="1" x14ac:dyDescent="0.2">
      <c r="A714" s="56"/>
      <c r="B714" s="9"/>
      <c r="C714" s="9"/>
      <c r="D714" s="9"/>
      <c r="E714" s="9"/>
      <c r="F714" s="9"/>
      <c r="G714" s="9"/>
      <c r="H714" s="9"/>
      <c r="I714" s="58"/>
      <c r="J714" s="9"/>
      <c r="K714" s="9"/>
      <c r="L714" s="9"/>
      <c r="M714" s="9"/>
      <c r="N714" s="9"/>
      <c r="O714" s="9"/>
      <c r="P714" s="9"/>
      <c r="Q714" s="9"/>
      <c r="R714" s="9"/>
      <c r="S714" s="9"/>
      <c r="T714" s="9"/>
      <c r="U714" s="9"/>
      <c r="V714" s="9"/>
      <c r="W714" s="9"/>
      <c r="X714" s="9"/>
      <c r="Y714" s="9"/>
      <c r="Z714" s="9"/>
      <c r="AA714" s="9"/>
      <c r="AB714" s="9"/>
      <c r="AC714" s="9"/>
      <c r="AD714" s="9"/>
      <c r="AE714" s="9"/>
      <c r="AF714" s="9"/>
    </row>
    <row r="715" spans="1:32" ht="54.95" customHeight="1" x14ac:dyDescent="0.2">
      <c r="A715" s="56"/>
      <c r="B715" s="9"/>
      <c r="C715" s="9"/>
      <c r="D715" s="9"/>
      <c r="E715" s="9"/>
      <c r="F715" s="9"/>
      <c r="G715" s="9"/>
      <c r="H715" s="9"/>
      <c r="I715" s="58"/>
      <c r="J715" s="9"/>
      <c r="K715" s="9"/>
      <c r="L715" s="9"/>
      <c r="M715" s="9"/>
      <c r="N715" s="9"/>
      <c r="O715" s="9"/>
      <c r="P715" s="9"/>
      <c r="Q715" s="9"/>
      <c r="R715" s="9"/>
      <c r="S715" s="9"/>
      <c r="T715" s="9"/>
      <c r="U715" s="9"/>
      <c r="V715" s="9"/>
      <c r="W715" s="9"/>
      <c r="X715" s="9"/>
      <c r="Y715" s="9"/>
      <c r="Z715" s="9"/>
      <c r="AA715" s="9"/>
      <c r="AB715" s="9"/>
      <c r="AC715" s="9"/>
      <c r="AD715" s="9"/>
      <c r="AE715" s="9"/>
      <c r="AF715" s="9"/>
    </row>
    <row r="716" spans="1:32" ht="54.95" customHeight="1" x14ac:dyDescent="0.2">
      <c r="A716" s="56"/>
      <c r="B716" s="9"/>
      <c r="C716" s="9"/>
      <c r="D716" s="9"/>
      <c r="E716" s="9"/>
      <c r="F716" s="9"/>
      <c r="G716" s="9"/>
      <c r="H716" s="9"/>
      <c r="I716" s="58"/>
      <c r="J716" s="9"/>
      <c r="K716" s="9"/>
      <c r="L716" s="9"/>
      <c r="M716" s="9"/>
      <c r="N716" s="9"/>
      <c r="O716" s="9"/>
      <c r="P716" s="9"/>
      <c r="Q716" s="9"/>
      <c r="R716" s="9"/>
      <c r="S716" s="9"/>
      <c r="T716" s="9"/>
      <c r="U716" s="9"/>
      <c r="V716" s="9"/>
      <c r="W716" s="9"/>
      <c r="X716" s="9"/>
      <c r="Y716" s="9"/>
      <c r="Z716" s="9"/>
      <c r="AA716" s="9"/>
      <c r="AB716" s="9"/>
      <c r="AC716" s="9"/>
      <c r="AD716" s="9"/>
      <c r="AE716" s="9"/>
      <c r="AF716" s="9"/>
    </row>
    <row r="717" spans="1:32" ht="54.95" customHeight="1" x14ac:dyDescent="0.2">
      <c r="A717" s="56"/>
      <c r="B717" s="9"/>
      <c r="C717" s="9"/>
      <c r="D717" s="9"/>
      <c r="E717" s="9"/>
      <c r="F717" s="9"/>
      <c r="G717" s="9"/>
      <c r="H717" s="9"/>
      <c r="I717" s="58"/>
      <c r="J717" s="9"/>
      <c r="K717" s="9"/>
      <c r="L717" s="9"/>
      <c r="M717" s="9"/>
      <c r="N717" s="9"/>
      <c r="O717" s="9"/>
      <c r="P717" s="9"/>
      <c r="Q717" s="9"/>
      <c r="R717" s="9"/>
      <c r="S717" s="9"/>
      <c r="T717" s="9"/>
      <c r="U717" s="9"/>
      <c r="V717" s="9"/>
      <c r="W717" s="9"/>
      <c r="X717" s="9"/>
      <c r="Y717" s="9"/>
      <c r="Z717" s="9"/>
      <c r="AA717" s="9"/>
      <c r="AB717" s="9"/>
      <c r="AC717" s="9"/>
      <c r="AD717" s="9"/>
      <c r="AE717" s="9"/>
      <c r="AF717" s="9"/>
    </row>
    <row r="718" spans="1:32" ht="54.95" customHeight="1" x14ac:dyDescent="0.2">
      <c r="A718" s="56"/>
      <c r="B718" s="9"/>
      <c r="C718" s="9"/>
      <c r="D718" s="9"/>
      <c r="E718" s="9"/>
      <c r="F718" s="9"/>
      <c r="G718" s="9"/>
      <c r="H718" s="9"/>
      <c r="I718" s="58"/>
      <c r="J718" s="9"/>
      <c r="K718" s="9"/>
      <c r="L718" s="9"/>
      <c r="M718" s="9"/>
      <c r="N718" s="9"/>
      <c r="O718" s="9"/>
      <c r="P718" s="9"/>
      <c r="Q718" s="9"/>
      <c r="R718" s="9"/>
      <c r="S718" s="9"/>
      <c r="T718" s="9"/>
      <c r="U718" s="9"/>
      <c r="V718" s="9"/>
      <c r="W718" s="9"/>
      <c r="X718" s="9"/>
      <c r="Y718" s="9"/>
      <c r="Z718" s="9"/>
      <c r="AA718" s="9"/>
      <c r="AB718" s="9"/>
      <c r="AC718" s="9"/>
      <c r="AD718" s="9"/>
      <c r="AE718" s="9"/>
      <c r="AF718" s="9"/>
    </row>
    <row r="719" spans="1:32" ht="54.95" customHeight="1" x14ac:dyDescent="0.2">
      <c r="A719" s="56"/>
      <c r="B719" s="9"/>
      <c r="C719" s="9"/>
      <c r="D719" s="9"/>
      <c r="E719" s="9"/>
      <c r="F719" s="9"/>
      <c r="G719" s="9"/>
      <c r="H719" s="9"/>
      <c r="I719" s="58"/>
      <c r="J719" s="9"/>
      <c r="K719" s="9"/>
      <c r="L719" s="9"/>
      <c r="M719" s="9"/>
      <c r="N719" s="9"/>
      <c r="O719" s="9"/>
      <c r="P719" s="9"/>
      <c r="Q719" s="9"/>
      <c r="R719" s="9"/>
      <c r="S719" s="9"/>
      <c r="T719" s="9"/>
      <c r="U719" s="9"/>
      <c r="V719" s="9"/>
      <c r="W719" s="9"/>
      <c r="X719" s="9"/>
      <c r="Y719" s="9"/>
      <c r="Z719" s="9"/>
      <c r="AA719" s="9"/>
      <c r="AB719" s="9"/>
      <c r="AC719" s="9"/>
      <c r="AD719" s="9"/>
      <c r="AE719" s="9"/>
      <c r="AF719" s="9"/>
    </row>
    <row r="720" spans="1:32" ht="54.95" customHeight="1" x14ac:dyDescent="0.2">
      <c r="A720" s="56"/>
      <c r="B720" s="9"/>
      <c r="C720" s="9"/>
      <c r="D720" s="9"/>
      <c r="E720" s="9"/>
      <c r="F720" s="9"/>
      <c r="G720" s="9"/>
      <c r="H720" s="9"/>
      <c r="I720" s="58"/>
      <c r="J720" s="9"/>
      <c r="K720" s="9"/>
      <c r="L720" s="9"/>
      <c r="M720" s="9"/>
      <c r="N720" s="9"/>
      <c r="O720" s="9"/>
      <c r="P720" s="9"/>
      <c r="Q720" s="9"/>
      <c r="R720" s="9"/>
      <c r="S720" s="9"/>
      <c r="T720" s="9"/>
      <c r="U720" s="9"/>
      <c r="V720" s="9"/>
      <c r="W720" s="9"/>
      <c r="X720" s="9"/>
      <c r="Y720" s="9"/>
      <c r="Z720" s="9"/>
      <c r="AA720" s="9"/>
      <c r="AB720" s="9"/>
      <c r="AC720" s="9"/>
      <c r="AD720" s="9"/>
      <c r="AE720" s="9"/>
      <c r="AF720" s="9"/>
    </row>
    <row r="721" spans="1:32" ht="54.95" customHeight="1" x14ac:dyDescent="0.2">
      <c r="A721" s="56"/>
      <c r="B721" s="9"/>
      <c r="C721" s="9"/>
      <c r="D721" s="9"/>
      <c r="E721" s="9"/>
      <c r="F721" s="9"/>
      <c r="G721" s="9"/>
      <c r="H721" s="9"/>
      <c r="I721" s="58"/>
      <c r="J721" s="9"/>
      <c r="K721" s="9"/>
      <c r="L721" s="9"/>
      <c r="M721" s="9"/>
      <c r="N721" s="9"/>
      <c r="O721" s="9"/>
      <c r="P721" s="9"/>
      <c r="Q721" s="9"/>
      <c r="R721" s="9"/>
      <c r="S721" s="9"/>
      <c r="T721" s="9"/>
      <c r="U721" s="9"/>
      <c r="V721" s="9"/>
      <c r="W721" s="9"/>
      <c r="X721" s="9"/>
      <c r="Y721" s="9"/>
      <c r="Z721" s="9"/>
      <c r="AA721" s="9"/>
      <c r="AB721" s="9"/>
      <c r="AC721" s="9"/>
      <c r="AD721" s="9"/>
      <c r="AE721" s="9"/>
      <c r="AF721" s="9"/>
    </row>
    <row r="722" spans="1:32" ht="54.95" customHeight="1" x14ac:dyDescent="0.2">
      <c r="A722" s="56"/>
      <c r="B722" s="9"/>
      <c r="C722" s="9"/>
      <c r="D722" s="9"/>
      <c r="E722" s="9"/>
      <c r="F722" s="9"/>
      <c r="G722" s="9"/>
      <c r="H722" s="9"/>
      <c r="I722" s="58"/>
      <c r="J722" s="9"/>
      <c r="K722" s="9"/>
      <c r="L722" s="9"/>
      <c r="M722" s="9"/>
      <c r="N722" s="9"/>
      <c r="O722" s="9"/>
      <c r="P722" s="9"/>
      <c r="Q722" s="9"/>
      <c r="R722" s="9"/>
      <c r="S722" s="9"/>
      <c r="T722" s="9"/>
      <c r="U722" s="9"/>
      <c r="V722" s="9"/>
      <c r="W722" s="9"/>
      <c r="X722" s="9"/>
      <c r="Y722" s="9"/>
      <c r="Z722" s="9"/>
      <c r="AA722" s="9"/>
      <c r="AB722" s="9"/>
      <c r="AC722" s="9"/>
      <c r="AD722" s="9"/>
      <c r="AE722" s="9"/>
      <c r="AF722" s="9"/>
    </row>
    <row r="723" spans="1:32" ht="54.95" customHeight="1" x14ac:dyDescent="0.2">
      <c r="A723" s="56"/>
      <c r="B723" s="9"/>
      <c r="C723" s="9"/>
      <c r="D723" s="9"/>
      <c r="E723" s="9"/>
      <c r="F723" s="9"/>
      <c r="G723" s="9"/>
      <c r="H723" s="9"/>
      <c r="I723" s="58"/>
      <c r="J723" s="9"/>
      <c r="K723" s="9"/>
      <c r="L723" s="9"/>
      <c r="M723" s="9"/>
      <c r="N723" s="9"/>
      <c r="O723" s="9"/>
      <c r="P723" s="9"/>
      <c r="Q723" s="9"/>
      <c r="R723" s="9"/>
      <c r="S723" s="9"/>
      <c r="T723" s="9"/>
      <c r="U723" s="9"/>
      <c r="V723" s="9"/>
      <c r="W723" s="9"/>
      <c r="X723" s="9"/>
      <c r="Y723" s="9"/>
      <c r="Z723" s="9"/>
      <c r="AA723" s="9"/>
      <c r="AB723" s="9"/>
      <c r="AC723" s="9"/>
      <c r="AD723" s="9"/>
      <c r="AE723" s="9"/>
      <c r="AF723" s="9"/>
    </row>
    <row r="724" spans="1:32" ht="54.95" customHeight="1" x14ac:dyDescent="0.2">
      <c r="A724" s="56"/>
      <c r="B724" s="9"/>
      <c r="C724" s="9"/>
      <c r="D724" s="9"/>
      <c r="E724" s="9"/>
      <c r="F724" s="9"/>
      <c r="G724" s="9"/>
      <c r="H724" s="9"/>
      <c r="I724" s="58"/>
      <c r="J724" s="9"/>
      <c r="K724" s="9"/>
      <c r="L724" s="9"/>
      <c r="M724" s="9"/>
      <c r="N724" s="9"/>
      <c r="O724" s="9"/>
      <c r="P724" s="9"/>
      <c r="Q724" s="9"/>
      <c r="R724" s="9"/>
      <c r="S724" s="9"/>
      <c r="T724" s="9"/>
      <c r="U724" s="9"/>
      <c r="V724" s="9"/>
      <c r="W724" s="9"/>
      <c r="X724" s="9"/>
      <c r="Y724" s="9"/>
      <c r="Z724" s="9"/>
      <c r="AA724" s="9"/>
      <c r="AB724" s="9"/>
      <c r="AC724" s="9"/>
      <c r="AD724" s="9"/>
      <c r="AE724" s="9"/>
      <c r="AF724" s="9"/>
    </row>
    <row r="725" spans="1:32" ht="54.95" customHeight="1" x14ac:dyDescent="0.2">
      <c r="A725" s="56"/>
      <c r="B725" s="9"/>
      <c r="C725" s="9"/>
      <c r="D725" s="9"/>
      <c r="E725" s="9"/>
      <c r="F725" s="9"/>
      <c r="G725" s="9"/>
      <c r="H725" s="9"/>
      <c r="I725" s="58"/>
      <c r="J725" s="9"/>
      <c r="K725" s="9"/>
      <c r="L725" s="9"/>
      <c r="M725" s="9"/>
      <c r="N725" s="9"/>
      <c r="O725" s="9"/>
      <c r="P725" s="9"/>
      <c r="Q725" s="9"/>
      <c r="R725" s="9"/>
      <c r="S725" s="9"/>
      <c r="T725" s="9"/>
      <c r="U725" s="9"/>
      <c r="V725" s="9"/>
      <c r="W725" s="9"/>
      <c r="X725" s="9"/>
      <c r="Y725" s="9"/>
      <c r="Z725" s="9"/>
      <c r="AA725" s="9"/>
      <c r="AB725" s="9"/>
      <c r="AC725" s="9"/>
      <c r="AD725" s="9"/>
      <c r="AE725" s="9"/>
      <c r="AF725" s="9"/>
    </row>
    <row r="726" spans="1:32" ht="54.95" customHeight="1" x14ac:dyDescent="0.2">
      <c r="A726" s="56"/>
      <c r="B726" s="9"/>
      <c r="C726" s="9"/>
      <c r="D726" s="9"/>
      <c r="E726" s="9"/>
      <c r="F726" s="9"/>
      <c r="G726" s="9"/>
      <c r="H726" s="9"/>
      <c r="I726" s="58"/>
      <c r="J726" s="9"/>
      <c r="K726" s="9"/>
      <c r="L726" s="9"/>
      <c r="M726" s="9"/>
      <c r="N726" s="9"/>
      <c r="O726" s="9"/>
      <c r="P726" s="9"/>
      <c r="Q726" s="9"/>
      <c r="R726" s="9"/>
      <c r="S726" s="9"/>
      <c r="T726" s="9"/>
      <c r="U726" s="9"/>
      <c r="V726" s="9"/>
      <c r="W726" s="9"/>
      <c r="X726" s="9"/>
      <c r="Y726" s="9"/>
      <c r="Z726" s="9"/>
      <c r="AA726" s="9"/>
      <c r="AB726" s="9"/>
      <c r="AC726" s="9"/>
      <c r="AD726" s="9"/>
      <c r="AE726" s="9"/>
      <c r="AF726" s="9"/>
    </row>
    <row r="727" spans="1:32" ht="54.95" customHeight="1" x14ac:dyDescent="0.2">
      <c r="A727" s="56"/>
      <c r="B727" s="9"/>
      <c r="C727" s="9"/>
      <c r="D727" s="9"/>
      <c r="E727" s="9"/>
      <c r="F727" s="9"/>
      <c r="G727" s="9"/>
      <c r="H727" s="9"/>
      <c r="I727" s="58"/>
      <c r="J727" s="9"/>
      <c r="K727" s="9"/>
      <c r="L727" s="9"/>
      <c r="M727" s="9"/>
      <c r="N727" s="9"/>
      <c r="O727" s="9"/>
      <c r="P727" s="9"/>
      <c r="Q727" s="9"/>
      <c r="R727" s="9"/>
      <c r="S727" s="9"/>
      <c r="T727" s="9"/>
      <c r="U727" s="9"/>
      <c r="V727" s="9"/>
      <c r="W727" s="9"/>
      <c r="X727" s="9"/>
      <c r="Y727" s="9"/>
      <c r="Z727" s="9"/>
      <c r="AA727" s="9"/>
      <c r="AB727" s="9"/>
      <c r="AC727" s="9"/>
      <c r="AD727" s="9"/>
      <c r="AE727" s="9"/>
      <c r="AF727" s="9"/>
    </row>
    <row r="728" spans="1:32" ht="54.95" customHeight="1" x14ac:dyDescent="0.2">
      <c r="A728" s="56"/>
      <c r="B728" s="9"/>
      <c r="C728" s="9"/>
      <c r="D728" s="9"/>
      <c r="E728" s="9"/>
      <c r="F728" s="9"/>
      <c r="G728" s="9"/>
      <c r="H728" s="9"/>
      <c r="I728" s="58"/>
      <c r="J728" s="9"/>
      <c r="K728" s="9"/>
      <c r="L728" s="9"/>
      <c r="M728" s="9"/>
      <c r="N728" s="9"/>
      <c r="O728" s="9"/>
      <c r="P728" s="9"/>
      <c r="Q728" s="9"/>
      <c r="R728" s="9"/>
      <c r="S728" s="9"/>
      <c r="T728" s="9"/>
      <c r="U728" s="9"/>
      <c r="V728" s="9"/>
      <c r="W728" s="9"/>
      <c r="X728" s="9"/>
      <c r="Y728" s="9"/>
      <c r="Z728" s="9"/>
      <c r="AA728" s="9"/>
      <c r="AB728" s="9"/>
      <c r="AC728" s="9"/>
      <c r="AD728" s="9"/>
      <c r="AE728" s="9"/>
      <c r="AF728" s="9"/>
    </row>
    <row r="729" spans="1:32" ht="54.95" customHeight="1" x14ac:dyDescent="0.2">
      <c r="A729" s="56"/>
      <c r="B729" s="9"/>
      <c r="C729" s="9"/>
      <c r="D729" s="9"/>
      <c r="E729" s="9"/>
      <c r="F729" s="9"/>
      <c r="G729" s="9"/>
      <c r="H729" s="9"/>
      <c r="I729" s="58"/>
      <c r="J729" s="9"/>
      <c r="K729" s="9"/>
      <c r="L729" s="9"/>
      <c r="M729" s="9"/>
      <c r="N729" s="9"/>
      <c r="O729" s="9"/>
      <c r="P729" s="9"/>
      <c r="Q729" s="9"/>
      <c r="R729" s="9"/>
      <c r="S729" s="9"/>
      <c r="T729" s="9"/>
      <c r="U729" s="9"/>
      <c r="V729" s="9"/>
      <c r="W729" s="9"/>
      <c r="X729" s="9"/>
      <c r="Y729" s="9"/>
      <c r="Z729" s="9"/>
      <c r="AA729" s="9"/>
      <c r="AB729" s="9"/>
      <c r="AC729" s="9"/>
      <c r="AD729" s="9"/>
      <c r="AE729" s="9"/>
      <c r="AF729" s="9"/>
    </row>
    <row r="730" spans="1:32" ht="54.95" customHeight="1" x14ac:dyDescent="0.2">
      <c r="A730" s="56"/>
      <c r="B730" s="9"/>
      <c r="C730" s="9"/>
      <c r="D730" s="9"/>
      <c r="E730" s="9"/>
      <c r="F730" s="9"/>
      <c r="G730" s="9"/>
      <c r="H730" s="9"/>
      <c r="I730" s="58"/>
      <c r="J730" s="9"/>
      <c r="K730" s="9"/>
      <c r="L730" s="9"/>
      <c r="M730" s="9"/>
      <c r="N730" s="9"/>
      <c r="O730" s="9"/>
      <c r="P730" s="9"/>
      <c r="Q730" s="9"/>
      <c r="R730" s="9"/>
      <c r="S730" s="9"/>
      <c r="T730" s="9"/>
      <c r="U730" s="9"/>
      <c r="V730" s="9"/>
      <c r="W730" s="9"/>
      <c r="X730" s="9"/>
      <c r="Y730" s="9"/>
      <c r="Z730" s="9"/>
      <c r="AA730" s="9"/>
      <c r="AB730" s="9"/>
      <c r="AC730" s="9"/>
      <c r="AD730" s="9"/>
      <c r="AE730" s="9"/>
      <c r="AF730" s="9"/>
    </row>
    <row r="731" spans="1:32" ht="54.95" customHeight="1" x14ac:dyDescent="0.2">
      <c r="A731" s="56"/>
      <c r="B731" s="9"/>
      <c r="C731" s="9"/>
      <c r="D731" s="9"/>
      <c r="E731" s="9"/>
      <c r="F731" s="9"/>
      <c r="G731" s="9"/>
      <c r="H731" s="9"/>
      <c r="I731" s="58"/>
      <c r="J731" s="9"/>
      <c r="K731" s="9"/>
      <c r="L731" s="9"/>
      <c r="M731" s="9"/>
      <c r="N731" s="9"/>
      <c r="O731" s="9"/>
      <c r="P731" s="9"/>
      <c r="Q731" s="9"/>
      <c r="R731" s="9"/>
      <c r="S731" s="9"/>
      <c r="T731" s="9"/>
      <c r="U731" s="9"/>
      <c r="V731" s="9"/>
      <c r="W731" s="9"/>
      <c r="X731" s="9"/>
      <c r="Y731" s="9"/>
      <c r="Z731" s="9"/>
      <c r="AA731" s="9"/>
      <c r="AB731" s="9"/>
      <c r="AC731" s="9"/>
      <c r="AD731" s="9"/>
      <c r="AE731" s="9"/>
      <c r="AF731" s="9"/>
    </row>
    <row r="732" spans="1:32" ht="54.95" customHeight="1" x14ac:dyDescent="0.2">
      <c r="A732" s="56"/>
      <c r="B732" s="9"/>
      <c r="C732" s="9"/>
      <c r="D732" s="9"/>
      <c r="E732" s="9"/>
      <c r="F732" s="9"/>
      <c r="G732" s="9"/>
      <c r="H732" s="9"/>
      <c r="I732" s="58"/>
      <c r="J732" s="9"/>
      <c r="K732" s="9"/>
      <c r="L732" s="9"/>
      <c r="M732" s="9"/>
      <c r="N732" s="9"/>
      <c r="O732" s="9"/>
      <c r="P732" s="9"/>
      <c r="Q732" s="9"/>
      <c r="R732" s="9"/>
      <c r="S732" s="9"/>
      <c r="T732" s="9"/>
      <c r="U732" s="9"/>
      <c r="V732" s="9"/>
      <c r="W732" s="9"/>
      <c r="X732" s="9"/>
      <c r="Y732" s="9"/>
      <c r="Z732" s="9"/>
      <c r="AA732" s="9"/>
      <c r="AB732" s="9"/>
      <c r="AC732" s="9"/>
      <c r="AD732" s="9"/>
      <c r="AE732" s="9"/>
      <c r="AF732" s="9"/>
    </row>
    <row r="733" spans="1:32" ht="54.95" customHeight="1" x14ac:dyDescent="0.2">
      <c r="A733" s="56"/>
      <c r="B733" s="9"/>
      <c r="C733" s="9"/>
      <c r="D733" s="9"/>
      <c r="E733" s="9"/>
      <c r="F733" s="9"/>
      <c r="G733" s="9"/>
      <c r="H733" s="9"/>
      <c r="I733" s="58"/>
      <c r="J733" s="9"/>
      <c r="K733" s="9"/>
      <c r="L733" s="9"/>
      <c r="M733" s="9"/>
      <c r="N733" s="9"/>
      <c r="O733" s="9"/>
      <c r="P733" s="9"/>
      <c r="Q733" s="9"/>
      <c r="R733" s="9"/>
      <c r="S733" s="9"/>
      <c r="T733" s="9"/>
      <c r="U733" s="9"/>
      <c r="V733" s="9"/>
      <c r="W733" s="9"/>
      <c r="X733" s="9"/>
      <c r="Y733" s="9"/>
      <c r="Z733" s="9"/>
      <c r="AA733" s="9"/>
      <c r="AB733" s="9"/>
      <c r="AC733" s="9"/>
      <c r="AD733" s="9"/>
      <c r="AE733" s="9"/>
      <c r="AF733" s="9"/>
    </row>
    <row r="734" spans="1:32" ht="54.95" customHeight="1" x14ac:dyDescent="0.2">
      <c r="A734" s="56"/>
      <c r="B734" s="9"/>
      <c r="C734" s="9"/>
      <c r="D734" s="9"/>
      <c r="E734" s="9"/>
      <c r="F734" s="9"/>
      <c r="G734" s="9"/>
      <c r="H734" s="9"/>
      <c r="I734" s="58"/>
      <c r="J734" s="9"/>
      <c r="K734" s="9"/>
      <c r="L734" s="9"/>
      <c r="M734" s="9"/>
      <c r="N734" s="9"/>
      <c r="O734" s="9"/>
      <c r="P734" s="9"/>
      <c r="Q734" s="9"/>
      <c r="R734" s="9"/>
      <c r="S734" s="9"/>
      <c r="T734" s="9"/>
      <c r="U734" s="9"/>
      <c r="V734" s="9"/>
      <c r="W734" s="9"/>
      <c r="X734" s="9"/>
      <c r="Y734" s="9"/>
      <c r="Z734" s="9"/>
      <c r="AA734" s="9"/>
      <c r="AB734" s="9"/>
      <c r="AC734" s="9"/>
      <c r="AD734" s="9"/>
      <c r="AE734" s="9"/>
      <c r="AF734" s="9"/>
    </row>
    <row r="735" spans="1:32" ht="54.95" customHeight="1" x14ac:dyDescent="0.2">
      <c r="A735" s="56"/>
      <c r="B735" s="9"/>
      <c r="C735" s="9"/>
      <c r="D735" s="9"/>
      <c r="E735" s="9"/>
      <c r="F735" s="9"/>
      <c r="G735" s="9"/>
      <c r="H735" s="9"/>
      <c r="I735" s="58"/>
      <c r="J735" s="9"/>
      <c r="K735" s="9"/>
      <c r="L735" s="9"/>
      <c r="M735" s="9"/>
      <c r="N735" s="9"/>
      <c r="O735" s="9"/>
      <c r="P735" s="9"/>
      <c r="Q735" s="9"/>
      <c r="R735" s="9"/>
      <c r="S735" s="9"/>
      <c r="T735" s="9"/>
      <c r="U735" s="9"/>
      <c r="V735" s="9"/>
      <c r="W735" s="9"/>
      <c r="X735" s="9"/>
      <c r="Y735" s="9"/>
      <c r="Z735" s="9"/>
      <c r="AA735" s="9"/>
      <c r="AB735" s="9"/>
      <c r="AC735" s="9"/>
      <c r="AD735" s="9"/>
      <c r="AE735" s="9"/>
      <c r="AF735" s="9"/>
    </row>
    <row r="736" spans="1:32" ht="54.95" customHeight="1" x14ac:dyDescent="0.2">
      <c r="A736" s="56"/>
      <c r="B736" s="9"/>
      <c r="C736" s="9"/>
      <c r="D736" s="9"/>
      <c r="E736" s="9"/>
      <c r="F736" s="9"/>
      <c r="G736" s="9"/>
      <c r="H736" s="9"/>
      <c r="I736" s="58"/>
      <c r="J736" s="9"/>
      <c r="K736" s="9"/>
      <c r="L736" s="9"/>
      <c r="M736" s="9"/>
      <c r="N736" s="9"/>
      <c r="O736" s="9"/>
      <c r="P736" s="9"/>
      <c r="Q736" s="9"/>
      <c r="R736" s="9"/>
      <c r="S736" s="9"/>
      <c r="T736" s="9"/>
      <c r="U736" s="9"/>
      <c r="V736" s="9"/>
      <c r="W736" s="9"/>
      <c r="X736" s="9"/>
      <c r="Y736" s="9"/>
      <c r="Z736" s="9"/>
      <c r="AA736" s="9"/>
      <c r="AB736" s="9"/>
      <c r="AC736" s="9"/>
      <c r="AD736" s="9"/>
      <c r="AE736" s="9"/>
      <c r="AF736" s="9"/>
    </row>
    <row r="737" spans="1:32" ht="54.95" customHeight="1" x14ac:dyDescent="0.2">
      <c r="A737" s="56"/>
      <c r="B737" s="9"/>
      <c r="C737" s="9"/>
      <c r="D737" s="9"/>
      <c r="E737" s="9"/>
      <c r="F737" s="9"/>
      <c r="G737" s="9"/>
      <c r="H737" s="9"/>
      <c r="I737" s="58"/>
      <c r="J737" s="9"/>
      <c r="K737" s="9"/>
      <c r="L737" s="9"/>
      <c r="M737" s="9"/>
      <c r="N737" s="9"/>
      <c r="O737" s="9"/>
      <c r="P737" s="9"/>
      <c r="Q737" s="9"/>
      <c r="R737" s="9"/>
      <c r="S737" s="9"/>
      <c r="T737" s="9"/>
      <c r="U737" s="9"/>
      <c r="V737" s="9"/>
      <c r="W737" s="9"/>
      <c r="X737" s="9"/>
      <c r="Y737" s="9"/>
      <c r="Z737" s="9"/>
      <c r="AA737" s="9"/>
      <c r="AB737" s="9"/>
      <c r="AC737" s="9"/>
      <c r="AD737" s="9"/>
      <c r="AE737" s="9"/>
      <c r="AF737" s="9"/>
    </row>
    <row r="738" spans="1:32" ht="54.95" customHeight="1" x14ac:dyDescent="0.2">
      <c r="A738" s="56"/>
      <c r="B738" s="9"/>
      <c r="C738" s="9"/>
      <c r="D738" s="9"/>
      <c r="E738" s="9"/>
      <c r="F738" s="9"/>
      <c r="G738" s="9"/>
      <c r="H738" s="9"/>
      <c r="I738" s="58"/>
      <c r="J738" s="9"/>
      <c r="K738" s="9"/>
      <c r="L738" s="9"/>
      <c r="M738" s="9"/>
      <c r="N738" s="9"/>
      <c r="O738" s="9"/>
      <c r="P738" s="9"/>
      <c r="Q738" s="9"/>
      <c r="R738" s="9"/>
      <c r="S738" s="9"/>
      <c r="T738" s="9"/>
      <c r="U738" s="9"/>
      <c r="V738" s="9"/>
      <c r="W738" s="9"/>
      <c r="X738" s="9"/>
      <c r="Y738" s="9"/>
      <c r="Z738" s="9"/>
      <c r="AA738" s="9"/>
      <c r="AB738" s="9"/>
      <c r="AC738" s="9"/>
      <c r="AD738" s="9"/>
      <c r="AE738" s="9"/>
      <c r="AF738" s="9"/>
    </row>
    <row r="739" spans="1:32" ht="54.95" customHeight="1" x14ac:dyDescent="0.2">
      <c r="A739" s="56"/>
      <c r="B739" s="9"/>
      <c r="C739" s="9"/>
      <c r="D739" s="9"/>
      <c r="E739" s="9"/>
      <c r="F739" s="9"/>
      <c r="G739" s="9"/>
      <c r="H739" s="9"/>
      <c r="I739" s="58"/>
      <c r="J739" s="9"/>
      <c r="K739" s="9"/>
      <c r="L739" s="9"/>
      <c r="M739" s="9"/>
      <c r="N739" s="9"/>
      <c r="O739" s="9"/>
      <c r="P739" s="9"/>
      <c r="Q739" s="9"/>
      <c r="R739" s="9"/>
      <c r="S739" s="9"/>
      <c r="T739" s="9"/>
      <c r="U739" s="9"/>
      <c r="V739" s="9"/>
      <c r="W739" s="9"/>
      <c r="X739" s="9"/>
      <c r="Y739" s="9"/>
      <c r="Z739" s="9"/>
      <c r="AA739" s="9"/>
      <c r="AB739" s="9"/>
      <c r="AC739" s="9"/>
      <c r="AD739" s="9"/>
      <c r="AE739" s="9"/>
      <c r="AF739" s="9"/>
    </row>
    <row r="740" spans="1:32" ht="54.95" customHeight="1" x14ac:dyDescent="0.2">
      <c r="A740" s="56"/>
      <c r="B740" s="9"/>
      <c r="C740" s="9"/>
      <c r="D740" s="9"/>
      <c r="E740" s="9"/>
      <c r="F740" s="9"/>
      <c r="G740" s="9"/>
      <c r="H740" s="9"/>
      <c r="I740" s="58"/>
      <c r="J740" s="9"/>
      <c r="K740" s="9"/>
      <c r="L740" s="9"/>
      <c r="M740" s="9"/>
      <c r="N740" s="9"/>
      <c r="O740" s="9"/>
      <c r="P740" s="9"/>
      <c r="Q740" s="9"/>
      <c r="R740" s="9"/>
      <c r="S740" s="9"/>
      <c r="T740" s="9"/>
      <c r="U740" s="9"/>
      <c r="V740" s="9"/>
      <c r="W740" s="9"/>
      <c r="X740" s="9"/>
      <c r="Y740" s="9"/>
      <c r="Z740" s="9"/>
      <c r="AA740" s="9"/>
      <c r="AB740" s="9"/>
      <c r="AC740" s="9"/>
      <c r="AD740" s="9"/>
      <c r="AE740" s="9"/>
      <c r="AF740" s="9"/>
    </row>
    <row r="741" spans="1:32" ht="54.95" customHeight="1" x14ac:dyDescent="0.2">
      <c r="A741" s="56"/>
      <c r="B741" s="9"/>
      <c r="C741" s="9"/>
      <c r="D741" s="9"/>
      <c r="E741" s="9"/>
      <c r="F741" s="9"/>
      <c r="G741" s="9"/>
      <c r="H741" s="9"/>
      <c r="I741" s="58"/>
      <c r="J741" s="9"/>
      <c r="K741" s="9"/>
      <c r="L741" s="9"/>
      <c r="M741" s="9"/>
      <c r="N741" s="9"/>
      <c r="O741" s="9"/>
      <c r="P741" s="9"/>
      <c r="Q741" s="9"/>
      <c r="R741" s="9"/>
      <c r="S741" s="9"/>
      <c r="T741" s="9"/>
      <c r="U741" s="9"/>
      <c r="V741" s="9"/>
      <c r="W741" s="9"/>
      <c r="X741" s="9"/>
      <c r="Y741" s="9"/>
      <c r="Z741" s="9"/>
      <c r="AA741" s="9"/>
      <c r="AB741" s="9"/>
      <c r="AC741" s="9"/>
      <c r="AD741" s="9"/>
      <c r="AE741" s="9"/>
      <c r="AF741" s="9"/>
    </row>
    <row r="742" spans="1:32" ht="54.95" customHeight="1" x14ac:dyDescent="0.2">
      <c r="A742" s="56"/>
      <c r="B742" s="9"/>
      <c r="C742" s="9"/>
      <c r="D742" s="9"/>
      <c r="E742" s="9"/>
      <c r="F742" s="9"/>
      <c r="G742" s="9"/>
      <c r="H742" s="9"/>
      <c r="I742" s="58"/>
      <c r="J742" s="9"/>
      <c r="K742" s="9"/>
      <c r="L742" s="9"/>
      <c r="M742" s="9"/>
      <c r="N742" s="9"/>
      <c r="O742" s="9"/>
      <c r="P742" s="9"/>
      <c r="Q742" s="9"/>
      <c r="R742" s="9"/>
      <c r="S742" s="9"/>
      <c r="T742" s="9"/>
      <c r="U742" s="9"/>
      <c r="V742" s="9"/>
      <c r="W742" s="9"/>
      <c r="X742" s="9"/>
      <c r="Y742" s="9"/>
      <c r="Z742" s="9"/>
      <c r="AA742" s="9"/>
      <c r="AB742" s="9"/>
      <c r="AC742" s="9"/>
      <c r="AD742" s="9"/>
      <c r="AE742" s="9"/>
      <c r="AF742" s="9"/>
    </row>
    <row r="743" spans="1:32" ht="54.95" customHeight="1" x14ac:dyDescent="0.2">
      <c r="A743" s="56"/>
      <c r="B743" s="9"/>
      <c r="C743" s="9"/>
      <c r="D743" s="9"/>
      <c r="E743" s="9"/>
      <c r="F743" s="9"/>
      <c r="G743" s="9"/>
      <c r="H743" s="9"/>
      <c r="I743" s="58"/>
      <c r="J743" s="9"/>
      <c r="K743" s="9"/>
      <c r="L743" s="9"/>
      <c r="M743" s="9"/>
      <c r="N743" s="9"/>
      <c r="O743" s="9"/>
      <c r="P743" s="9"/>
      <c r="Q743" s="9"/>
      <c r="R743" s="9"/>
      <c r="S743" s="9"/>
      <c r="T743" s="9"/>
      <c r="U743" s="9"/>
      <c r="V743" s="9"/>
      <c r="W743" s="9"/>
      <c r="X743" s="9"/>
      <c r="Y743" s="9"/>
      <c r="Z743" s="9"/>
      <c r="AA743" s="9"/>
      <c r="AB743" s="9"/>
      <c r="AC743" s="9"/>
      <c r="AD743" s="9"/>
      <c r="AE743" s="9"/>
      <c r="AF743" s="9"/>
    </row>
    <row r="744" spans="1:32" ht="54.95" customHeight="1" x14ac:dyDescent="0.2">
      <c r="A744" s="56"/>
      <c r="B744" s="9"/>
      <c r="C744" s="9"/>
      <c r="D744" s="9"/>
      <c r="E744" s="9"/>
      <c r="F744" s="9"/>
      <c r="G744" s="9"/>
      <c r="H744" s="9"/>
      <c r="I744" s="58"/>
      <c r="J744" s="9"/>
      <c r="K744" s="9"/>
      <c r="L744" s="9"/>
      <c r="M744" s="9"/>
      <c r="N744" s="9"/>
      <c r="O744" s="9"/>
      <c r="P744" s="9"/>
      <c r="Q744" s="9"/>
      <c r="R744" s="9"/>
      <c r="S744" s="9"/>
      <c r="T744" s="9"/>
      <c r="U744" s="9"/>
      <c r="V744" s="9"/>
      <c r="W744" s="9"/>
      <c r="X744" s="9"/>
      <c r="Y744" s="9"/>
      <c r="Z744" s="9"/>
      <c r="AA744" s="9"/>
      <c r="AB744" s="9"/>
      <c r="AC744" s="9"/>
      <c r="AD744" s="9"/>
      <c r="AE744" s="9"/>
      <c r="AF744" s="9"/>
    </row>
    <row r="745" spans="1:32" ht="54.95" customHeight="1" x14ac:dyDescent="0.2">
      <c r="A745" s="56"/>
      <c r="B745" s="9"/>
      <c r="C745" s="9"/>
      <c r="D745" s="9"/>
      <c r="E745" s="9"/>
      <c r="F745" s="9"/>
      <c r="G745" s="9"/>
      <c r="H745" s="9"/>
      <c r="I745" s="58"/>
      <c r="J745" s="9"/>
      <c r="K745" s="9"/>
      <c r="L745" s="9"/>
      <c r="M745" s="9"/>
      <c r="N745" s="9"/>
      <c r="O745" s="9"/>
      <c r="P745" s="9"/>
      <c r="Q745" s="9"/>
      <c r="R745" s="9"/>
      <c r="S745" s="9"/>
      <c r="T745" s="9"/>
      <c r="U745" s="9"/>
      <c r="V745" s="9"/>
      <c r="W745" s="9"/>
      <c r="X745" s="9"/>
      <c r="Y745" s="9"/>
      <c r="Z745" s="9"/>
      <c r="AA745" s="9"/>
      <c r="AB745" s="9"/>
      <c r="AC745" s="9"/>
      <c r="AD745" s="9"/>
      <c r="AE745" s="9"/>
      <c r="AF745" s="9"/>
    </row>
    <row r="746" spans="1:32" ht="54.95" customHeight="1" x14ac:dyDescent="0.2">
      <c r="A746" s="56"/>
      <c r="B746" s="9"/>
      <c r="C746" s="9"/>
      <c r="D746" s="9"/>
      <c r="E746" s="9"/>
      <c r="F746" s="9"/>
      <c r="G746" s="9"/>
      <c r="H746" s="9"/>
      <c r="I746" s="58"/>
      <c r="J746" s="9"/>
      <c r="K746" s="9"/>
      <c r="L746" s="9"/>
      <c r="M746" s="9"/>
      <c r="N746" s="9"/>
      <c r="O746" s="9"/>
      <c r="P746" s="9"/>
      <c r="Q746" s="9"/>
      <c r="R746" s="9"/>
      <c r="S746" s="9"/>
      <c r="T746" s="9"/>
      <c r="U746" s="9"/>
      <c r="V746" s="9"/>
      <c r="W746" s="9"/>
      <c r="X746" s="9"/>
      <c r="Y746" s="9"/>
      <c r="Z746" s="9"/>
      <c r="AA746" s="9"/>
      <c r="AB746" s="9"/>
      <c r="AC746" s="9"/>
      <c r="AD746" s="9"/>
      <c r="AE746" s="9"/>
      <c r="AF746" s="9"/>
    </row>
    <row r="747" spans="1:32" ht="54.95" customHeight="1" x14ac:dyDescent="0.2">
      <c r="A747" s="56"/>
      <c r="B747" s="9"/>
      <c r="C747" s="9"/>
      <c r="D747" s="9"/>
      <c r="E747" s="9"/>
      <c r="F747" s="9"/>
      <c r="G747" s="9"/>
      <c r="H747" s="9"/>
      <c r="I747" s="58"/>
      <c r="J747" s="9"/>
      <c r="K747" s="9"/>
      <c r="L747" s="9"/>
      <c r="M747" s="9"/>
      <c r="N747" s="9"/>
      <c r="O747" s="9"/>
      <c r="P747" s="9"/>
      <c r="Q747" s="9"/>
      <c r="R747" s="9"/>
      <c r="S747" s="9"/>
      <c r="T747" s="9"/>
      <c r="U747" s="9"/>
      <c r="V747" s="9"/>
      <c r="W747" s="9"/>
      <c r="X747" s="9"/>
      <c r="Y747" s="9"/>
      <c r="Z747" s="9"/>
      <c r="AA747" s="9"/>
      <c r="AB747" s="9"/>
      <c r="AC747" s="9"/>
      <c r="AD747" s="9"/>
      <c r="AE747" s="9"/>
      <c r="AF747" s="9"/>
    </row>
    <row r="748" spans="1:32" ht="54.95" customHeight="1" x14ac:dyDescent="0.2">
      <c r="A748" s="56"/>
      <c r="B748" s="9"/>
      <c r="C748" s="9"/>
      <c r="D748" s="9"/>
      <c r="E748" s="9"/>
      <c r="F748" s="9"/>
      <c r="G748" s="9"/>
      <c r="H748" s="9"/>
      <c r="I748" s="58"/>
      <c r="J748" s="9"/>
      <c r="K748" s="9"/>
      <c r="L748" s="9"/>
      <c r="M748" s="9"/>
      <c r="N748" s="9"/>
      <c r="O748" s="9"/>
      <c r="P748" s="9"/>
      <c r="Q748" s="9"/>
      <c r="R748" s="9"/>
      <c r="S748" s="9"/>
      <c r="T748" s="9"/>
      <c r="U748" s="9"/>
      <c r="V748" s="9"/>
      <c r="W748" s="9"/>
      <c r="X748" s="9"/>
      <c r="Y748" s="9"/>
      <c r="Z748" s="9"/>
      <c r="AA748" s="9"/>
      <c r="AB748" s="9"/>
      <c r="AC748" s="9"/>
      <c r="AD748" s="9"/>
      <c r="AE748" s="9"/>
      <c r="AF748" s="9"/>
    </row>
    <row r="749" spans="1:32" ht="54.95" customHeight="1" x14ac:dyDescent="0.2">
      <c r="A749" s="56"/>
      <c r="B749" s="9"/>
      <c r="C749" s="9"/>
      <c r="D749" s="9"/>
      <c r="E749" s="9"/>
      <c r="F749" s="9"/>
      <c r="G749" s="9"/>
      <c r="H749" s="9"/>
      <c r="I749" s="58"/>
      <c r="J749" s="9"/>
      <c r="K749" s="9"/>
      <c r="L749" s="9"/>
      <c r="M749" s="9"/>
      <c r="N749" s="9"/>
      <c r="O749" s="9"/>
      <c r="P749" s="9"/>
      <c r="Q749" s="9"/>
      <c r="R749" s="9"/>
      <c r="S749" s="9"/>
      <c r="T749" s="9"/>
      <c r="U749" s="9"/>
      <c r="V749" s="9"/>
      <c r="W749" s="9"/>
      <c r="X749" s="9"/>
      <c r="Y749" s="9"/>
      <c r="Z749" s="9"/>
      <c r="AA749" s="9"/>
      <c r="AB749" s="9"/>
      <c r="AC749" s="9"/>
      <c r="AD749" s="9"/>
      <c r="AE749" s="9"/>
      <c r="AF749" s="9"/>
    </row>
    <row r="750" spans="1:32" ht="54.95" customHeight="1" x14ac:dyDescent="0.2">
      <c r="A750" s="56"/>
      <c r="B750" s="9"/>
      <c r="C750" s="9"/>
      <c r="D750" s="9"/>
      <c r="E750" s="9"/>
      <c r="F750" s="9"/>
      <c r="G750" s="9"/>
      <c r="H750" s="9"/>
      <c r="I750" s="58"/>
      <c r="J750" s="9"/>
      <c r="K750" s="9"/>
      <c r="L750" s="9"/>
      <c r="M750" s="9"/>
      <c r="N750" s="9"/>
      <c r="O750" s="9"/>
      <c r="P750" s="9"/>
      <c r="Q750" s="9"/>
      <c r="R750" s="9"/>
      <c r="S750" s="9"/>
      <c r="T750" s="9"/>
      <c r="U750" s="9"/>
      <c r="V750" s="9"/>
      <c r="W750" s="9"/>
      <c r="X750" s="9"/>
      <c r="Y750" s="9"/>
      <c r="Z750" s="9"/>
      <c r="AA750" s="9"/>
      <c r="AB750" s="9"/>
      <c r="AC750" s="9"/>
      <c r="AD750" s="9"/>
      <c r="AE750" s="9"/>
      <c r="AF750" s="9"/>
    </row>
    <row r="751" spans="1:32" ht="54.95" customHeight="1" x14ac:dyDescent="0.2">
      <c r="A751" s="56"/>
      <c r="B751" s="9"/>
      <c r="C751" s="9"/>
      <c r="D751" s="9"/>
      <c r="E751" s="9"/>
      <c r="F751" s="9"/>
      <c r="G751" s="9"/>
      <c r="H751" s="9"/>
      <c r="I751" s="58"/>
      <c r="J751" s="9"/>
      <c r="K751" s="9"/>
      <c r="L751" s="9"/>
      <c r="M751" s="9"/>
      <c r="N751" s="9"/>
      <c r="O751" s="9"/>
      <c r="P751" s="9"/>
      <c r="Q751" s="9"/>
      <c r="R751" s="9"/>
      <c r="S751" s="9"/>
      <c r="T751" s="9"/>
      <c r="U751" s="9"/>
      <c r="V751" s="9"/>
      <c r="W751" s="9"/>
      <c r="X751" s="9"/>
      <c r="Y751" s="9"/>
      <c r="Z751" s="9"/>
      <c r="AA751" s="9"/>
      <c r="AB751" s="9"/>
      <c r="AC751" s="9"/>
      <c r="AD751" s="9"/>
      <c r="AE751" s="9"/>
      <c r="AF751" s="9"/>
    </row>
    <row r="752" spans="1:32" ht="54.95" customHeight="1" x14ac:dyDescent="0.2">
      <c r="A752" s="56"/>
      <c r="B752" s="9"/>
      <c r="C752" s="9"/>
      <c r="D752" s="9"/>
      <c r="E752" s="9"/>
      <c r="F752" s="9"/>
      <c r="G752" s="9"/>
      <c r="H752" s="9"/>
      <c r="I752" s="58"/>
      <c r="J752" s="9"/>
      <c r="K752" s="9"/>
      <c r="L752" s="9"/>
      <c r="M752" s="9"/>
      <c r="N752" s="9"/>
      <c r="O752" s="9"/>
      <c r="P752" s="9"/>
      <c r="Q752" s="9"/>
      <c r="R752" s="9"/>
      <c r="S752" s="9"/>
      <c r="T752" s="9"/>
      <c r="U752" s="9"/>
      <c r="V752" s="9"/>
      <c r="W752" s="9"/>
      <c r="X752" s="9"/>
      <c r="Y752" s="9"/>
      <c r="Z752" s="9"/>
      <c r="AA752" s="9"/>
      <c r="AB752" s="9"/>
      <c r="AC752" s="9"/>
      <c r="AD752" s="9"/>
      <c r="AE752" s="9"/>
      <c r="AF752" s="9"/>
    </row>
    <row r="753" spans="1:32" ht="54.95" customHeight="1" x14ac:dyDescent="0.2">
      <c r="A753" s="56"/>
      <c r="B753" s="9"/>
      <c r="C753" s="9"/>
      <c r="D753" s="9"/>
      <c r="E753" s="9"/>
      <c r="F753" s="9"/>
      <c r="G753" s="9"/>
      <c r="H753" s="9"/>
      <c r="I753" s="58"/>
      <c r="J753" s="9"/>
      <c r="K753" s="9"/>
      <c r="L753" s="9"/>
      <c r="M753" s="9"/>
      <c r="N753" s="9"/>
      <c r="O753" s="9"/>
      <c r="P753" s="9"/>
      <c r="Q753" s="9"/>
      <c r="R753" s="9"/>
      <c r="S753" s="9"/>
      <c r="T753" s="9"/>
      <c r="U753" s="9"/>
      <c r="V753" s="9"/>
      <c r="W753" s="9"/>
      <c r="X753" s="9"/>
      <c r="Y753" s="9"/>
      <c r="Z753" s="9"/>
      <c r="AA753" s="9"/>
      <c r="AB753" s="9"/>
      <c r="AC753" s="9"/>
      <c r="AD753" s="9"/>
      <c r="AE753" s="9"/>
      <c r="AF753" s="9"/>
    </row>
    <row r="754" spans="1:32" ht="54.95" customHeight="1" x14ac:dyDescent="0.2">
      <c r="A754" s="56"/>
      <c r="B754" s="9"/>
      <c r="C754" s="9"/>
      <c r="D754" s="9"/>
      <c r="E754" s="9"/>
      <c r="F754" s="9"/>
      <c r="G754" s="9"/>
      <c r="H754" s="9"/>
      <c r="I754" s="58"/>
      <c r="J754" s="9"/>
      <c r="K754" s="9"/>
      <c r="L754" s="9"/>
      <c r="M754" s="9"/>
      <c r="N754" s="9"/>
      <c r="O754" s="9"/>
      <c r="P754" s="9"/>
      <c r="Q754" s="9"/>
      <c r="R754" s="9"/>
      <c r="S754" s="9"/>
      <c r="T754" s="9"/>
      <c r="U754" s="9"/>
      <c r="V754" s="9"/>
      <c r="W754" s="9"/>
      <c r="X754" s="9"/>
      <c r="Y754" s="9"/>
      <c r="Z754" s="9"/>
      <c r="AA754" s="9"/>
      <c r="AB754" s="9"/>
      <c r="AC754" s="9"/>
      <c r="AD754" s="9"/>
      <c r="AE754" s="9"/>
      <c r="AF754" s="9"/>
    </row>
    <row r="755" spans="1:32" ht="54.95" customHeight="1" x14ac:dyDescent="0.2">
      <c r="A755" s="56"/>
      <c r="B755" s="9"/>
      <c r="C755" s="9"/>
      <c r="D755" s="9"/>
      <c r="E755" s="9"/>
      <c r="F755" s="9"/>
      <c r="G755" s="9"/>
      <c r="H755" s="9"/>
      <c r="I755" s="58"/>
      <c r="J755" s="9"/>
      <c r="K755" s="9"/>
      <c r="L755" s="9"/>
      <c r="M755" s="9"/>
      <c r="N755" s="9"/>
      <c r="O755" s="9"/>
      <c r="P755" s="9"/>
      <c r="Q755" s="9"/>
      <c r="R755" s="9"/>
      <c r="S755" s="9"/>
      <c r="T755" s="9"/>
      <c r="U755" s="9"/>
      <c r="V755" s="9"/>
      <c r="W755" s="9"/>
      <c r="X755" s="9"/>
      <c r="Y755" s="9"/>
      <c r="Z755" s="9"/>
      <c r="AA755" s="9"/>
      <c r="AB755" s="9"/>
      <c r="AC755" s="9"/>
      <c r="AD755" s="9"/>
      <c r="AE755" s="9"/>
      <c r="AF755" s="9"/>
    </row>
    <row r="756" spans="1:32" ht="54.95" customHeight="1" x14ac:dyDescent="0.2">
      <c r="A756" s="56"/>
      <c r="B756" s="9"/>
      <c r="C756" s="9"/>
      <c r="D756" s="9"/>
      <c r="E756" s="9"/>
      <c r="F756" s="9"/>
      <c r="G756" s="9"/>
      <c r="H756" s="9"/>
      <c r="I756" s="58"/>
      <c r="J756" s="9"/>
      <c r="K756" s="9"/>
      <c r="L756" s="9"/>
      <c r="M756" s="9"/>
      <c r="N756" s="9"/>
      <c r="O756" s="9"/>
      <c r="P756" s="9"/>
      <c r="Q756" s="9"/>
      <c r="R756" s="9"/>
      <c r="S756" s="9"/>
      <c r="T756" s="9"/>
      <c r="U756" s="9"/>
      <c r="V756" s="9"/>
      <c r="W756" s="9"/>
      <c r="X756" s="9"/>
      <c r="Y756" s="9"/>
      <c r="Z756" s="9"/>
      <c r="AA756" s="9"/>
      <c r="AB756" s="9"/>
      <c r="AC756" s="9"/>
      <c r="AD756" s="9"/>
      <c r="AE756" s="9"/>
      <c r="AF756" s="9"/>
    </row>
    <row r="757" spans="1:32" ht="54.95" customHeight="1" x14ac:dyDescent="0.2">
      <c r="A757" s="56"/>
      <c r="B757" s="9"/>
      <c r="C757" s="9"/>
      <c r="D757" s="9"/>
      <c r="E757" s="9"/>
      <c r="F757" s="9"/>
      <c r="G757" s="9"/>
      <c r="H757" s="9"/>
      <c r="I757" s="58"/>
      <c r="J757" s="9"/>
      <c r="K757" s="9"/>
      <c r="L757" s="9"/>
      <c r="M757" s="9"/>
      <c r="N757" s="9"/>
      <c r="O757" s="9"/>
      <c r="P757" s="9"/>
      <c r="Q757" s="9"/>
      <c r="R757" s="9"/>
      <c r="S757" s="9"/>
      <c r="T757" s="9"/>
      <c r="U757" s="9"/>
      <c r="V757" s="9"/>
      <c r="W757" s="9"/>
      <c r="X757" s="9"/>
      <c r="Y757" s="9"/>
      <c r="Z757" s="9"/>
      <c r="AA757" s="9"/>
      <c r="AB757" s="9"/>
      <c r="AC757" s="9"/>
      <c r="AD757" s="9"/>
      <c r="AE757" s="9"/>
      <c r="AF757" s="9"/>
    </row>
    <row r="758" spans="1:32" ht="54.95" customHeight="1" x14ac:dyDescent="0.2">
      <c r="A758" s="56"/>
      <c r="B758" s="9"/>
      <c r="C758" s="9"/>
      <c r="D758" s="9"/>
      <c r="E758" s="9"/>
      <c r="F758" s="9"/>
      <c r="G758" s="9"/>
      <c r="H758" s="9"/>
      <c r="I758" s="58"/>
      <c r="J758" s="9"/>
      <c r="K758" s="9"/>
      <c r="L758" s="9"/>
      <c r="M758" s="9"/>
      <c r="N758" s="9"/>
      <c r="O758" s="9"/>
      <c r="P758" s="9"/>
      <c r="Q758" s="9"/>
      <c r="R758" s="9"/>
      <c r="S758" s="9"/>
      <c r="T758" s="9"/>
      <c r="U758" s="9"/>
      <c r="V758" s="9"/>
      <c r="W758" s="9"/>
      <c r="X758" s="9"/>
      <c r="Y758" s="9"/>
      <c r="Z758" s="9"/>
      <c r="AA758" s="9"/>
      <c r="AB758" s="9"/>
      <c r="AC758" s="9"/>
      <c r="AD758" s="9"/>
      <c r="AE758" s="9"/>
      <c r="AF758" s="9"/>
    </row>
    <row r="759" spans="1:32" ht="54.95" customHeight="1" x14ac:dyDescent="0.2">
      <c r="A759" s="56"/>
      <c r="B759" s="9"/>
      <c r="C759" s="9"/>
      <c r="D759" s="9"/>
      <c r="E759" s="9"/>
      <c r="F759" s="9"/>
      <c r="G759" s="9"/>
      <c r="H759" s="9"/>
      <c r="I759" s="58"/>
      <c r="J759" s="9"/>
      <c r="K759" s="9"/>
      <c r="L759" s="9"/>
      <c r="M759" s="9"/>
      <c r="N759" s="9"/>
      <c r="O759" s="9"/>
      <c r="P759" s="9"/>
      <c r="Q759" s="9"/>
      <c r="R759" s="9"/>
      <c r="S759" s="9"/>
      <c r="T759" s="9"/>
      <c r="U759" s="9"/>
      <c r="V759" s="9"/>
      <c r="W759" s="9"/>
      <c r="X759" s="9"/>
      <c r="Y759" s="9"/>
      <c r="Z759" s="9"/>
      <c r="AA759" s="9"/>
      <c r="AB759" s="9"/>
      <c r="AC759" s="9"/>
      <c r="AD759" s="9"/>
      <c r="AE759" s="9"/>
      <c r="AF759" s="9"/>
    </row>
    <row r="760" spans="1:32" ht="54.95" customHeight="1" x14ac:dyDescent="0.2">
      <c r="A760" s="56"/>
      <c r="B760" s="9"/>
      <c r="C760" s="9"/>
      <c r="D760" s="9"/>
      <c r="E760" s="9"/>
      <c r="F760" s="9"/>
      <c r="G760" s="9"/>
      <c r="H760" s="9"/>
      <c r="I760" s="58"/>
      <c r="J760" s="9"/>
      <c r="K760" s="9"/>
      <c r="L760" s="9"/>
      <c r="M760" s="9"/>
      <c r="N760" s="9"/>
      <c r="O760" s="9"/>
      <c r="P760" s="9"/>
      <c r="Q760" s="9"/>
      <c r="R760" s="9"/>
      <c r="S760" s="9"/>
      <c r="T760" s="9"/>
      <c r="U760" s="9"/>
      <c r="V760" s="9"/>
      <c r="W760" s="9"/>
      <c r="X760" s="9"/>
      <c r="Y760" s="9"/>
      <c r="Z760" s="9"/>
      <c r="AA760" s="9"/>
      <c r="AB760" s="9"/>
      <c r="AC760" s="9"/>
      <c r="AD760" s="9"/>
      <c r="AE760" s="9"/>
      <c r="AF760" s="9"/>
    </row>
    <row r="761" spans="1:32" ht="54.95" customHeight="1" x14ac:dyDescent="0.2">
      <c r="A761" s="56"/>
      <c r="B761" s="9"/>
      <c r="C761" s="9"/>
      <c r="D761" s="9"/>
      <c r="E761" s="9"/>
      <c r="F761" s="9"/>
      <c r="G761" s="9"/>
      <c r="H761" s="9"/>
      <c r="I761" s="58"/>
      <c r="J761" s="9"/>
      <c r="K761" s="9"/>
      <c r="L761" s="9"/>
      <c r="M761" s="9"/>
      <c r="N761" s="9"/>
      <c r="O761" s="9"/>
      <c r="P761" s="9"/>
      <c r="Q761" s="9"/>
      <c r="R761" s="9"/>
      <c r="S761" s="9"/>
      <c r="T761" s="9"/>
      <c r="U761" s="9"/>
      <c r="V761" s="9"/>
      <c r="W761" s="9"/>
      <c r="X761" s="9"/>
      <c r="Y761" s="9"/>
      <c r="Z761" s="9"/>
      <c r="AA761" s="9"/>
      <c r="AB761" s="9"/>
      <c r="AC761" s="9"/>
      <c r="AD761" s="9"/>
      <c r="AE761" s="9"/>
      <c r="AF761" s="9"/>
    </row>
    <row r="762" spans="1:32" ht="54.95" customHeight="1" x14ac:dyDescent="0.2">
      <c r="A762" s="56"/>
      <c r="B762" s="9"/>
      <c r="C762" s="9"/>
      <c r="D762" s="9"/>
      <c r="E762" s="9"/>
      <c r="F762" s="9"/>
      <c r="G762" s="9"/>
      <c r="H762" s="9"/>
      <c r="I762" s="58"/>
      <c r="J762" s="9"/>
      <c r="K762" s="9"/>
      <c r="L762" s="9"/>
      <c r="M762" s="9"/>
      <c r="N762" s="9"/>
      <c r="O762" s="9"/>
      <c r="P762" s="9"/>
      <c r="Q762" s="9"/>
      <c r="R762" s="9"/>
      <c r="S762" s="9"/>
      <c r="T762" s="9"/>
      <c r="U762" s="9"/>
      <c r="V762" s="9"/>
      <c r="W762" s="9"/>
      <c r="X762" s="9"/>
      <c r="Y762" s="9"/>
      <c r="Z762" s="9"/>
      <c r="AA762" s="9"/>
      <c r="AB762" s="9"/>
      <c r="AC762" s="9"/>
      <c r="AD762" s="9"/>
      <c r="AE762" s="9"/>
      <c r="AF762" s="9"/>
    </row>
    <row r="763" spans="1:32" ht="54.95" customHeight="1" x14ac:dyDescent="0.2">
      <c r="A763" s="56"/>
      <c r="B763" s="9"/>
      <c r="C763" s="9"/>
      <c r="D763" s="9"/>
      <c r="E763" s="9"/>
      <c r="F763" s="9"/>
      <c r="G763" s="9"/>
      <c r="H763" s="9"/>
      <c r="I763" s="58"/>
      <c r="J763" s="9"/>
      <c r="K763" s="9"/>
      <c r="L763" s="9"/>
      <c r="M763" s="9"/>
      <c r="N763" s="9"/>
      <c r="O763" s="9"/>
      <c r="P763" s="9"/>
      <c r="Q763" s="9"/>
      <c r="R763" s="9"/>
      <c r="S763" s="9"/>
      <c r="T763" s="9"/>
      <c r="U763" s="9"/>
      <c r="V763" s="9"/>
      <c r="W763" s="9"/>
      <c r="X763" s="9"/>
      <c r="Y763" s="9"/>
      <c r="Z763" s="9"/>
      <c r="AA763" s="9"/>
      <c r="AB763" s="9"/>
      <c r="AC763" s="9"/>
      <c r="AD763" s="9"/>
      <c r="AE763" s="9"/>
      <c r="AF763" s="9"/>
    </row>
    <row r="764" spans="1:32" ht="54.95" customHeight="1" x14ac:dyDescent="0.2">
      <c r="A764" s="56"/>
      <c r="B764" s="9"/>
      <c r="C764" s="9"/>
      <c r="D764" s="9"/>
      <c r="E764" s="9"/>
      <c r="F764" s="9"/>
      <c r="G764" s="9"/>
      <c r="H764" s="9"/>
      <c r="I764" s="58"/>
      <c r="J764" s="9"/>
      <c r="K764" s="9"/>
      <c r="L764" s="9"/>
      <c r="M764" s="9"/>
      <c r="N764" s="9"/>
      <c r="O764" s="9"/>
      <c r="P764" s="9"/>
      <c r="Q764" s="9"/>
      <c r="R764" s="9"/>
      <c r="S764" s="9"/>
      <c r="T764" s="9"/>
      <c r="U764" s="9"/>
      <c r="V764" s="9"/>
      <c r="W764" s="9"/>
      <c r="X764" s="9"/>
      <c r="Y764" s="9"/>
      <c r="Z764" s="9"/>
      <c r="AA764" s="9"/>
      <c r="AB764" s="9"/>
      <c r="AC764" s="9"/>
      <c r="AD764" s="9"/>
      <c r="AE764" s="9"/>
      <c r="AF764" s="9"/>
    </row>
    <row r="765" spans="1:32" ht="54.95" customHeight="1" x14ac:dyDescent="0.2">
      <c r="A765" s="56"/>
      <c r="B765" s="9"/>
      <c r="C765" s="9"/>
      <c r="D765" s="9"/>
      <c r="E765" s="9"/>
      <c r="F765" s="9"/>
      <c r="G765" s="9"/>
      <c r="H765" s="9"/>
      <c r="I765" s="58"/>
      <c r="J765" s="9"/>
      <c r="K765" s="9"/>
      <c r="L765" s="9"/>
      <c r="M765" s="9"/>
      <c r="N765" s="9"/>
      <c r="O765" s="9"/>
      <c r="P765" s="9"/>
      <c r="Q765" s="9"/>
      <c r="R765" s="9"/>
      <c r="S765" s="9"/>
      <c r="T765" s="9"/>
      <c r="U765" s="9"/>
      <c r="V765" s="9"/>
      <c r="W765" s="9"/>
      <c r="X765" s="9"/>
      <c r="Y765" s="9"/>
      <c r="Z765" s="9"/>
      <c r="AA765" s="9"/>
      <c r="AB765" s="9"/>
      <c r="AC765" s="9"/>
      <c r="AD765" s="9"/>
      <c r="AE765" s="9"/>
      <c r="AF765" s="9"/>
    </row>
    <row r="766" spans="1:32" ht="54.95" customHeight="1" x14ac:dyDescent="0.2">
      <c r="A766" s="56"/>
      <c r="B766" s="9"/>
      <c r="C766" s="9"/>
      <c r="D766" s="9"/>
      <c r="E766" s="9"/>
      <c r="F766" s="9"/>
      <c r="G766" s="9"/>
      <c r="H766" s="9"/>
      <c r="I766" s="58"/>
      <c r="J766" s="9"/>
      <c r="K766" s="9"/>
      <c r="L766" s="9"/>
      <c r="M766" s="9"/>
      <c r="N766" s="9"/>
      <c r="O766" s="9"/>
      <c r="P766" s="9"/>
      <c r="Q766" s="9"/>
      <c r="R766" s="9"/>
      <c r="S766" s="9"/>
      <c r="T766" s="9"/>
      <c r="U766" s="9"/>
      <c r="V766" s="9"/>
      <c r="W766" s="9"/>
      <c r="X766" s="9"/>
      <c r="Y766" s="9"/>
      <c r="Z766" s="9"/>
      <c r="AA766" s="9"/>
      <c r="AB766" s="9"/>
      <c r="AC766" s="9"/>
      <c r="AD766" s="9"/>
      <c r="AE766" s="9"/>
      <c r="AF766" s="9"/>
    </row>
    <row r="767" spans="1:32" ht="54.95" customHeight="1" x14ac:dyDescent="0.2">
      <c r="A767" s="56"/>
      <c r="B767" s="9"/>
      <c r="C767" s="9"/>
      <c r="D767" s="9"/>
      <c r="E767" s="9"/>
      <c r="F767" s="9"/>
      <c r="G767" s="9"/>
      <c r="H767" s="9"/>
      <c r="I767" s="58"/>
      <c r="J767" s="9"/>
      <c r="K767" s="9"/>
      <c r="L767" s="9"/>
      <c r="M767" s="9"/>
      <c r="N767" s="9"/>
      <c r="O767" s="9"/>
      <c r="P767" s="9"/>
      <c r="Q767" s="9"/>
      <c r="R767" s="9"/>
      <c r="S767" s="9"/>
      <c r="T767" s="9"/>
      <c r="U767" s="9"/>
      <c r="V767" s="9"/>
      <c r="W767" s="9"/>
      <c r="X767" s="9"/>
      <c r="Y767" s="9"/>
      <c r="Z767" s="9"/>
      <c r="AA767" s="9"/>
      <c r="AB767" s="9"/>
      <c r="AC767" s="9"/>
      <c r="AD767" s="9"/>
      <c r="AE767" s="9"/>
      <c r="AF767" s="9"/>
    </row>
    <row r="768" spans="1:32" ht="54.95" customHeight="1" x14ac:dyDescent="0.2">
      <c r="A768" s="56"/>
      <c r="B768" s="9"/>
      <c r="C768" s="9"/>
      <c r="D768" s="9"/>
      <c r="E768" s="9"/>
      <c r="F768" s="9"/>
      <c r="G768" s="9"/>
      <c r="H768" s="9"/>
      <c r="I768" s="58"/>
      <c r="J768" s="9"/>
      <c r="K768" s="9"/>
      <c r="L768" s="9"/>
      <c r="M768" s="9"/>
      <c r="N768" s="9"/>
      <c r="O768" s="9"/>
      <c r="P768" s="9"/>
      <c r="Q768" s="9"/>
      <c r="R768" s="9"/>
      <c r="S768" s="9"/>
      <c r="T768" s="9"/>
      <c r="U768" s="9"/>
      <c r="V768" s="9"/>
      <c r="W768" s="9"/>
      <c r="X768" s="9"/>
      <c r="Y768" s="9"/>
      <c r="Z768" s="9"/>
      <c r="AA768" s="9"/>
      <c r="AB768" s="9"/>
      <c r="AC768" s="9"/>
      <c r="AD768" s="9"/>
      <c r="AE768" s="9"/>
      <c r="AF768" s="9"/>
    </row>
    <row r="769" spans="1:32" ht="54.95" customHeight="1" x14ac:dyDescent="0.2">
      <c r="A769" s="56"/>
      <c r="B769" s="9"/>
      <c r="C769" s="9"/>
      <c r="D769" s="9"/>
      <c r="E769" s="9"/>
      <c r="F769" s="9"/>
      <c r="G769" s="9"/>
      <c r="H769" s="9"/>
      <c r="I769" s="58"/>
      <c r="J769" s="9"/>
      <c r="K769" s="9"/>
      <c r="L769" s="9"/>
      <c r="M769" s="9"/>
      <c r="N769" s="9"/>
      <c r="O769" s="9"/>
      <c r="P769" s="9"/>
      <c r="Q769" s="9"/>
      <c r="R769" s="9"/>
      <c r="S769" s="9"/>
      <c r="T769" s="9"/>
      <c r="U769" s="9"/>
      <c r="V769" s="9"/>
      <c r="W769" s="9"/>
      <c r="X769" s="9"/>
      <c r="Y769" s="9"/>
      <c r="Z769" s="9"/>
      <c r="AA769" s="9"/>
      <c r="AB769" s="9"/>
      <c r="AC769" s="9"/>
      <c r="AD769" s="9"/>
      <c r="AE769" s="9"/>
      <c r="AF769" s="9"/>
    </row>
    <row r="770" spans="1:32" ht="54.95" customHeight="1" x14ac:dyDescent="0.2">
      <c r="A770" s="56"/>
      <c r="B770" s="9"/>
      <c r="C770" s="9"/>
      <c r="D770" s="9"/>
      <c r="E770" s="9"/>
      <c r="F770" s="9"/>
      <c r="G770" s="9"/>
      <c r="H770" s="9"/>
      <c r="I770" s="58"/>
      <c r="J770" s="9"/>
      <c r="K770" s="9"/>
      <c r="L770" s="9"/>
      <c r="M770" s="9"/>
      <c r="N770" s="9"/>
      <c r="O770" s="9"/>
      <c r="P770" s="9"/>
      <c r="Q770" s="9"/>
      <c r="R770" s="9"/>
      <c r="S770" s="9"/>
      <c r="T770" s="9"/>
      <c r="U770" s="9"/>
      <c r="V770" s="9"/>
      <c r="W770" s="9"/>
      <c r="X770" s="9"/>
      <c r="Y770" s="9"/>
      <c r="Z770" s="9"/>
      <c r="AA770" s="9"/>
      <c r="AB770" s="9"/>
      <c r="AC770" s="9"/>
      <c r="AD770" s="9"/>
      <c r="AE770" s="9"/>
      <c r="AF770" s="9"/>
    </row>
    <row r="771" spans="1:32" ht="54.95" customHeight="1" x14ac:dyDescent="0.2">
      <c r="A771" s="56"/>
      <c r="B771" s="9"/>
      <c r="C771" s="9"/>
      <c r="D771" s="9"/>
      <c r="E771" s="9"/>
      <c r="F771" s="9"/>
      <c r="G771" s="9"/>
      <c r="H771" s="9"/>
      <c r="I771" s="58"/>
      <c r="J771" s="9"/>
      <c r="K771" s="9"/>
      <c r="L771" s="9"/>
      <c r="M771" s="9"/>
      <c r="N771" s="9"/>
      <c r="O771" s="9"/>
      <c r="P771" s="9"/>
      <c r="Q771" s="9"/>
      <c r="R771" s="9"/>
      <c r="S771" s="9"/>
      <c r="T771" s="9"/>
      <c r="U771" s="9"/>
      <c r="V771" s="9"/>
      <c r="W771" s="9"/>
      <c r="X771" s="9"/>
      <c r="Y771" s="9"/>
      <c r="Z771" s="9"/>
      <c r="AA771" s="9"/>
      <c r="AB771" s="9"/>
      <c r="AC771" s="9"/>
      <c r="AD771" s="9"/>
      <c r="AE771" s="9"/>
      <c r="AF771" s="9"/>
    </row>
    <row r="772" spans="1:32" ht="54.95" customHeight="1" x14ac:dyDescent="0.2">
      <c r="A772" s="56"/>
      <c r="B772" s="9"/>
      <c r="C772" s="9"/>
      <c r="D772" s="9"/>
      <c r="E772" s="9"/>
      <c r="F772" s="9"/>
      <c r="G772" s="9"/>
      <c r="H772" s="9"/>
      <c r="I772" s="58"/>
      <c r="J772" s="9"/>
      <c r="K772" s="9"/>
      <c r="L772" s="9"/>
      <c r="M772" s="9"/>
      <c r="N772" s="9"/>
      <c r="O772" s="9"/>
      <c r="P772" s="9"/>
      <c r="Q772" s="9"/>
      <c r="R772" s="9"/>
      <c r="S772" s="9"/>
      <c r="T772" s="9"/>
      <c r="U772" s="9"/>
      <c r="V772" s="9"/>
      <c r="W772" s="9"/>
      <c r="X772" s="9"/>
      <c r="Y772" s="9"/>
      <c r="Z772" s="9"/>
      <c r="AA772" s="9"/>
      <c r="AB772" s="9"/>
      <c r="AC772" s="9"/>
      <c r="AD772" s="9"/>
      <c r="AE772" s="9"/>
      <c r="AF772" s="9"/>
    </row>
    <row r="773" spans="1:32" ht="54.95" customHeight="1" x14ac:dyDescent="0.2">
      <c r="A773" s="56"/>
      <c r="B773" s="9"/>
      <c r="C773" s="9"/>
      <c r="D773" s="9"/>
      <c r="E773" s="9"/>
      <c r="F773" s="9"/>
      <c r="G773" s="9"/>
      <c r="H773" s="9"/>
      <c r="I773" s="58"/>
      <c r="J773" s="9"/>
      <c r="K773" s="9"/>
      <c r="L773" s="9"/>
      <c r="M773" s="9"/>
      <c r="N773" s="9"/>
      <c r="O773" s="9"/>
      <c r="P773" s="9"/>
      <c r="Q773" s="9"/>
      <c r="R773" s="9"/>
      <c r="S773" s="9"/>
      <c r="T773" s="9"/>
      <c r="U773" s="9"/>
      <c r="V773" s="9"/>
      <c r="W773" s="9"/>
      <c r="X773" s="9"/>
      <c r="Y773" s="9"/>
      <c r="Z773" s="9"/>
      <c r="AA773" s="9"/>
      <c r="AB773" s="9"/>
      <c r="AC773" s="9"/>
      <c r="AD773" s="9"/>
      <c r="AE773" s="9"/>
      <c r="AF773" s="9"/>
    </row>
    <row r="774" spans="1:32" ht="54.95" customHeight="1" x14ac:dyDescent="0.2">
      <c r="A774" s="56"/>
      <c r="B774" s="9"/>
      <c r="C774" s="9"/>
      <c r="D774" s="9"/>
      <c r="E774" s="9"/>
      <c r="F774" s="9"/>
      <c r="G774" s="9"/>
      <c r="H774" s="9"/>
      <c r="I774" s="58"/>
      <c r="J774" s="9"/>
      <c r="K774" s="9"/>
      <c r="L774" s="9"/>
      <c r="M774" s="9"/>
      <c r="N774" s="9"/>
      <c r="O774" s="9"/>
      <c r="P774" s="9"/>
      <c r="Q774" s="9"/>
      <c r="R774" s="9"/>
      <c r="S774" s="9"/>
      <c r="T774" s="9"/>
      <c r="U774" s="9"/>
      <c r="V774" s="9"/>
      <c r="W774" s="9"/>
      <c r="X774" s="9"/>
      <c r="Y774" s="9"/>
      <c r="Z774" s="9"/>
      <c r="AA774" s="9"/>
      <c r="AB774" s="9"/>
      <c r="AC774" s="9"/>
      <c r="AD774" s="9"/>
      <c r="AE774" s="9"/>
      <c r="AF774" s="9"/>
    </row>
    <row r="775" spans="1:32" ht="54.95" customHeight="1" x14ac:dyDescent="0.2">
      <c r="A775" s="56"/>
      <c r="B775" s="9"/>
      <c r="C775" s="9"/>
      <c r="D775" s="9"/>
      <c r="E775" s="9"/>
      <c r="F775" s="9"/>
      <c r="G775" s="9"/>
      <c r="H775" s="9"/>
      <c r="I775" s="58"/>
      <c r="J775" s="9"/>
      <c r="K775" s="9"/>
      <c r="L775" s="9"/>
      <c r="M775" s="9"/>
      <c r="N775" s="9"/>
      <c r="O775" s="9"/>
      <c r="P775" s="9"/>
      <c r="Q775" s="9"/>
      <c r="R775" s="9"/>
      <c r="S775" s="9"/>
      <c r="T775" s="9"/>
      <c r="U775" s="9"/>
      <c r="V775" s="9"/>
      <c r="W775" s="9"/>
      <c r="X775" s="9"/>
      <c r="Y775" s="9"/>
      <c r="Z775" s="9"/>
      <c r="AA775" s="9"/>
      <c r="AB775" s="9"/>
      <c r="AC775" s="9"/>
      <c r="AD775" s="9"/>
      <c r="AE775" s="9"/>
      <c r="AF775" s="9"/>
    </row>
    <row r="776" spans="1:32" ht="54.95" customHeight="1" x14ac:dyDescent="0.2">
      <c r="A776" s="56"/>
      <c r="B776" s="9"/>
      <c r="C776" s="9"/>
      <c r="D776" s="9"/>
      <c r="E776" s="9"/>
      <c r="F776" s="9"/>
      <c r="G776" s="9"/>
      <c r="H776" s="9"/>
      <c r="I776" s="58"/>
      <c r="J776" s="9"/>
      <c r="K776" s="9"/>
      <c r="L776" s="9"/>
      <c r="M776" s="9"/>
      <c r="N776" s="9"/>
      <c r="O776" s="9"/>
      <c r="P776" s="9"/>
      <c r="Q776" s="9"/>
      <c r="R776" s="9"/>
      <c r="S776" s="9"/>
      <c r="T776" s="9"/>
      <c r="U776" s="9"/>
      <c r="V776" s="9"/>
      <c r="W776" s="9"/>
      <c r="X776" s="9"/>
      <c r="Y776" s="9"/>
      <c r="Z776" s="9"/>
      <c r="AA776" s="9"/>
      <c r="AB776" s="9"/>
      <c r="AC776" s="9"/>
      <c r="AD776" s="9"/>
      <c r="AE776" s="9"/>
      <c r="AF776" s="9"/>
    </row>
    <row r="777" spans="1:32" ht="54.95" customHeight="1" x14ac:dyDescent="0.2">
      <c r="A777" s="56"/>
      <c r="B777" s="9"/>
      <c r="C777" s="9"/>
      <c r="D777" s="9"/>
      <c r="E777" s="9"/>
      <c r="F777" s="9"/>
      <c r="G777" s="9"/>
      <c r="H777" s="9"/>
      <c r="I777" s="58"/>
      <c r="J777" s="9"/>
      <c r="K777" s="9"/>
      <c r="L777" s="9"/>
      <c r="M777" s="9"/>
      <c r="N777" s="9"/>
      <c r="O777" s="9"/>
      <c r="P777" s="9"/>
      <c r="Q777" s="9"/>
      <c r="R777" s="9"/>
      <c r="S777" s="9"/>
      <c r="T777" s="9"/>
      <c r="U777" s="9"/>
      <c r="V777" s="9"/>
      <c r="W777" s="9"/>
      <c r="X777" s="9"/>
      <c r="Y777" s="9"/>
      <c r="Z777" s="9"/>
      <c r="AA777" s="9"/>
      <c r="AB777" s="9"/>
      <c r="AC777" s="9"/>
      <c r="AD777" s="9"/>
      <c r="AE777" s="9"/>
      <c r="AF777" s="9"/>
    </row>
    <row r="778" spans="1:32" ht="54.95" customHeight="1" x14ac:dyDescent="0.2">
      <c r="A778" s="56"/>
      <c r="B778" s="9"/>
      <c r="C778" s="9"/>
      <c r="D778" s="9"/>
      <c r="E778" s="9"/>
      <c r="F778" s="9"/>
      <c r="G778" s="9"/>
      <c r="H778" s="9"/>
      <c r="I778" s="58"/>
      <c r="J778" s="9"/>
      <c r="K778" s="9"/>
      <c r="L778" s="9"/>
      <c r="M778" s="9"/>
      <c r="N778" s="9"/>
      <c r="O778" s="9"/>
      <c r="P778" s="9"/>
      <c r="Q778" s="9"/>
      <c r="R778" s="9"/>
      <c r="S778" s="9"/>
      <c r="T778" s="9"/>
      <c r="U778" s="9"/>
      <c r="V778" s="9"/>
      <c r="W778" s="9"/>
      <c r="X778" s="9"/>
      <c r="Y778" s="9"/>
      <c r="Z778" s="9"/>
      <c r="AA778" s="9"/>
      <c r="AB778" s="9"/>
      <c r="AC778" s="9"/>
      <c r="AD778" s="9"/>
      <c r="AE778" s="9"/>
      <c r="AF778" s="9"/>
    </row>
    <row r="779" spans="1:32" ht="54.95" customHeight="1" x14ac:dyDescent="0.2">
      <c r="A779" s="56"/>
      <c r="B779" s="9"/>
      <c r="C779" s="9"/>
      <c r="D779" s="9"/>
      <c r="E779" s="9"/>
      <c r="F779" s="9"/>
      <c r="G779" s="9"/>
      <c r="H779" s="9"/>
      <c r="I779" s="58"/>
      <c r="J779" s="9"/>
      <c r="K779" s="9"/>
      <c r="L779" s="9"/>
      <c r="M779" s="9"/>
      <c r="N779" s="9"/>
      <c r="O779" s="9"/>
      <c r="P779" s="9"/>
      <c r="Q779" s="9"/>
      <c r="R779" s="9"/>
      <c r="S779" s="9"/>
      <c r="T779" s="9"/>
      <c r="U779" s="9"/>
      <c r="V779" s="9"/>
      <c r="W779" s="9"/>
      <c r="X779" s="9"/>
      <c r="Y779" s="9"/>
      <c r="Z779" s="9"/>
      <c r="AA779" s="9"/>
      <c r="AB779" s="9"/>
      <c r="AC779" s="9"/>
      <c r="AD779" s="9"/>
      <c r="AE779" s="9"/>
      <c r="AF779" s="9"/>
    </row>
    <row r="780" spans="1:32" ht="54.95" customHeight="1" x14ac:dyDescent="0.2">
      <c r="A780" s="56"/>
      <c r="B780" s="9"/>
      <c r="C780" s="9"/>
      <c r="D780" s="9"/>
      <c r="E780" s="9"/>
      <c r="F780" s="9"/>
      <c r="G780" s="9"/>
      <c r="H780" s="9"/>
      <c r="I780" s="58"/>
      <c r="J780" s="9"/>
      <c r="K780" s="9"/>
      <c r="L780" s="9"/>
      <c r="M780" s="9"/>
      <c r="N780" s="9"/>
      <c r="O780" s="9"/>
      <c r="P780" s="9"/>
      <c r="Q780" s="9"/>
      <c r="R780" s="9"/>
      <c r="S780" s="9"/>
      <c r="T780" s="9"/>
      <c r="U780" s="9"/>
      <c r="V780" s="9"/>
      <c r="W780" s="9"/>
      <c r="X780" s="9"/>
      <c r="Y780" s="9"/>
      <c r="Z780" s="9"/>
      <c r="AA780" s="9"/>
      <c r="AB780" s="9"/>
      <c r="AC780" s="9"/>
      <c r="AD780" s="9"/>
      <c r="AE780" s="9"/>
      <c r="AF780" s="9"/>
    </row>
    <row r="781" spans="1:32" ht="54.95" customHeight="1" x14ac:dyDescent="0.2">
      <c r="A781" s="56"/>
      <c r="B781" s="9"/>
      <c r="C781" s="9"/>
      <c r="D781" s="9"/>
      <c r="E781" s="9"/>
      <c r="F781" s="9"/>
      <c r="G781" s="9"/>
      <c r="H781" s="9"/>
      <c r="I781" s="58"/>
      <c r="J781" s="9"/>
      <c r="K781" s="9"/>
      <c r="L781" s="9"/>
      <c r="M781" s="9"/>
      <c r="N781" s="9"/>
      <c r="O781" s="9"/>
      <c r="P781" s="9"/>
      <c r="Q781" s="9"/>
      <c r="R781" s="9"/>
      <c r="S781" s="9"/>
      <c r="T781" s="9"/>
      <c r="U781" s="9"/>
      <c r="V781" s="9"/>
      <c r="W781" s="9"/>
      <c r="X781" s="9"/>
      <c r="Y781" s="9"/>
      <c r="Z781" s="9"/>
      <c r="AA781" s="9"/>
      <c r="AB781" s="9"/>
      <c r="AC781" s="9"/>
      <c r="AD781" s="9"/>
      <c r="AE781" s="9"/>
      <c r="AF781" s="9"/>
    </row>
    <row r="782" spans="1:32" ht="54.95" customHeight="1" x14ac:dyDescent="0.2">
      <c r="A782" s="56"/>
      <c r="B782" s="9"/>
      <c r="C782" s="9"/>
      <c r="D782" s="9"/>
      <c r="E782" s="9"/>
      <c r="F782" s="9"/>
      <c r="G782" s="9"/>
      <c r="H782" s="9"/>
      <c r="I782" s="58"/>
      <c r="J782" s="9"/>
      <c r="K782" s="9"/>
      <c r="L782" s="9"/>
      <c r="M782" s="9"/>
      <c r="N782" s="9"/>
      <c r="O782" s="9"/>
      <c r="P782" s="9"/>
      <c r="Q782" s="9"/>
      <c r="R782" s="9"/>
      <c r="S782" s="9"/>
      <c r="T782" s="9"/>
      <c r="U782" s="9"/>
      <c r="V782" s="9"/>
      <c r="W782" s="9"/>
      <c r="X782" s="9"/>
      <c r="Y782" s="9"/>
      <c r="Z782" s="9"/>
      <c r="AA782" s="9"/>
      <c r="AB782" s="9"/>
      <c r="AC782" s="9"/>
      <c r="AD782" s="9"/>
      <c r="AE782" s="9"/>
      <c r="AF782" s="9"/>
    </row>
    <row r="783" spans="1:32" ht="54.95" customHeight="1" x14ac:dyDescent="0.2">
      <c r="A783" s="56"/>
      <c r="B783" s="9"/>
      <c r="C783" s="9"/>
      <c r="D783" s="9"/>
      <c r="E783" s="9"/>
      <c r="F783" s="9"/>
      <c r="G783" s="9"/>
      <c r="H783" s="9"/>
      <c r="I783" s="58"/>
      <c r="J783" s="9"/>
      <c r="K783" s="9"/>
      <c r="L783" s="9"/>
      <c r="M783" s="9"/>
      <c r="N783" s="9"/>
      <c r="O783" s="9"/>
      <c r="P783" s="9"/>
      <c r="Q783" s="9"/>
      <c r="R783" s="9"/>
      <c r="S783" s="9"/>
      <c r="T783" s="9"/>
      <c r="U783" s="9"/>
      <c r="V783" s="9"/>
      <c r="W783" s="9"/>
      <c r="X783" s="9"/>
      <c r="Y783" s="9"/>
      <c r="Z783" s="9"/>
      <c r="AA783" s="9"/>
      <c r="AB783" s="9"/>
      <c r="AC783" s="9"/>
      <c r="AD783" s="9"/>
      <c r="AE783" s="9"/>
      <c r="AF783" s="9"/>
    </row>
    <row r="784" spans="1:32" ht="54.95" customHeight="1" x14ac:dyDescent="0.2">
      <c r="A784" s="56"/>
      <c r="B784" s="9"/>
      <c r="C784" s="9"/>
      <c r="D784" s="9"/>
      <c r="E784" s="9"/>
      <c r="F784" s="9"/>
      <c r="G784" s="9"/>
      <c r="H784" s="9"/>
      <c r="I784" s="58"/>
      <c r="J784" s="9"/>
      <c r="K784" s="9"/>
      <c r="L784" s="9"/>
      <c r="M784" s="9"/>
      <c r="N784" s="9"/>
      <c r="O784" s="9"/>
      <c r="P784" s="9"/>
      <c r="Q784" s="9"/>
      <c r="R784" s="9"/>
      <c r="S784" s="9"/>
      <c r="T784" s="9"/>
      <c r="U784" s="9"/>
      <c r="V784" s="9"/>
      <c r="W784" s="9"/>
      <c r="X784" s="9"/>
      <c r="Y784" s="9"/>
      <c r="Z784" s="9"/>
      <c r="AA784" s="9"/>
      <c r="AB784" s="9"/>
      <c r="AC784" s="9"/>
      <c r="AD784" s="9"/>
      <c r="AE784" s="9"/>
      <c r="AF784" s="9"/>
    </row>
    <row r="785" spans="1:32" ht="54.95" customHeight="1" x14ac:dyDescent="0.2">
      <c r="A785" s="56"/>
      <c r="B785" s="9"/>
      <c r="C785" s="9"/>
      <c r="D785" s="9"/>
      <c r="E785" s="9"/>
      <c r="F785" s="9"/>
      <c r="G785" s="9"/>
      <c r="H785" s="9"/>
      <c r="I785" s="58"/>
      <c r="J785" s="9"/>
      <c r="K785" s="9"/>
      <c r="L785" s="9"/>
      <c r="M785" s="9"/>
      <c r="N785" s="9"/>
      <c r="O785" s="9"/>
      <c r="P785" s="9"/>
      <c r="Q785" s="9"/>
      <c r="R785" s="9"/>
      <c r="S785" s="9"/>
      <c r="T785" s="9"/>
      <c r="U785" s="9"/>
      <c r="V785" s="9"/>
      <c r="W785" s="9"/>
      <c r="X785" s="9"/>
      <c r="Y785" s="9"/>
      <c r="Z785" s="9"/>
      <c r="AA785" s="9"/>
      <c r="AB785" s="9"/>
      <c r="AC785" s="9"/>
      <c r="AD785" s="9"/>
      <c r="AE785" s="9"/>
      <c r="AF785" s="9"/>
    </row>
    <row r="786" spans="1:32" ht="54.95" customHeight="1" x14ac:dyDescent="0.2">
      <c r="A786" s="56"/>
      <c r="B786" s="9"/>
      <c r="C786" s="9"/>
      <c r="D786" s="9"/>
      <c r="E786" s="9"/>
      <c r="F786" s="9"/>
      <c r="G786" s="9"/>
      <c r="H786" s="9"/>
      <c r="I786" s="58"/>
      <c r="J786" s="9"/>
      <c r="K786" s="9"/>
      <c r="L786" s="9"/>
      <c r="M786" s="9"/>
      <c r="N786" s="9"/>
      <c r="O786" s="9"/>
      <c r="P786" s="9"/>
      <c r="Q786" s="9"/>
      <c r="R786" s="9"/>
      <c r="S786" s="9"/>
      <c r="T786" s="9"/>
      <c r="U786" s="9"/>
      <c r="V786" s="9"/>
      <c r="W786" s="9"/>
      <c r="X786" s="9"/>
      <c r="Y786" s="9"/>
      <c r="Z786" s="9"/>
      <c r="AA786" s="9"/>
      <c r="AB786" s="9"/>
      <c r="AC786" s="9"/>
      <c r="AD786" s="9"/>
      <c r="AE786" s="9"/>
      <c r="AF786" s="9"/>
    </row>
    <row r="787" spans="1:32" ht="54.95" customHeight="1" x14ac:dyDescent="0.2">
      <c r="A787" s="56"/>
      <c r="B787" s="9"/>
      <c r="C787" s="9"/>
      <c r="D787" s="9"/>
      <c r="E787" s="9"/>
      <c r="F787" s="9"/>
      <c r="G787" s="9"/>
      <c r="H787" s="9"/>
      <c r="I787" s="58"/>
      <c r="J787" s="9"/>
      <c r="K787" s="9"/>
      <c r="L787" s="9"/>
      <c r="M787" s="9"/>
      <c r="N787" s="9"/>
      <c r="O787" s="9"/>
      <c r="P787" s="9"/>
      <c r="Q787" s="9"/>
      <c r="R787" s="9"/>
      <c r="S787" s="9"/>
      <c r="T787" s="9"/>
      <c r="U787" s="9"/>
      <c r="V787" s="9"/>
      <c r="W787" s="9"/>
      <c r="X787" s="9"/>
      <c r="Y787" s="9"/>
      <c r="Z787" s="9"/>
      <c r="AA787" s="9"/>
      <c r="AB787" s="9"/>
      <c r="AC787" s="9"/>
      <c r="AD787" s="9"/>
      <c r="AE787" s="9"/>
      <c r="AF787" s="9"/>
    </row>
    <row r="788" spans="1:32" ht="54.95" customHeight="1" x14ac:dyDescent="0.2">
      <c r="A788" s="56"/>
      <c r="B788" s="9"/>
      <c r="C788" s="9"/>
      <c r="D788" s="9"/>
      <c r="E788" s="9"/>
      <c r="F788" s="9"/>
      <c r="G788" s="9"/>
      <c r="H788" s="9"/>
      <c r="I788" s="58"/>
      <c r="J788" s="9"/>
      <c r="K788" s="9"/>
      <c r="L788" s="9"/>
      <c r="M788" s="9"/>
      <c r="N788" s="9"/>
      <c r="O788" s="9"/>
      <c r="P788" s="9"/>
      <c r="Q788" s="9"/>
      <c r="R788" s="9"/>
      <c r="S788" s="9"/>
      <c r="T788" s="9"/>
      <c r="U788" s="9"/>
      <c r="V788" s="9"/>
      <c r="W788" s="9"/>
      <c r="X788" s="9"/>
      <c r="Y788" s="9"/>
      <c r="Z788" s="9"/>
      <c r="AA788" s="9"/>
      <c r="AB788" s="9"/>
      <c r="AC788" s="9"/>
      <c r="AD788" s="9"/>
      <c r="AE788" s="9"/>
      <c r="AF788" s="9"/>
    </row>
    <row r="789" spans="1:32" ht="54.95" customHeight="1" x14ac:dyDescent="0.2">
      <c r="A789" s="56"/>
      <c r="B789" s="9"/>
      <c r="C789" s="9"/>
      <c r="D789" s="9"/>
      <c r="E789" s="9"/>
      <c r="F789" s="9"/>
      <c r="G789" s="9"/>
      <c r="H789" s="9"/>
      <c r="I789" s="58"/>
      <c r="J789" s="9"/>
      <c r="K789" s="9"/>
      <c r="L789" s="9"/>
      <c r="M789" s="9"/>
      <c r="N789" s="9"/>
      <c r="O789" s="9"/>
      <c r="P789" s="9"/>
      <c r="Q789" s="9"/>
      <c r="R789" s="9"/>
      <c r="S789" s="9"/>
      <c r="T789" s="9"/>
      <c r="U789" s="9"/>
      <c r="V789" s="9"/>
      <c r="W789" s="9"/>
      <c r="X789" s="9"/>
      <c r="Y789" s="9"/>
      <c r="Z789" s="9"/>
      <c r="AA789" s="9"/>
      <c r="AB789" s="9"/>
      <c r="AC789" s="9"/>
      <c r="AD789" s="9"/>
      <c r="AE789" s="9"/>
      <c r="AF789" s="9"/>
    </row>
    <row r="790" spans="1:32" ht="54.95" customHeight="1" x14ac:dyDescent="0.2">
      <c r="A790" s="56"/>
      <c r="B790" s="9"/>
      <c r="C790" s="9"/>
      <c r="D790" s="9"/>
      <c r="E790" s="9"/>
      <c r="F790" s="9"/>
      <c r="G790" s="9"/>
      <c r="H790" s="9"/>
      <c r="I790" s="58"/>
      <c r="J790" s="9"/>
      <c r="K790" s="9"/>
      <c r="L790" s="9"/>
      <c r="M790" s="9"/>
      <c r="N790" s="9"/>
      <c r="O790" s="9"/>
      <c r="P790" s="9"/>
      <c r="Q790" s="9"/>
      <c r="R790" s="9"/>
      <c r="S790" s="9"/>
      <c r="T790" s="9"/>
      <c r="U790" s="9"/>
      <c r="V790" s="9"/>
      <c r="W790" s="9"/>
      <c r="X790" s="9"/>
      <c r="Y790" s="9"/>
      <c r="Z790" s="9"/>
      <c r="AA790" s="9"/>
      <c r="AB790" s="9"/>
      <c r="AC790" s="9"/>
      <c r="AD790" s="9"/>
      <c r="AE790" s="9"/>
      <c r="AF790" s="9"/>
    </row>
    <row r="791" spans="1:32" ht="54.95" customHeight="1" x14ac:dyDescent="0.2">
      <c r="A791" s="56"/>
      <c r="B791" s="9"/>
      <c r="C791" s="9"/>
      <c r="D791" s="9"/>
      <c r="E791" s="9"/>
      <c r="F791" s="9"/>
      <c r="G791" s="9"/>
      <c r="H791" s="9"/>
      <c r="I791" s="58"/>
      <c r="J791" s="9"/>
      <c r="K791" s="9"/>
      <c r="L791" s="9"/>
      <c r="M791" s="9"/>
      <c r="N791" s="9"/>
      <c r="O791" s="9"/>
      <c r="P791" s="9"/>
      <c r="Q791" s="9"/>
      <c r="R791" s="9"/>
      <c r="S791" s="9"/>
      <c r="T791" s="9"/>
      <c r="U791" s="9"/>
      <c r="V791" s="9"/>
      <c r="W791" s="9"/>
      <c r="X791" s="9"/>
      <c r="Y791" s="9"/>
      <c r="Z791" s="9"/>
      <c r="AA791" s="9"/>
      <c r="AB791" s="9"/>
      <c r="AC791" s="9"/>
      <c r="AD791" s="9"/>
      <c r="AE791" s="9"/>
      <c r="AF791" s="9"/>
    </row>
    <row r="792" spans="1:32" ht="54.95" customHeight="1" x14ac:dyDescent="0.2">
      <c r="A792" s="56"/>
      <c r="B792" s="9"/>
      <c r="C792" s="9"/>
      <c r="D792" s="9"/>
      <c r="E792" s="9"/>
      <c r="F792" s="9"/>
      <c r="G792" s="9"/>
      <c r="H792" s="9"/>
      <c r="I792" s="58"/>
      <c r="J792" s="9"/>
      <c r="K792" s="9"/>
      <c r="L792" s="9"/>
      <c r="M792" s="9"/>
      <c r="N792" s="9"/>
      <c r="O792" s="9"/>
      <c r="P792" s="9"/>
      <c r="Q792" s="9"/>
      <c r="R792" s="9"/>
      <c r="S792" s="9"/>
      <c r="T792" s="9"/>
      <c r="U792" s="9"/>
      <c r="V792" s="9"/>
      <c r="W792" s="9"/>
      <c r="X792" s="9"/>
      <c r="Y792" s="9"/>
      <c r="Z792" s="9"/>
      <c r="AA792" s="9"/>
      <c r="AB792" s="9"/>
      <c r="AC792" s="9"/>
      <c r="AD792" s="9"/>
      <c r="AE792" s="9"/>
      <c r="AF792" s="9"/>
    </row>
    <row r="793" spans="1:32" ht="54.95" customHeight="1" x14ac:dyDescent="0.2">
      <c r="A793" s="56"/>
      <c r="B793" s="9"/>
      <c r="C793" s="9"/>
      <c r="D793" s="9"/>
      <c r="E793" s="9"/>
      <c r="F793" s="9"/>
      <c r="G793" s="9"/>
      <c r="H793" s="9"/>
      <c r="I793" s="58"/>
      <c r="J793" s="9"/>
      <c r="K793" s="9"/>
      <c r="L793" s="9"/>
      <c r="M793" s="9"/>
      <c r="N793" s="9"/>
      <c r="O793" s="9"/>
      <c r="P793" s="9"/>
      <c r="Q793" s="9"/>
      <c r="R793" s="9"/>
      <c r="S793" s="9"/>
      <c r="T793" s="9"/>
      <c r="U793" s="9"/>
      <c r="V793" s="9"/>
      <c r="W793" s="9"/>
      <c r="X793" s="9"/>
      <c r="Y793" s="9"/>
      <c r="Z793" s="9"/>
      <c r="AA793" s="9"/>
      <c r="AB793" s="9"/>
      <c r="AC793" s="9"/>
      <c r="AD793" s="9"/>
      <c r="AE793" s="9"/>
      <c r="AF793" s="9"/>
    </row>
    <row r="794" spans="1:32" ht="54.95" customHeight="1" x14ac:dyDescent="0.2">
      <c r="A794" s="56"/>
      <c r="B794" s="9"/>
      <c r="C794" s="9"/>
      <c r="D794" s="9"/>
      <c r="E794" s="9"/>
      <c r="F794" s="9"/>
      <c r="G794" s="9"/>
      <c r="H794" s="9"/>
      <c r="I794" s="58"/>
      <c r="J794" s="9"/>
      <c r="K794" s="9"/>
      <c r="L794" s="9"/>
      <c r="M794" s="9"/>
      <c r="N794" s="9"/>
      <c r="O794" s="9"/>
      <c r="P794" s="9"/>
      <c r="Q794" s="9"/>
      <c r="R794" s="9"/>
      <c r="S794" s="9"/>
      <c r="T794" s="9"/>
      <c r="U794" s="9"/>
      <c r="V794" s="9"/>
      <c r="W794" s="9"/>
      <c r="X794" s="9"/>
      <c r="Y794" s="9"/>
      <c r="Z794" s="9"/>
      <c r="AA794" s="9"/>
      <c r="AB794" s="9"/>
      <c r="AC794" s="9"/>
      <c r="AD794" s="9"/>
      <c r="AE794" s="9"/>
      <c r="AF794" s="9"/>
    </row>
    <row r="795" spans="1:32" ht="54.95" customHeight="1" x14ac:dyDescent="0.2">
      <c r="A795" s="56"/>
      <c r="B795" s="9"/>
      <c r="C795" s="9"/>
      <c r="D795" s="9"/>
      <c r="E795" s="9"/>
      <c r="F795" s="9"/>
      <c r="G795" s="9"/>
      <c r="H795" s="9"/>
      <c r="I795" s="58"/>
      <c r="J795" s="9"/>
      <c r="K795" s="9"/>
      <c r="L795" s="9"/>
      <c r="M795" s="9"/>
      <c r="N795" s="9"/>
      <c r="O795" s="9"/>
      <c r="P795" s="9"/>
      <c r="Q795" s="9"/>
      <c r="R795" s="9"/>
      <c r="S795" s="9"/>
      <c r="T795" s="9"/>
      <c r="U795" s="9"/>
      <c r="V795" s="9"/>
      <c r="W795" s="9"/>
      <c r="X795" s="9"/>
      <c r="Y795" s="9"/>
      <c r="Z795" s="9"/>
      <c r="AA795" s="9"/>
      <c r="AB795" s="9"/>
      <c r="AC795" s="9"/>
      <c r="AD795" s="9"/>
      <c r="AE795" s="9"/>
      <c r="AF795" s="9"/>
    </row>
    <row r="796" spans="1:32" ht="54.95" customHeight="1" x14ac:dyDescent="0.2">
      <c r="A796" s="56"/>
      <c r="B796" s="9"/>
      <c r="C796" s="9"/>
      <c r="D796" s="9"/>
      <c r="E796" s="9"/>
      <c r="F796" s="9"/>
      <c r="G796" s="9"/>
      <c r="H796" s="9"/>
      <c r="I796" s="58"/>
      <c r="J796" s="9"/>
      <c r="K796" s="9"/>
      <c r="L796" s="9"/>
      <c r="M796" s="9"/>
      <c r="N796" s="9"/>
      <c r="O796" s="9"/>
      <c r="P796" s="9"/>
      <c r="Q796" s="9"/>
      <c r="R796" s="9"/>
      <c r="S796" s="9"/>
      <c r="T796" s="9"/>
      <c r="U796" s="9"/>
      <c r="V796" s="9"/>
      <c r="W796" s="9"/>
      <c r="X796" s="9"/>
      <c r="Y796" s="9"/>
      <c r="Z796" s="9"/>
      <c r="AA796" s="9"/>
      <c r="AB796" s="9"/>
      <c r="AC796" s="9"/>
      <c r="AD796" s="9"/>
      <c r="AE796" s="9"/>
      <c r="AF796" s="9"/>
    </row>
    <row r="797" spans="1:32" ht="54.95" customHeight="1" x14ac:dyDescent="0.2">
      <c r="A797" s="56"/>
      <c r="B797" s="9"/>
      <c r="C797" s="9"/>
      <c r="D797" s="9"/>
      <c r="E797" s="9"/>
      <c r="F797" s="9"/>
      <c r="G797" s="9"/>
      <c r="H797" s="9"/>
      <c r="I797" s="58"/>
      <c r="J797" s="9"/>
      <c r="K797" s="9"/>
      <c r="L797" s="9"/>
      <c r="M797" s="9"/>
      <c r="N797" s="9"/>
      <c r="O797" s="9"/>
      <c r="P797" s="9"/>
      <c r="Q797" s="9"/>
      <c r="R797" s="9"/>
      <c r="S797" s="9"/>
      <c r="T797" s="9"/>
      <c r="U797" s="9"/>
      <c r="V797" s="9"/>
      <c r="W797" s="9"/>
      <c r="X797" s="9"/>
      <c r="Y797" s="9"/>
      <c r="Z797" s="9"/>
      <c r="AA797" s="9"/>
      <c r="AB797" s="9"/>
      <c r="AC797" s="9"/>
      <c r="AD797" s="9"/>
      <c r="AE797" s="9"/>
      <c r="AF797" s="9"/>
    </row>
    <row r="798" spans="1:32" ht="54.95" customHeight="1" x14ac:dyDescent="0.2">
      <c r="A798" s="56"/>
      <c r="B798" s="9"/>
      <c r="C798" s="9"/>
      <c r="D798" s="9"/>
      <c r="E798" s="9"/>
      <c r="F798" s="9"/>
      <c r="G798" s="9"/>
      <c r="H798" s="9"/>
      <c r="I798" s="58"/>
      <c r="J798" s="9"/>
      <c r="K798" s="9"/>
      <c r="L798" s="9"/>
      <c r="M798" s="9"/>
      <c r="N798" s="9"/>
      <c r="O798" s="9"/>
      <c r="P798" s="9"/>
      <c r="Q798" s="9"/>
      <c r="R798" s="9"/>
      <c r="S798" s="9"/>
      <c r="T798" s="9"/>
      <c r="U798" s="9"/>
      <c r="V798" s="9"/>
      <c r="W798" s="9"/>
      <c r="X798" s="9"/>
      <c r="Y798" s="9"/>
      <c r="Z798" s="9"/>
      <c r="AA798" s="9"/>
      <c r="AB798" s="9"/>
      <c r="AC798" s="9"/>
      <c r="AD798" s="9"/>
      <c r="AE798" s="9"/>
      <c r="AF798" s="9"/>
    </row>
    <row r="799" spans="1:32" ht="54.95" customHeight="1" x14ac:dyDescent="0.2">
      <c r="A799" s="56"/>
      <c r="B799" s="9"/>
      <c r="C799" s="9"/>
      <c r="D799" s="9"/>
      <c r="E799" s="9"/>
      <c r="F799" s="9"/>
      <c r="G799" s="9"/>
      <c r="H799" s="9"/>
      <c r="I799" s="58"/>
      <c r="J799" s="9"/>
      <c r="K799" s="9"/>
      <c r="L799" s="9"/>
      <c r="M799" s="9"/>
      <c r="N799" s="9"/>
      <c r="O799" s="9"/>
      <c r="P799" s="9"/>
      <c r="Q799" s="9"/>
      <c r="R799" s="9"/>
      <c r="S799" s="9"/>
      <c r="T799" s="9"/>
      <c r="U799" s="9"/>
      <c r="V799" s="9"/>
      <c r="W799" s="9"/>
      <c r="X799" s="9"/>
      <c r="Y799" s="9"/>
      <c r="Z799" s="9"/>
      <c r="AA799" s="9"/>
      <c r="AB799" s="9"/>
      <c r="AC799" s="9"/>
      <c r="AD799" s="9"/>
      <c r="AE799" s="9"/>
      <c r="AF799" s="9"/>
    </row>
    <row r="800" spans="1:32" ht="54.95" customHeight="1" x14ac:dyDescent="0.2">
      <c r="A800" s="56"/>
      <c r="B800" s="9"/>
      <c r="C800" s="9"/>
      <c r="D800" s="9"/>
      <c r="E800" s="9"/>
      <c r="F800" s="9"/>
      <c r="G800" s="9"/>
      <c r="H800" s="9"/>
      <c r="I800" s="58"/>
      <c r="J800" s="9"/>
      <c r="K800" s="9"/>
      <c r="L800" s="9"/>
      <c r="M800" s="9"/>
      <c r="N800" s="9"/>
      <c r="O800" s="9"/>
      <c r="P800" s="9"/>
      <c r="Q800" s="9"/>
      <c r="R800" s="9"/>
      <c r="S800" s="9"/>
      <c r="T800" s="9"/>
      <c r="U800" s="9"/>
      <c r="V800" s="9"/>
      <c r="W800" s="9"/>
      <c r="X800" s="9"/>
      <c r="Y800" s="9"/>
      <c r="Z800" s="9"/>
      <c r="AA800" s="9"/>
      <c r="AB800" s="9"/>
      <c r="AC800" s="9"/>
      <c r="AD800" s="9"/>
      <c r="AE800" s="9"/>
      <c r="AF800" s="9"/>
    </row>
    <row r="801" spans="1:32" ht="54.95" customHeight="1" x14ac:dyDescent="0.2">
      <c r="A801" s="56"/>
      <c r="B801" s="9"/>
      <c r="C801" s="9"/>
      <c r="D801" s="9"/>
      <c r="E801" s="9"/>
      <c r="F801" s="9"/>
      <c r="G801" s="9"/>
      <c r="H801" s="9"/>
      <c r="I801" s="58"/>
      <c r="J801" s="9"/>
      <c r="K801" s="9"/>
      <c r="L801" s="9"/>
      <c r="M801" s="9"/>
      <c r="N801" s="9"/>
      <c r="O801" s="9"/>
      <c r="P801" s="9"/>
      <c r="Q801" s="9"/>
      <c r="R801" s="9"/>
      <c r="S801" s="9"/>
      <c r="T801" s="9"/>
      <c r="U801" s="9"/>
      <c r="V801" s="9"/>
      <c r="W801" s="9"/>
      <c r="X801" s="9"/>
      <c r="Y801" s="9"/>
      <c r="Z801" s="9"/>
      <c r="AA801" s="9"/>
      <c r="AB801" s="9"/>
      <c r="AC801" s="9"/>
      <c r="AD801" s="9"/>
      <c r="AE801" s="9"/>
      <c r="AF801" s="9"/>
    </row>
    <row r="802" spans="1:32" ht="54.95" customHeight="1" x14ac:dyDescent="0.2">
      <c r="A802" s="56"/>
      <c r="B802" s="9"/>
      <c r="C802" s="9"/>
      <c r="D802" s="9"/>
      <c r="E802" s="9"/>
      <c r="F802" s="9"/>
      <c r="G802" s="9"/>
      <c r="H802" s="9"/>
      <c r="I802" s="58"/>
      <c r="J802" s="9"/>
      <c r="K802" s="9"/>
      <c r="L802" s="9"/>
      <c r="M802" s="9"/>
      <c r="N802" s="9"/>
      <c r="O802" s="9"/>
      <c r="P802" s="9"/>
      <c r="Q802" s="9"/>
      <c r="R802" s="9"/>
      <c r="S802" s="9"/>
      <c r="T802" s="9"/>
      <c r="U802" s="9"/>
      <c r="V802" s="9"/>
      <c r="W802" s="9"/>
      <c r="X802" s="9"/>
      <c r="Y802" s="9"/>
      <c r="Z802" s="9"/>
      <c r="AA802" s="9"/>
      <c r="AB802" s="9"/>
      <c r="AC802" s="9"/>
      <c r="AD802" s="9"/>
      <c r="AE802" s="9"/>
      <c r="AF802" s="9"/>
    </row>
    <row r="803" spans="1:32" ht="54.95" customHeight="1" x14ac:dyDescent="0.2">
      <c r="A803" s="56"/>
      <c r="B803" s="9"/>
      <c r="C803" s="9"/>
      <c r="D803" s="9"/>
      <c r="E803" s="9"/>
      <c r="F803" s="9"/>
      <c r="G803" s="9"/>
      <c r="H803" s="9"/>
      <c r="I803" s="58"/>
      <c r="J803" s="9"/>
      <c r="K803" s="9"/>
      <c r="L803" s="9"/>
      <c r="M803" s="9"/>
      <c r="N803" s="9"/>
      <c r="O803" s="9"/>
      <c r="P803" s="9"/>
      <c r="Q803" s="9"/>
      <c r="R803" s="9"/>
      <c r="S803" s="9"/>
      <c r="T803" s="9"/>
      <c r="U803" s="9"/>
      <c r="V803" s="9"/>
      <c r="W803" s="9"/>
      <c r="X803" s="9"/>
      <c r="Y803" s="9"/>
      <c r="Z803" s="9"/>
      <c r="AA803" s="9"/>
      <c r="AB803" s="9"/>
      <c r="AC803" s="9"/>
      <c r="AD803" s="9"/>
      <c r="AE803" s="9"/>
      <c r="AF803" s="9"/>
    </row>
    <row r="804" spans="1:32" ht="54.95" customHeight="1" x14ac:dyDescent="0.2">
      <c r="A804" s="56"/>
      <c r="B804" s="9"/>
      <c r="C804" s="9"/>
      <c r="D804" s="9"/>
      <c r="E804" s="9"/>
      <c r="F804" s="9"/>
      <c r="G804" s="9"/>
      <c r="H804" s="9"/>
      <c r="I804" s="58"/>
      <c r="J804" s="9"/>
      <c r="K804" s="9"/>
      <c r="L804" s="9"/>
      <c r="M804" s="9"/>
      <c r="N804" s="9"/>
      <c r="O804" s="9"/>
      <c r="P804" s="9"/>
      <c r="Q804" s="9"/>
      <c r="R804" s="9"/>
      <c r="S804" s="9"/>
      <c r="T804" s="9"/>
      <c r="U804" s="9"/>
      <c r="V804" s="9"/>
      <c r="W804" s="9"/>
      <c r="X804" s="9"/>
      <c r="Y804" s="9"/>
      <c r="Z804" s="9"/>
      <c r="AA804" s="9"/>
      <c r="AB804" s="9"/>
      <c r="AC804" s="9"/>
      <c r="AD804" s="9"/>
      <c r="AE804" s="9"/>
      <c r="AF804" s="9"/>
    </row>
    <row r="805" spans="1:32" ht="54.95" customHeight="1" x14ac:dyDescent="0.2">
      <c r="A805" s="56"/>
      <c r="B805" s="9"/>
      <c r="C805" s="9"/>
      <c r="D805" s="9"/>
      <c r="E805" s="9"/>
      <c r="F805" s="9"/>
      <c r="G805" s="9"/>
      <c r="H805" s="9"/>
      <c r="I805" s="58"/>
      <c r="J805" s="9"/>
      <c r="K805" s="9"/>
      <c r="L805" s="9"/>
      <c r="M805" s="9"/>
      <c r="N805" s="9"/>
      <c r="O805" s="9"/>
      <c r="P805" s="9"/>
      <c r="Q805" s="9"/>
      <c r="R805" s="9"/>
      <c r="S805" s="9"/>
      <c r="T805" s="9"/>
      <c r="U805" s="9"/>
      <c r="V805" s="9"/>
      <c r="W805" s="9"/>
      <c r="X805" s="9"/>
      <c r="Y805" s="9"/>
      <c r="Z805" s="9"/>
      <c r="AA805" s="9"/>
      <c r="AB805" s="9"/>
      <c r="AC805" s="9"/>
      <c r="AD805" s="9"/>
      <c r="AE805" s="9"/>
      <c r="AF805" s="9"/>
    </row>
    <row r="806" spans="1:32" ht="54.95" customHeight="1" x14ac:dyDescent="0.2">
      <c r="A806" s="56"/>
      <c r="B806" s="9"/>
      <c r="C806" s="9"/>
      <c r="D806" s="9"/>
      <c r="E806" s="9"/>
      <c r="F806" s="9"/>
      <c r="G806" s="9"/>
      <c r="H806" s="9"/>
      <c r="I806" s="58"/>
      <c r="J806" s="9"/>
      <c r="K806" s="9"/>
      <c r="L806" s="9"/>
      <c r="M806" s="9"/>
      <c r="N806" s="9"/>
      <c r="O806" s="9"/>
      <c r="P806" s="9"/>
      <c r="Q806" s="9"/>
      <c r="R806" s="9"/>
      <c r="S806" s="9"/>
      <c r="T806" s="9"/>
      <c r="U806" s="9"/>
      <c r="V806" s="9"/>
      <c r="W806" s="9"/>
      <c r="X806" s="9"/>
      <c r="Y806" s="9"/>
      <c r="Z806" s="9"/>
      <c r="AA806" s="9"/>
      <c r="AB806" s="9"/>
      <c r="AC806" s="9"/>
      <c r="AD806" s="9"/>
      <c r="AE806" s="9"/>
      <c r="AF806" s="9"/>
    </row>
    <row r="807" spans="1:32" ht="54.95" customHeight="1" x14ac:dyDescent="0.2">
      <c r="A807" s="56"/>
      <c r="B807" s="9"/>
      <c r="C807" s="9"/>
      <c r="D807" s="9"/>
      <c r="E807" s="9"/>
      <c r="F807" s="9"/>
      <c r="G807" s="9"/>
      <c r="H807" s="9"/>
      <c r="I807" s="58"/>
      <c r="J807" s="9"/>
      <c r="K807" s="9"/>
      <c r="L807" s="9"/>
      <c r="M807" s="9"/>
      <c r="N807" s="9"/>
      <c r="O807" s="9"/>
      <c r="P807" s="9"/>
      <c r="Q807" s="9"/>
      <c r="R807" s="9"/>
      <c r="S807" s="9"/>
      <c r="T807" s="9"/>
      <c r="U807" s="9"/>
      <c r="V807" s="9"/>
      <c r="W807" s="9"/>
      <c r="X807" s="9"/>
      <c r="Y807" s="9"/>
      <c r="Z807" s="9"/>
      <c r="AA807" s="9"/>
      <c r="AB807" s="9"/>
      <c r="AC807" s="9"/>
      <c r="AD807" s="9"/>
      <c r="AE807" s="9"/>
      <c r="AF807" s="9"/>
    </row>
    <row r="808" spans="1:32" ht="54.95" customHeight="1" x14ac:dyDescent="0.2">
      <c r="A808" s="56"/>
      <c r="B808" s="9"/>
      <c r="C808" s="9"/>
      <c r="D808" s="9"/>
      <c r="E808" s="9"/>
      <c r="F808" s="9"/>
      <c r="G808" s="9"/>
      <c r="H808" s="9"/>
      <c r="I808" s="58"/>
      <c r="J808" s="9"/>
      <c r="K808" s="9"/>
      <c r="L808" s="9"/>
      <c r="M808" s="9"/>
      <c r="N808" s="9"/>
      <c r="O808" s="9"/>
      <c r="P808" s="9"/>
      <c r="Q808" s="9"/>
      <c r="R808" s="9"/>
      <c r="S808" s="9"/>
      <c r="T808" s="9"/>
      <c r="U808" s="9"/>
      <c r="V808" s="9"/>
      <c r="W808" s="9"/>
      <c r="X808" s="9"/>
      <c r="Y808" s="9"/>
      <c r="Z808" s="9"/>
      <c r="AA808" s="9"/>
      <c r="AB808" s="9"/>
      <c r="AC808" s="9"/>
      <c r="AD808" s="9"/>
      <c r="AE808" s="9"/>
      <c r="AF808" s="9"/>
    </row>
    <row r="809" spans="1:32" ht="54.95" customHeight="1" x14ac:dyDescent="0.2">
      <c r="A809" s="56"/>
      <c r="B809" s="9"/>
      <c r="C809" s="9"/>
      <c r="D809" s="9"/>
      <c r="E809" s="9"/>
      <c r="F809" s="9"/>
      <c r="G809" s="9"/>
      <c r="H809" s="9"/>
      <c r="I809" s="58"/>
      <c r="J809" s="9"/>
      <c r="K809" s="9"/>
      <c r="L809" s="9"/>
      <c r="M809" s="9"/>
      <c r="N809" s="9"/>
      <c r="O809" s="9"/>
      <c r="P809" s="9"/>
      <c r="Q809" s="9"/>
      <c r="R809" s="9"/>
      <c r="S809" s="9"/>
      <c r="T809" s="9"/>
      <c r="U809" s="9"/>
      <c r="V809" s="9"/>
      <c r="W809" s="9"/>
      <c r="X809" s="9"/>
      <c r="Y809" s="9"/>
      <c r="Z809" s="9"/>
      <c r="AA809" s="9"/>
      <c r="AB809" s="9"/>
      <c r="AC809" s="9"/>
      <c r="AD809" s="9"/>
      <c r="AE809" s="9"/>
      <c r="AF809" s="9"/>
    </row>
    <row r="810" spans="1:32" ht="54.95" customHeight="1" x14ac:dyDescent="0.2">
      <c r="A810" s="56"/>
      <c r="B810" s="9"/>
      <c r="C810" s="9"/>
      <c r="D810" s="9"/>
      <c r="E810" s="9"/>
      <c r="F810" s="9"/>
      <c r="G810" s="9"/>
      <c r="H810" s="9"/>
      <c r="I810" s="58"/>
      <c r="J810" s="9"/>
      <c r="K810" s="9"/>
      <c r="L810" s="9"/>
      <c r="M810" s="9"/>
      <c r="N810" s="9"/>
      <c r="O810" s="9"/>
      <c r="P810" s="9"/>
      <c r="Q810" s="9"/>
      <c r="R810" s="9"/>
      <c r="S810" s="9"/>
      <c r="T810" s="9"/>
      <c r="U810" s="9"/>
      <c r="V810" s="9"/>
      <c r="W810" s="9"/>
      <c r="X810" s="9"/>
      <c r="Y810" s="9"/>
      <c r="Z810" s="9"/>
      <c r="AA810" s="9"/>
      <c r="AB810" s="9"/>
      <c r="AC810" s="9"/>
      <c r="AD810" s="9"/>
      <c r="AE810" s="9"/>
      <c r="AF810" s="9"/>
    </row>
    <row r="811" spans="1:32" ht="54.95" customHeight="1" x14ac:dyDescent="0.2">
      <c r="A811" s="56"/>
      <c r="B811" s="9"/>
      <c r="C811" s="9"/>
      <c r="D811" s="9"/>
      <c r="E811" s="9"/>
      <c r="F811" s="9"/>
      <c r="G811" s="9"/>
      <c r="H811" s="9"/>
      <c r="I811" s="58"/>
      <c r="J811" s="9"/>
      <c r="K811" s="9"/>
      <c r="L811" s="9"/>
      <c r="M811" s="9"/>
      <c r="N811" s="9"/>
      <c r="O811" s="9"/>
      <c r="P811" s="9"/>
      <c r="Q811" s="9"/>
      <c r="R811" s="9"/>
      <c r="S811" s="9"/>
      <c r="T811" s="9"/>
      <c r="U811" s="9"/>
      <c r="V811" s="9"/>
      <c r="W811" s="9"/>
      <c r="X811" s="9"/>
      <c r="Y811" s="9"/>
      <c r="Z811" s="9"/>
      <c r="AA811" s="9"/>
      <c r="AB811" s="9"/>
      <c r="AC811" s="9"/>
      <c r="AD811" s="9"/>
      <c r="AE811" s="9"/>
      <c r="AF811" s="9"/>
    </row>
    <row r="812" spans="1:32" ht="54.95" customHeight="1" x14ac:dyDescent="0.2">
      <c r="A812" s="56"/>
      <c r="B812" s="9"/>
      <c r="C812" s="9"/>
      <c r="D812" s="9"/>
      <c r="E812" s="9"/>
      <c r="F812" s="9"/>
      <c r="G812" s="9"/>
      <c r="H812" s="9"/>
      <c r="I812" s="58"/>
      <c r="J812" s="9"/>
      <c r="K812" s="9"/>
      <c r="L812" s="9"/>
      <c r="M812" s="9"/>
      <c r="N812" s="9"/>
      <c r="O812" s="9"/>
      <c r="P812" s="9"/>
      <c r="Q812" s="9"/>
      <c r="R812" s="9"/>
      <c r="S812" s="9"/>
      <c r="T812" s="9"/>
      <c r="U812" s="9"/>
      <c r="V812" s="9"/>
      <c r="W812" s="9"/>
      <c r="X812" s="9"/>
      <c r="Y812" s="9"/>
      <c r="Z812" s="9"/>
      <c r="AA812" s="9"/>
      <c r="AB812" s="9"/>
      <c r="AC812" s="9"/>
      <c r="AD812" s="9"/>
      <c r="AE812" s="9"/>
      <c r="AF812" s="9"/>
    </row>
    <row r="813" spans="1:32" ht="54.95" customHeight="1" x14ac:dyDescent="0.2">
      <c r="A813" s="56"/>
      <c r="B813" s="9"/>
      <c r="C813" s="9"/>
      <c r="D813" s="9"/>
      <c r="E813" s="9"/>
      <c r="F813" s="9"/>
      <c r="G813" s="9"/>
      <c r="H813" s="9"/>
      <c r="I813" s="58"/>
      <c r="J813" s="9"/>
      <c r="K813" s="9"/>
      <c r="L813" s="9"/>
      <c r="M813" s="9"/>
      <c r="N813" s="9"/>
      <c r="O813" s="9"/>
      <c r="P813" s="9"/>
      <c r="Q813" s="9"/>
      <c r="R813" s="9"/>
      <c r="S813" s="9"/>
      <c r="T813" s="9"/>
      <c r="U813" s="9"/>
      <c r="V813" s="9"/>
      <c r="W813" s="9"/>
      <c r="X813" s="9"/>
      <c r="Y813" s="9"/>
      <c r="Z813" s="9"/>
      <c r="AA813" s="9"/>
      <c r="AB813" s="9"/>
      <c r="AC813" s="9"/>
      <c r="AD813" s="9"/>
      <c r="AE813" s="9"/>
      <c r="AF813" s="9"/>
    </row>
    <row r="814" spans="1:32" ht="54.95" customHeight="1" x14ac:dyDescent="0.2">
      <c r="A814" s="56"/>
      <c r="B814" s="9"/>
      <c r="C814" s="9"/>
      <c r="D814" s="9"/>
      <c r="E814" s="9"/>
      <c r="F814" s="9"/>
      <c r="G814" s="9"/>
      <c r="H814" s="9"/>
      <c r="I814" s="58"/>
      <c r="J814" s="9"/>
      <c r="K814" s="9"/>
      <c r="L814" s="9"/>
      <c r="M814" s="9"/>
      <c r="N814" s="9"/>
      <c r="O814" s="9"/>
      <c r="P814" s="9"/>
      <c r="Q814" s="9"/>
      <c r="R814" s="9"/>
      <c r="S814" s="9"/>
      <c r="T814" s="9"/>
      <c r="U814" s="9"/>
      <c r="V814" s="9"/>
      <c r="W814" s="9"/>
      <c r="X814" s="9"/>
      <c r="Y814" s="9"/>
      <c r="Z814" s="9"/>
      <c r="AA814" s="9"/>
      <c r="AB814" s="9"/>
      <c r="AC814" s="9"/>
      <c r="AD814" s="9"/>
      <c r="AE814" s="9"/>
      <c r="AF814" s="9"/>
    </row>
    <row r="815" spans="1:32" ht="54.95" customHeight="1" x14ac:dyDescent="0.2">
      <c r="A815" s="56"/>
      <c r="B815" s="9"/>
      <c r="C815" s="9"/>
      <c r="D815" s="9"/>
      <c r="E815" s="9"/>
      <c r="F815" s="9"/>
      <c r="G815" s="9"/>
      <c r="H815" s="9"/>
      <c r="I815" s="58"/>
      <c r="J815" s="9"/>
      <c r="K815" s="9"/>
      <c r="L815" s="9"/>
      <c r="M815" s="9"/>
      <c r="N815" s="9"/>
      <c r="O815" s="9"/>
      <c r="P815" s="9"/>
      <c r="Q815" s="9"/>
      <c r="R815" s="9"/>
      <c r="S815" s="9"/>
      <c r="T815" s="9"/>
      <c r="U815" s="9"/>
      <c r="V815" s="9"/>
      <c r="W815" s="9"/>
      <c r="X815" s="9"/>
      <c r="Y815" s="9"/>
      <c r="Z815" s="9"/>
      <c r="AA815" s="9"/>
      <c r="AB815" s="9"/>
      <c r="AC815" s="9"/>
      <c r="AD815" s="9"/>
      <c r="AE815" s="9"/>
      <c r="AF815" s="9"/>
    </row>
    <row r="816" spans="1:32" ht="54.95" customHeight="1" x14ac:dyDescent="0.2">
      <c r="A816" s="56"/>
      <c r="B816" s="9"/>
      <c r="C816" s="9"/>
      <c r="D816" s="9"/>
      <c r="E816" s="9"/>
      <c r="F816" s="9"/>
      <c r="G816" s="9"/>
      <c r="H816" s="9"/>
      <c r="I816" s="58"/>
      <c r="J816" s="9"/>
      <c r="K816" s="9"/>
      <c r="L816" s="9"/>
      <c r="M816" s="9"/>
      <c r="N816" s="9"/>
      <c r="O816" s="9"/>
      <c r="P816" s="9"/>
      <c r="Q816" s="9"/>
      <c r="R816" s="9"/>
      <c r="S816" s="9"/>
      <c r="T816" s="9"/>
      <c r="U816" s="9"/>
      <c r="V816" s="9"/>
      <c r="W816" s="9"/>
      <c r="X816" s="9"/>
      <c r="Y816" s="9"/>
      <c r="Z816" s="9"/>
      <c r="AA816" s="9"/>
      <c r="AB816" s="9"/>
      <c r="AC816" s="9"/>
      <c r="AD816" s="9"/>
      <c r="AE816" s="9"/>
      <c r="AF816" s="9"/>
    </row>
    <row r="817" spans="1:32" ht="54.95" customHeight="1" x14ac:dyDescent="0.2">
      <c r="A817" s="56"/>
      <c r="B817" s="9"/>
      <c r="C817" s="9"/>
      <c r="D817" s="9"/>
      <c r="E817" s="9"/>
      <c r="F817" s="9"/>
      <c r="G817" s="9"/>
      <c r="H817" s="9"/>
      <c r="I817" s="58"/>
      <c r="J817" s="9"/>
      <c r="K817" s="9"/>
      <c r="L817" s="9"/>
      <c r="M817" s="9"/>
      <c r="N817" s="9"/>
      <c r="O817" s="9"/>
      <c r="P817" s="9"/>
      <c r="Q817" s="9"/>
      <c r="R817" s="9"/>
      <c r="S817" s="9"/>
      <c r="T817" s="9"/>
      <c r="U817" s="9"/>
      <c r="V817" s="9"/>
      <c r="W817" s="9"/>
      <c r="X817" s="9"/>
      <c r="Y817" s="9"/>
      <c r="Z817" s="9"/>
      <c r="AA817" s="9"/>
      <c r="AB817" s="9"/>
      <c r="AC817" s="9"/>
      <c r="AD817" s="9"/>
      <c r="AE817" s="9"/>
      <c r="AF817" s="9"/>
    </row>
    <row r="818" spans="1:32" ht="54.95" customHeight="1" x14ac:dyDescent="0.2">
      <c r="A818" s="56"/>
      <c r="B818" s="9"/>
      <c r="C818" s="9"/>
      <c r="D818" s="9"/>
      <c r="E818" s="9"/>
      <c r="F818" s="9"/>
      <c r="G818" s="9"/>
      <c r="H818" s="9"/>
      <c r="I818" s="58"/>
      <c r="J818" s="9"/>
      <c r="K818" s="9"/>
      <c r="L818" s="9"/>
      <c r="M818" s="9"/>
      <c r="N818" s="9"/>
      <c r="O818" s="9"/>
      <c r="P818" s="9"/>
      <c r="Q818" s="9"/>
      <c r="R818" s="9"/>
      <c r="S818" s="9"/>
      <c r="T818" s="9"/>
      <c r="U818" s="9"/>
      <c r="V818" s="9"/>
      <c r="W818" s="9"/>
      <c r="X818" s="9"/>
      <c r="Y818" s="9"/>
      <c r="Z818" s="9"/>
      <c r="AA818" s="9"/>
      <c r="AB818" s="9"/>
      <c r="AC818" s="9"/>
      <c r="AD818" s="9"/>
      <c r="AE818" s="9"/>
      <c r="AF818" s="9"/>
    </row>
    <row r="819" spans="1:32" ht="54.95" customHeight="1" x14ac:dyDescent="0.2">
      <c r="A819" s="56"/>
      <c r="B819" s="9"/>
      <c r="C819" s="9"/>
      <c r="D819" s="9"/>
      <c r="E819" s="9"/>
      <c r="F819" s="9"/>
      <c r="G819" s="9"/>
      <c r="H819" s="9"/>
      <c r="I819" s="58"/>
      <c r="J819" s="9"/>
      <c r="K819" s="9"/>
      <c r="L819" s="9"/>
      <c r="M819" s="9"/>
      <c r="N819" s="9"/>
      <c r="O819" s="9"/>
      <c r="P819" s="9"/>
      <c r="Q819" s="9"/>
      <c r="R819" s="9"/>
      <c r="S819" s="9"/>
      <c r="T819" s="9"/>
      <c r="U819" s="9"/>
      <c r="V819" s="9"/>
      <c r="W819" s="9"/>
      <c r="X819" s="9"/>
      <c r="Y819" s="9"/>
      <c r="Z819" s="9"/>
      <c r="AA819" s="9"/>
      <c r="AB819" s="9"/>
      <c r="AC819" s="9"/>
      <c r="AD819" s="9"/>
      <c r="AE819" s="9"/>
      <c r="AF819" s="9"/>
    </row>
    <row r="820" spans="1:32" ht="54.95" customHeight="1" x14ac:dyDescent="0.2">
      <c r="A820" s="56"/>
      <c r="B820" s="9"/>
      <c r="C820" s="9"/>
      <c r="D820" s="9"/>
      <c r="E820" s="9"/>
      <c r="F820" s="9"/>
      <c r="G820" s="9"/>
      <c r="H820" s="9"/>
      <c r="I820" s="58"/>
      <c r="J820" s="9"/>
      <c r="K820" s="9"/>
      <c r="L820" s="9"/>
      <c r="M820" s="9"/>
      <c r="N820" s="9"/>
      <c r="O820" s="9"/>
      <c r="P820" s="9"/>
      <c r="Q820" s="9"/>
      <c r="R820" s="9"/>
      <c r="S820" s="9"/>
      <c r="T820" s="9"/>
      <c r="U820" s="9"/>
      <c r="V820" s="9"/>
      <c r="W820" s="9"/>
      <c r="X820" s="9"/>
      <c r="Y820" s="9"/>
      <c r="Z820" s="9"/>
      <c r="AA820" s="9"/>
      <c r="AB820" s="9"/>
      <c r="AC820" s="9"/>
      <c r="AD820" s="9"/>
      <c r="AE820" s="9"/>
      <c r="AF820" s="9"/>
    </row>
    <row r="821" spans="1:32" ht="54.95" customHeight="1" x14ac:dyDescent="0.2">
      <c r="A821" s="56"/>
      <c r="B821" s="9"/>
      <c r="C821" s="9"/>
      <c r="D821" s="9"/>
      <c r="E821" s="9"/>
      <c r="F821" s="9"/>
      <c r="G821" s="9"/>
      <c r="H821" s="9"/>
      <c r="I821" s="58"/>
      <c r="J821" s="9"/>
      <c r="K821" s="9"/>
      <c r="L821" s="9"/>
      <c r="M821" s="9"/>
      <c r="N821" s="9"/>
      <c r="O821" s="9"/>
      <c r="P821" s="9"/>
      <c r="Q821" s="9"/>
      <c r="R821" s="9"/>
      <c r="S821" s="9"/>
      <c r="T821" s="9"/>
      <c r="U821" s="9"/>
      <c r="V821" s="9"/>
      <c r="W821" s="9"/>
      <c r="X821" s="9"/>
      <c r="Y821" s="9"/>
      <c r="Z821" s="9"/>
      <c r="AA821" s="9"/>
      <c r="AB821" s="9"/>
      <c r="AC821" s="9"/>
      <c r="AD821" s="9"/>
      <c r="AE821" s="9"/>
      <c r="AF821" s="9"/>
    </row>
    <row r="822" spans="1:32" ht="54.95" customHeight="1" x14ac:dyDescent="0.2">
      <c r="A822" s="56"/>
      <c r="B822" s="9"/>
      <c r="C822" s="9"/>
      <c r="D822" s="9"/>
      <c r="E822" s="9"/>
      <c r="F822" s="9"/>
      <c r="G822" s="9"/>
      <c r="H822" s="9"/>
      <c r="I822" s="58"/>
      <c r="J822" s="9"/>
      <c r="K822" s="9"/>
      <c r="L822" s="9"/>
      <c r="M822" s="9"/>
      <c r="N822" s="9"/>
      <c r="O822" s="9"/>
      <c r="P822" s="9"/>
      <c r="Q822" s="9"/>
      <c r="R822" s="9"/>
      <c r="S822" s="9"/>
      <c r="T822" s="9"/>
      <c r="U822" s="9"/>
      <c r="V822" s="9"/>
      <c r="W822" s="9"/>
      <c r="X822" s="9"/>
      <c r="Y822" s="9"/>
      <c r="Z822" s="9"/>
      <c r="AA822" s="9"/>
      <c r="AB822" s="9"/>
      <c r="AC822" s="9"/>
      <c r="AD822" s="9"/>
      <c r="AE822" s="9"/>
      <c r="AF822" s="9"/>
    </row>
    <row r="823" spans="1:32" ht="54.95" customHeight="1" x14ac:dyDescent="0.2">
      <c r="A823" s="56"/>
      <c r="B823" s="9"/>
      <c r="C823" s="9"/>
      <c r="D823" s="9"/>
      <c r="E823" s="9"/>
      <c r="F823" s="9"/>
      <c r="G823" s="9"/>
      <c r="H823" s="9"/>
      <c r="I823" s="58"/>
      <c r="J823" s="9"/>
      <c r="K823" s="9"/>
      <c r="L823" s="9"/>
      <c r="M823" s="9"/>
      <c r="N823" s="9"/>
      <c r="O823" s="9"/>
      <c r="P823" s="9"/>
      <c r="Q823" s="9"/>
      <c r="R823" s="9"/>
      <c r="S823" s="9"/>
      <c r="T823" s="9"/>
      <c r="U823" s="9"/>
      <c r="V823" s="9"/>
      <c r="W823" s="9"/>
      <c r="X823" s="9"/>
      <c r="Y823" s="9"/>
      <c r="Z823" s="9"/>
      <c r="AA823" s="9"/>
      <c r="AB823" s="9"/>
      <c r="AC823" s="9"/>
      <c r="AD823" s="9"/>
      <c r="AE823" s="9"/>
      <c r="AF823" s="9"/>
    </row>
    <row r="824" spans="1:32" ht="54.95" customHeight="1" x14ac:dyDescent="0.2">
      <c r="A824" s="56"/>
      <c r="B824" s="9"/>
      <c r="C824" s="9"/>
      <c r="D824" s="9"/>
      <c r="E824" s="9"/>
      <c r="F824" s="9"/>
      <c r="G824" s="9"/>
      <c r="H824" s="9"/>
      <c r="I824" s="58"/>
      <c r="J824" s="9"/>
      <c r="K824" s="9"/>
      <c r="L824" s="9"/>
      <c r="M824" s="9"/>
      <c r="N824" s="9"/>
      <c r="O824" s="9"/>
      <c r="P824" s="9"/>
      <c r="Q824" s="9"/>
      <c r="R824" s="9"/>
      <c r="S824" s="9"/>
      <c r="T824" s="9"/>
      <c r="U824" s="9"/>
      <c r="V824" s="9"/>
      <c r="W824" s="9"/>
      <c r="X824" s="9"/>
      <c r="Y824" s="9"/>
      <c r="Z824" s="9"/>
      <c r="AA824" s="9"/>
      <c r="AB824" s="9"/>
      <c r="AC824" s="9"/>
      <c r="AD824" s="9"/>
      <c r="AE824" s="9"/>
      <c r="AF824" s="9"/>
    </row>
    <row r="825" spans="1:32" ht="54.95" customHeight="1" x14ac:dyDescent="0.2">
      <c r="A825" s="56"/>
      <c r="B825" s="9"/>
      <c r="C825" s="9"/>
      <c r="D825" s="9"/>
      <c r="E825" s="9"/>
      <c r="F825" s="9"/>
      <c r="G825" s="9"/>
      <c r="H825" s="9"/>
      <c r="I825" s="58"/>
      <c r="J825" s="9"/>
      <c r="K825" s="9"/>
      <c r="L825" s="9"/>
      <c r="M825" s="9"/>
      <c r="N825" s="9"/>
      <c r="O825" s="9"/>
      <c r="P825" s="9"/>
      <c r="Q825" s="9"/>
      <c r="R825" s="9"/>
      <c r="S825" s="9"/>
      <c r="T825" s="9"/>
      <c r="U825" s="9"/>
      <c r="V825" s="9"/>
      <c r="W825" s="9"/>
      <c r="X825" s="9"/>
      <c r="Y825" s="9"/>
      <c r="Z825" s="9"/>
      <c r="AA825" s="9"/>
      <c r="AB825" s="9"/>
      <c r="AC825" s="9"/>
      <c r="AD825" s="9"/>
      <c r="AE825" s="9"/>
      <c r="AF825" s="9"/>
    </row>
    <row r="826" spans="1:32" ht="54.95" customHeight="1" x14ac:dyDescent="0.2">
      <c r="A826" s="56"/>
      <c r="B826" s="9"/>
      <c r="C826" s="9"/>
      <c r="D826" s="9"/>
      <c r="E826" s="9"/>
      <c r="F826" s="9"/>
      <c r="G826" s="9"/>
      <c r="H826" s="9"/>
      <c r="I826" s="58"/>
      <c r="J826" s="9"/>
      <c r="K826" s="9"/>
      <c r="L826" s="9"/>
      <c r="M826" s="9"/>
      <c r="N826" s="9"/>
      <c r="O826" s="9"/>
      <c r="P826" s="9"/>
      <c r="Q826" s="9"/>
      <c r="R826" s="9"/>
      <c r="S826" s="9"/>
      <c r="T826" s="9"/>
      <c r="U826" s="9"/>
      <c r="V826" s="9"/>
      <c r="W826" s="9"/>
      <c r="X826" s="9"/>
      <c r="Y826" s="9"/>
      <c r="Z826" s="9"/>
      <c r="AA826" s="9"/>
      <c r="AB826" s="9"/>
      <c r="AC826" s="9"/>
      <c r="AD826" s="9"/>
      <c r="AE826" s="9"/>
      <c r="AF826" s="9"/>
    </row>
    <row r="827" spans="1:32" ht="54.95" customHeight="1" x14ac:dyDescent="0.2">
      <c r="A827" s="56"/>
      <c r="B827" s="9"/>
      <c r="C827" s="9"/>
      <c r="D827" s="9"/>
      <c r="E827" s="9"/>
      <c r="F827" s="9"/>
      <c r="G827" s="9"/>
      <c r="H827" s="9"/>
      <c r="I827" s="58"/>
      <c r="J827" s="9"/>
      <c r="K827" s="9"/>
      <c r="L827" s="9"/>
      <c r="M827" s="9"/>
      <c r="N827" s="9"/>
      <c r="O827" s="9"/>
      <c r="P827" s="9"/>
      <c r="Q827" s="9"/>
      <c r="R827" s="9"/>
      <c r="S827" s="9"/>
      <c r="T827" s="9"/>
      <c r="U827" s="9"/>
      <c r="V827" s="9"/>
      <c r="W827" s="9"/>
      <c r="X827" s="9"/>
      <c r="Y827" s="9"/>
      <c r="Z827" s="9"/>
      <c r="AA827" s="9"/>
      <c r="AB827" s="9"/>
      <c r="AC827" s="9"/>
      <c r="AD827" s="9"/>
      <c r="AE827" s="9"/>
      <c r="AF827" s="9"/>
    </row>
    <row r="828" spans="1:32" ht="54.95" customHeight="1" x14ac:dyDescent="0.2">
      <c r="A828" s="56"/>
      <c r="B828" s="9"/>
      <c r="C828" s="9"/>
      <c r="D828" s="9"/>
      <c r="E828" s="9"/>
      <c r="F828" s="9"/>
      <c r="G828" s="9"/>
      <c r="H828" s="9"/>
      <c r="I828" s="58"/>
      <c r="J828" s="9"/>
      <c r="K828" s="9"/>
      <c r="L828" s="9"/>
      <c r="M828" s="9"/>
      <c r="N828" s="9"/>
      <c r="O828" s="9"/>
      <c r="P828" s="9"/>
      <c r="Q828" s="9"/>
      <c r="R828" s="9"/>
      <c r="S828" s="9"/>
      <c r="T828" s="9"/>
      <c r="U828" s="9"/>
      <c r="V828" s="9"/>
      <c r="W828" s="9"/>
      <c r="X828" s="9"/>
      <c r="Y828" s="9"/>
      <c r="Z828" s="9"/>
      <c r="AA828" s="9"/>
      <c r="AB828" s="9"/>
      <c r="AC828" s="9"/>
      <c r="AD828" s="9"/>
      <c r="AE828" s="9"/>
      <c r="AF828" s="9"/>
    </row>
    <row r="829" spans="1:32" ht="54.95" customHeight="1" x14ac:dyDescent="0.2">
      <c r="A829" s="56"/>
      <c r="B829" s="9"/>
      <c r="C829" s="9"/>
      <c r="D829" s="9"/>
      <c r="E829" s="9"/>
      <c r="F829" s="9"/>
      <c r="G829" s="9"/>
      <c r="H829" s="9"/>
      <c r="I829" s="58"/>
      <c r="J829" s="9"/>
      <c r="K829" s="9"/>
      <c r="L829" s="9"/>
      <c r="M829" s="9"/>
      <c r="N829" s="9"/>
      <c r="O829" s="9"/>
      <c r="P829" s="9"/>
      <c r="Q829" s="9"/>
      <c r="R829" s="9"/>
      <c r="S829" s="9"/>
      <c r="T829" s="9"/>
      <c r="U829" s="9"/>
      <c r="V829" s="9"/>
      <c r="W829" s="9"/>
      <c r="X829" s="9"/>
      <c r="Y829" s="9"/>
      <c r="Z829" s="9"/>
      <c r="AA829" s="9"/>
      <c r="AB829" s="9"/>
      <c r="AC829" s="9"/>
      <c r="AD829" s="9"/>
      <c r="AE829" s="9"/>
      <c r="AF829" s="9"/>
    </row>
    <row r="830" spans="1:32" ht="54.95" customHeight="1" x14ac:dyDescent="0.2">
      <c r="A830" s="56"/>
      <c r="B830" s="9"/>
      <c r="C830" s="9"/>
      <c r="D830" s="9"/>
      <c r="E830" s="9"/>
      <c r="F830" s="9"/>
      <c r="G830" s="9"/>
      <c r="H830" s="9"/>
      <c r="I830" s="58"/>
      <c r="J830" s="9"/>
      <c r="K830" s="9"/>
      <c r="L830" s="9"/>
      <c r="M830" s="9"/>
      <c r="N830" s="9"/>
      <c r="O830" s="9"/>
      <c r="P830" s="9"/>
      <c r="Q830" s="9"/>
      <c r="R830" s="9"/>
      <c r="S830" s="9"/>
      <c r="T830" s="9"/>
      <c r="U830" s="9"/>
      <c r="V830" s="9"/>
      <c r="W830" s="9"/>
      <c r="X830" s="9"/>
      <c r="Y830" s="9"/>
      <c r="Z830" s="9"/>
      <c r="AA830" s="9"/>
      <c r="AB830" s="9"/>
      <c r="AC830" s="9"/>
      <c r="AD830" s="9"/>
      <c r="AE830" s="9"/>
      <c r="AF830" s="9"/>
    </row>
    <row r="831" spans="1:32" ht="54.95" customHeight="1" x14ac:dyDescent="0.2">
      <c r="A831" s="56"/>
      <c r="B831" s="9"/>
      <c r="C831" s="9"/>
      <c r="D831" s="9"/>
      <c r="E831" s="9"/>
      <c r="F831" s="9"/>
      <c r="G831" s="9"/>
      <c r="H831" s="9"/>
      <c r="I831" s="58"/>
      <c r="J831" s="9"/>
      <c r="K831" s="9"/>
      <c r="L831" s="9"/>
      <c r="M831" s="9"/>
      <c r="N831" s="9"/>
      <c r="O831" s="9"/>
      <c r="P831" s="9"/>
      <c r="Q831" s="9"/>
      <c r="R831" s="9"/>
      <c r="S831" s="9"/>
      <c r="T831" s="9"/>
      <c r="U831" s="9"/>
      <c r="V831" s="9"/>
      <c r="W831" s="9"/>
      <c r="X831" s="9"/>
      <c r="Y831" s="9"/>
      <c r="Z831" s="9"/>
      <c r="AA831" s="9"/>
      <c r="AB831" s="9"/>
      <c r="AC831" s="9"/>
      <c r="AD831" s="9"/>
      <c r="AE831" s="9"/>
      <c r="AF831" s="9"/>
    </row>
    <row r="832" spans="1:32" ht="54.95" customHeight="1" x14ac:dyDescent="0.2">
      <c r="A832" s="56"/>
      <c r="B832" s="9"/>
      <c r="C832" s="9"/>
      <c r="D832" s="9"/>
      <c r="E832" s="9"/>
      <c r="F832" s="9"/>
      <c r="G832" s="9"/>
      <c r="H832" s="9"/>
      <c r="I832" s="58"/>
      <c r="J832" s="9"/>
      <c r="K832" s="9"/>
      <c r="L832" s="9"/>
      <c r="M832" s="9"/>
      <c r="N832" s="9"/>
      <c r="O832" s="9"/>
      <c r="P832" s="9"/>
      <c r="Q832" s="9"/>
      <c r="R832" s="9"/>
      <c r="S832" s="9"/>
      <c r="T832" s="9"/>
      <c r="U832" s="9"/>
      <c r="V832" s="9"/>
      <c r="W832" s="9"/>
      <c r="X832" s="9"/>
      <c r="Y832" s="9"/>
      <c r="Z832" s="9"/>
      <c r="AA832" s="9"/>
      <c r="AB832" s="9"/>
      <c r="AC832" s="9"/>
      <c r="AD832" s="9"/>
      <c r="AE832" s="9"/>
      <c r="AF832" s="9"/>
    </row>
    <row r="833" spans="1:32" ht="54.95" customHeight="1" x14ac:dyDescent="0.2">
      <c r="A833" s="56"/>
      <c r="B833" s="9"/>
      <c r="C833" s="9"/>
      <c r="D833" s="9"/>
      <c r="E833" s="9"/>
      <c r="F833" s="9"/>
      <c r="G833" s="9"/>
      <c r="H833" s="9"/>
      <c r="I833" s="58"/>
      <c r="J833" s="9"/>
      <c r="K833" s="9"/>
      <c r="L833" s="9"/>
      <c r="M833" s="9"/>
      <c r="N833" s="9"/>
      <c r="O833" s="9"/>
      <c r="P833" s="9"/>
      <c r="Q833" s="9"/>
      <c r="R833" s="9"/>
      <c r="S833" s="9"/>
      <c r="T833" s="9"/>
      <c r="U833" s="9"/>
      <c r="V833" s="9"/>
      <c r="W833" s="9"/>
      <c r="X833" s="9"/>
      <c r="Y833" s="9"/>
      <c r="Z833" s="9"/>
      <c r="AA833" s="9"/>
      <c r="AB833" s="9"/>
      <c r="AC833" s="9"/>
      <c r="AD833" s="9"/>
      <c r="AE833" s="9"/>
      <c r="AF833" s="9"/>
    </row>
    <row r="834" spans="1:32" ht="54.95" customHeight="1" x14ac:dyDescent="0.2">
      <c r="A834" s="56"/>
      <c r="B834" s="9"/>
      <c r="C834" s="9"/>
      <c r="D834" s="9"/>
      <c r="E834" s="9"/>
      <c r="F834" s="9"/>
      <c r="G834" s="9"/>
      <c r="H834" s="9"/>
      <c r="I834" s="58"/>
      <c r="J834" s="9"/>
      <c r="K834" s="9"/>
      <c r="L834" s="9"/>
      <c r="M834" s="9"/>
      <c r="N834" s="9"/>
      <c r="O834" s="9"/>
      <c r="P834" s="9"/>
      <c r="Q834" s="9"/>
      <c r="R834" s="9"/>
      <c r="S834" s="9"/>
      <c r="T834" s="9"/>
      <c r="U834" s="9"/>
      <c r="V834" s="9"/>
      <c r="W834" s="9"/>
      <c r="X834" s="9"/>
      <c r="Y834" s="9"/>
      <c r="Z834" s="9"/>
      <c r="AA834" s="9"/>
      <c r="AB834" s="9"/>
      <c r="AC834" s="9"/>
      <c r="AD834" s="9"/>
      <c r="AE834" s="9"/>
      <c r="AF834" s="9"/>
    </row>
    <row r="835" spans="1:32" ht="54.95" customHeight="1" x14ac:dyDescent="0.2">
      <c r="A835" s="56"/>
      <c r="B835" s="9"/>
      <c r="C835" s="9"/>
      <c r="D835" s="9"/>
      <c r="E835" s="9"/>
      <c r="F835" s="9"/>
      <c r="G835" s="9"/>
      <c r="H835" s="9"/>
      <c r="I835" s="58"/>
      <c r="J835" s="9"/>
      <c r="K835" s="9"/>
      <c r="L835" s="9"/>
      <c r="M835" s="9"/>
      <c r="N835" s="9"/>
      <c r="O835" s="9"/>
      <c r="P835" s="9"/>
      <c r="Q835" s="9"/>
      <c r="R835" s="9"/>
      <c r="S835" s="9"/>
      <c r="T835" s="9"/>
      <c r="U835" s="9"/>
      <c r="V835" s="9"/>
      <c r="W835" s="9"/>
      <c r="X835" s="9"/>
      <c r="Y835" s="9"/>
      <c r="Z835" s="9"/>
      <c r="AA835" s="9"/>
      <c r="AB835" s="9"/>
      <c r="AC835" s="9"/>
      <c r="AD835" s="9"/>
      <c r="AE835" s="9"/>
      <c r="AF835" s="9"/>
    </row>
    <row r="836" spans="1:32" ht="54.95" customHeight="1" x14ac:dyDescent="0.2">
      <c r="A836" s="56"/>
      <c r="B836" s="9"/>
      <c r="C836" s="9"/>
      <c r="D836" s="9"/>
      <c r="E836" s="9"/>
      <c r="F836" s="9"/>
      <c r="G836" s="9"/>
      <c r="H836" s="9"/>
      <c r="I836" s="58"/>
      <c r="J836" s="9"/>
      <c r="K836" s="9"/>
      <c r="L836" s="9"/>
      <c r="M836" s="9"/>
      <c r="N836" s="9"/>
      <c r="O836" s="9"/>
      <c r="P836" s="9"/>
      <c r="Q836" s="9"/>
      <c r="R836" s="9"/>
      <c r="S836" s="9"/>
      <c r="T836" s="9"/>
      <c r="U836" s="9"/>
      <c r="V836" s="9"/>
      <c r="W836" s="9"/>
      <c r="X836" s="9"/>
      <c r="Y836" s="9"/>
      <c r="Z836" s="9"/>
      <c r="AA836" s="9"/>
      <c r="AB836" s="9"/>
      <c r="AC836" s="9"/>
      <c r="AD836" s="9"/>
      <c r="AE836" s="9"/>
      <c r="AF836" s="9"/>
    </row>
    <row r="837" spans="1:32" ht="54.95" customHeight="1" x14ac:dyDescent="0.2">
      <c r="A837" s="56"/>
      <c r="B837" s="9"/>
      <c r="C837" s="9"/>
      <c r="D837" s="9"/>
      <c r="E837" s="9"/>
      <c r="F837" s="9"/>
      <c r="G837" s="9"/>
      <c r="H837" s="9"/>
      <c r="I837" s="58"/>
      <c r="J837" s="9"/>
      <c r="K837" s="9"/>
      <c r="L837" s="9"/>
      <c r="M837" s="9"/>
      <c r="N837" s="9"/>
      <c r="O837" s="9"/>
      <c r="P837" s="9"/>
      <c r="Q837" s="9"/>
      <c r="R837" s="9"/>
      <c r="S837" s="9"/>
      <c r="T837" s="9"/>
      <c r="U837" s="9"/>
      <c r="V837" s="9"/>
      <c r="W837" s="9"/>
      <c r="X837" s="9"/>
      <c r="Y837" s="9"/>
      <c r="Z837" s="9"/>
      <c r="AA837" s="9"/>
      <c r="AB837" s="9"/>
      <c r="AC837" s="9"/>
      <c r="AD837" s="9"/>
      <c r="AE837" s="9"/>
      <c r="AF837" s="9"/>
    </row>
    <row r="838" spans="1:32" ht="54.95" customHeight="1" x14ac:dyDescent="0.2">
      <c r="A838" s="56"/>
      <c r="B838" s="9"/>
      <c r="C838" s="9"/>
      <c r="D838" s="9"/>
      <c r="E838" s="9"/>
      <c r="F838" s="9"/>
      <c r="G838" s="9"/>
      <c r="H838" s="9"/>
      <c r="I838" s="58"/>
      <c r="J838" s="9"/>
      <c r="K838" s="9"/>
      <c r="L838" s="9"/>
      <c r="M838" s="9"/>
      <c r="N838" s="9"/>
      <c r="O838" s="9"/>
      <c r="P838" s="9"/>
      <c r="Q838" s="9"/>
      <c r="R838" s="9"/>
      <c r="S838" s="9"/>
      <c r="T838" s="9"/>
      <c r="U838" s="9"/>
      <c r="V838" s="9"/>
      <c r="W838" s="9"/>
      <c r="X838" s="9"/>
      <c r="Y838" s="9"/>
      <c r="Z838" s="9"/>
      <c r="AA838" s="9"/>
      <c r="AB838" s="9"/>
      <c r="AC838" s="9"/>
      <c r="AD838" s="9"/>
      <c r="AE838" s="9"/>
      <c r="AF838" s="9"/>
    </row>
    <row r="839" spans="1:32" ht="54.95" customHeight="1" x14ac:dyDescent="0.2">
      <c r="A839" s="56"/>
      <c r="B839" s="9"/>
      <c r="C839" s="9"/>
      <c r="D839" s="9"/>
      <c r="E839" s="9"/>
      <c r="F839" s="9"/>
      <c r="G839" s="9"/>
      <c r="H839" s="9"/>
      <c r="I839" s="58"/>
      <c r="J839" s="9"/>
      <c r="K839" s="9"/>
      <c r="L839" s="9"/>
      <c r="M839" s="9"/>
      <c r="N839" s="9"/>
      <c r="O839" s="9"/>
      <c r="P839" s="9"/>
      <c r="Q839" s="9"/>
      <c r="R839" s="9"/>
      <c r="S839" s="9"/>
      <c r="T839" s="9"/>
      <c r="U839" s="9"/>
      <c r="V839" s="9"/>
      <c r="W839" s="9"/>
      <c r="X839" s="9"/>
      <c r="Y839" s="9"/>
      <c r="Z839" s="9"/>
      <c r="AA839" s="9"/>
      <c r="AB839" s="9"/>
      <c r="AC839" s="9"/>
      <c r="AD839" s="9"/>
      <c r="AE839" s="9"/>
      <c r="AF839" s="9"/>
    </row>
    <row r="840" spans="1:32" ht="54.95" customHeight="1" x14ac:dyDescent="0.2">
      <c r="A840" s="56"/>
      <c r="B840" s="9"/>
      <c r="C840" s="9"/>
      <c r="D840" s="9"/>
      <c r="E840" s="9"/>
      <c r="F840" s="9"/>
      <c r="G840" s="9"/>
      <c r="H840" s="9"/>
      <c r="I840" s="58"/>
      <c r="J840" s="9"/>
      <c r="K840" s="9"/>
      <c r="L840" s="9"/>
      <c r="M840" s="9"/>
      <c r="N840" s="9"/>
      <c r="O840" s="9"/>
      <c r="P840" s="9"/>
      <c r="Q840" s="9"/>
      <c r="R840" s="9"/>
      <c r="S840" s="9"/>
      <c r="T840" s="9"/>
      <c r="U840" s="9"/>
      <c r="V840" s="9"/>
      <c r="W840" s="9"/>
      <c r="X840" s="9"/>
      <c r="Y840" s="9"/>
      <c r="Z840" s="9"/>
      <c r="AA840" s="9"/>
      <c r="AB840" s="9"/>
      <c r="AC840" s="9"/>
      <c r="AD840" s="9"/>
      <c r="AE840" s="9"/>
      <c r="AF840" s="9"/>
    </row>
    <row r="841" spans="1:32" ht="54.95" customHeight="1" x14ac:dyDescent="0.2">
      <c r="A841" s="56"/>
      <c r="B841" s="9"/>
      <c r="C841" s="9"/>
      <c r="D841" s="9"/>
      <c r="E841" s="9"/>
      <c r="F841" s="9"/>
      <c r="G841" s="9"/>
      <c r="H841" s="9"/>
      <c r="I841" s="58"/>
      <c r="J841" s="9"/>
      <c r="K841" s="9"/>
      <c r="L841" s="9"/>
      <c r="M841" s="9"/>
      <c r="N841" s="9"/>
      <c r="O841" s="9"/>
      <c r="P841" s="9"/>
      <c r="Q841" s="9"/>
      <c r="R841" s="9"/>
      <c r="S841" s="9"/>
      <c r="T841" s="9"/>
      <c r="U841" s="9"/>
      <c r="V841" s="9"/>
      <c r="W841" s="9"/>
      <c r="X841" s="9"/>
      <c r="Y841" s="9"/>
      <c r="Z841" s="9"/>
      <c r="AA841" s="9"/>
      <c r="AB841" s="9"/>
      <c r="AC841" s="9"/>
      <c r="AD841" s="9"/>
      <c r="AE841" s="9"/>
      <c r="AF841" s="9"/>
    </row>
    <row r="842" spans="1:32" ht="54.95" customHeight="1" x14ac:dyDescent="0.2">
      <c r="A842" s="56"/>
      <c r="B842" s="9"/>
      <c r="C842" s="9"/>
      <c r="D842" s="9"/>
      <c r="E842" s="9"/>
      <c r="F842" s="9"/>
      <c r="G842" s="9"/>
      <c r="H842" s="9"/>
      <c r="I842" s="58"/>
      <c r="J842" s="9"/>
      <c r="K842" s="9"/>
      <c r="L842" s="9"/>
      <c r="M842" s="9"/>
      <c r="N842" s="9"/>
      <c r="O842" s="9"/>
      <c r="P842" s="9"/>
      <c r="Q842" s="9"/>
      <c r="R842" s="9"/>
      <c r="S842" s="9"/>
      <c r="T842" s="9"/>
      <c r="U842" s="9"/>
      <c r="V842" s="9"/>
      <c r="W842" s="9"/>
      <c r="X842" s="9"/>
      <c r="Y842" s="9"/>
      <c r="Z842" s="9"/>
      <c r="AA842" s="9"/>
      <c r="AB842" s="9"/>
      <c r="AC842" s="9"/>
      <c r="AD842" s="9"/>
      <c r="AE842" s="9"/>
      <c r="AF842" s="9"/>
    </row>
    <row r="843" spans="1:32" ht="54.95" customHeight="1" x14ac:dyDescent="0.2">
      <c r="A843" s="56"/>
      <c r="B843" s="9"/>
      <c r="C843" s="9"/>
      <c r="D843" s="9"/>
      <c r="E843" s="9"/>
      <c r="F843" s="9"/>
      <c r="G843" s="9"/>
      <c r="H843" s="9"/>
      <c r="I843" s="58"/>
      <c r="J843" s="9"/>
      <c r="K843" s="9"/>
      <c r="L843" s="9"/>
      <c r="M843" s="9"/>
      <c r="N843" s="9"/>
      <c r="O843" s="9"/>
      <c r="P843" s="9"/>
      <c r="Q843" s="9"/>
      <c r="R843" s="9"/>
      <c r="S843" s="9"/>
      <c r="T843" s="9"/>
      <c r="U843" s="9"/>
      <c r="V843" s="9"/>
      <c r="W843" s="9"/>
      <c r="X843" s="9"/>
      <c r="Y843" s="9"/>
      <c r="Z843" s="9"/>
      <c r="AA843" s="9"/>
      <c r="AB843" s="9"/>
      <c r="AC843" s="9"/>
      <c r="AD843" s="9"/>
      <c r="AE843" s="9"/>
      <c r="AF843" s="9"/>
    </row>
    <row r="844" spans="1:32" ht="54.95" customHeight="1" x14ac:dyDescent="0.2">
      <c r="A844" s="56"/>
      <c r="B844" s="9"/>
      <c r="C844" s="9"/>
      <c r="D844" s="9"/>
      <c r="E844" s="9"/>
      <c r="F844" s="9"/>
      <c r="G844" s="9"/>
      <c r="H844" s="9"/>
      <c r="I844" s="58"/>
      <c r="J844" s="9"/>
      <c r="K844" s="9"/>
      <c r="L844" s="9"/>
      <c r="M844" s="9"/>
      <c r="N844" s="9"/>
      <c r="O844" s="9"/>
      <c r="P844" s="9"/>
      <c r="Q844" s="9"/>
      <c r="R844" s="9"/>
      <c r="S844" s="9"/>
      <c r="T844" s="9"/>
      <c r="U844" s="9"/>
      <c r="V844" s="9"/>
      <c r="W844" s="9"/>
      <c r="X844" s="9"/>
      <c r="Y844" s="9"/>
      <c r="Z844" s="9"/>
      <c r="AA844" s="9"/>
      <c r="AB844" s="9"/>
      <c r="AC844" s="9"/>
      <c r="AD844" s="9"/>
      <c r="AE844" s="9"/>
      <c r="AF844" s="9"/>
    </row>
    <row r="845" spans="1:32" ht="54.95" customHeight="1" x14ac:dyDescent="0.2">
      <c r="A845" s="56"/>
      <c r="B845" s="9"/>
      <c r="C845" s="9"/>
      <c r="D845" s="9"/>
      <c r="E845" s="9"/>
      <c r="F845" s="9"/>
      <c r="G845" s="9"/>
      <c r="H845" s="9"/>
      <c r="I845" s="58"/>
      <c r="J845" s="9"/>
      <c r="K845" s="9"/>
      <c r="L845" s="9"/>
      <c r="M845" s="9"/>
      <c r="N845" s="9"/>
      <c r="O845" s="9"/>
      <c r="P845" s="9"/>
      <c r="Q845" s="9"/>
      <c r="R845" s="9"/>
      <c r="S845" s="9"/>
      <c r="T845" s="9"/>
      <c r="U845" s="9"/>
      <c r="V845" s="9"/>
      <c r="W845" s="9"/>
      <c r="X845" s="9"/>
      <c r="Y845" s="9"/>
      <c r="Z845" s="9"/>
      <c r="AA845" s="9"/>
      <c r="AB845" s="9"/>
      <c r="AC845" s="9"/>
      <c r="AD845" s="9"/>
      <c r="AE845" s="9"/>
      <c r="AF845" s="9"/>
    </row>
    <row r="846" spans="1:32" ht="54.95" customHeight="1" x14ac:dyDescent="0.2">
      <c r="A846" s="56"/>
      <c r="B846" s="9"/>
      <c r="C846" s="9"/>
      <c r="D846" s="9"/>
      <c r="E846" s="9"/>
      <c r="F846" s="9"/>
      <c r="G846" s="9"/>
      <c r="H846" s="9"/>
      <c r="I846" s="58"/>
      <c r="J846" s="9"/>
      <c r="K846" s="9"/>
      <c r="L846" s="9"/>
      <c r="M846" s="9"/>
      <c r="N846" s="9"/>
      <c r="O846" s="9"/>
      <c r="P846" s="9"/>
      <c r="Q846" s="9"/>
      <c r="R846" s="9"/>
      <c r="S846" s="9"/>
      <c r="T846" s="9"/>
      <c r="U846" s="9"/>
      <c r="V846" s="9"/>
      <c r="W846" s="9"/>
      <c r="X846" s="9"/>
      <c r="Y846" s="9"/>
      <c r="Z846" s="9"/>
      <c r="AA846" s="9"/>
      <c r="AB846" s="9"/>
      <c r="AC846" s="9"/>
      <c r="AD846" s="9"/>
      <c r="AE846" s="9"/>
      <c r="AF846" s="9"/>
    </row>
    <row r="847" spans="1:32" ht="54.95" customHeight="1" x14ac:dyDescent="0.2">
      <c r="A847" s="56"/>
      <c r="B847" s="9"/>
      <c r="C847" s="9"/>
      <c r="D847" s="9"/>
      <c r="E847" s="9"/>
      <c r="F847" s="9"/>
      <c r="G847" s="9"/>
      <c r="H847" s="9"/>
      <c r="I847" s="58"/>
      <c r="J847" s="9"/>
      <c r="K847" s="9"/>
      <c r="L847" s="9"/>
      <c r="M847" s="9"/>
      <c r="N847" s="9"/>
      <c r="O847" s="9"/>
      <c r="P847" s="9"/>
      <c r="Q847" s="9"/>
      <c r="R847" s="9"/>
      <c r="S847" s="9"/>
      <c r="T847" s="9"/>
      <c r="U847" s="9"/>
      <c r="V847" s="9"/>
      <c r="W847" s="9"/>
      <c r="X847" s="9"/>
      <c r="Y847" s="9"/>
      <c r="Z847" s="9"/>
      <c r="AA847" s="9"/>
      <c r="AB847" s="9"/>
      <c r="AC847" s="9"/>
      <c r="AD847" s="9"/>
      <c r="AE847" s="9"/>
      <c r="AF847" s="9"/>
    </row>
    <row r="848" spans="1:32" ht="54.95" customHeight="1" x14ac:dyDescent="0.2">
      <c r="A848" s="56"/>
      <c r="B848" s="9"/>
      <c r="C848" s="9"/>
      <c r="D848" s="9"/>
      <c r="E848" s="9"/>
      <c r="F848" s="9"/>
      <c r="G848" s="9"/>
      <c r="H848" s="9"/>
      <c r="I848" s="58"/>
      <c r="J848" s="9"/>
      <c r="K848" s="9"/>
      <c r="L848" s="9"/>
      <c r="M848" s="9"/>
      <c r="N848" s="9"/>
      <c r="O848" s="9"/>
      <c r="P848" s="9"/>
      <c r="Q848" s="9"/>
      <c r="R848" s="9"/>
      <c r="S848" s="9"/>
      <c r="T848" s="9"/>
      <c r="U848" s="9"/>
      <c r="V848" s="9"/>
      <c r="W848" s="9"/>
      <c r="X848" s="9"/>
      <c r="Y848" s="9"/>
      <c r="Z848" s="9"/>
      <c r="AA848" s="9"/>
      <c r="AB848" s="9"/>
      <c r="AC848" s="9"/>
      <c r="AD848" s="9"/>
      <c r="AE848" s="9"/>
      <c r="AF848" s="9"/>
    </row>
    <row r="849" spans="1:32" ht="54.95" customHeight="1" x14ac:dyDescent="0.2">
      <c r="A849" s="56"/>
      <c r="B849" s="9"/>
      <c r="C849" s="9"/>
      <c r="D849" s="9"/>
      <c r="E849" s="9"/>
      <c r="F849" s="9"/>
      <c r="G849" s="9"/>
      <c r="H849" s="9"/>
      <c r="I849" s="58"/>
      <c r="J849" s="9"/>
      <c r="K849" s="9"/>
      <c r="L849" s="9"/>
      <c r="M849" s="9"/>
      <c r="N849" s="9"/>
      <c r="O849" s="9"/>
      <c r="P849" s="9"/>
      <c r="Q849" s="9"/>
      <c r="R849" s="9"/>
      <c r="S849" s="9"/>
      <c r="T849" s="9"/>
      <c r="U849" s="9"/>
      <c r="V849" s="9"/>
      <c r="W849" s="9"/>
      <c r="X849" s="9"/>
      <c r="Y849" s="9"/>
      <c r="Z849" s="9"/>
      <c r="AA849" s="9"/>
      <c r="AB849" s="9"/>
      <c r="AC849" s="9"/>
      <c r="AD849" s="9"/>
      <c r="AE849" s="9"/>
      <c r="AF849" s="9"/>
    </row>
    <row r="850" spans="1:32" ht="54.95" customHeight="1" x14ac:dyDescent="0.2">
      <c r="A850" s="56"/>
      <c r="B850" s="9"/>
      <c r="C850" s="9"/>
      <c r="D850" s="9"/>
      <c r="E850" s="9"/>
      <c r="F850" s="9"/>
      <c r="G850" s="9"/>
      <c r="H850" s="9"/>
      <c r="I850" s="58"/>
      <c r="J850" s="9"/>
      <c r="K850" s="9"/>
      <c r="L850" s="9"/>
      <c r="M850" s="9"/>
      <c r="N850" s="9"/>
      <c r="O850" s="9"/>
      <c r="P850" s="9"/>
      <c r="Q850" s="9"/>
      <c r="R850" s="9"/>
      <c r="S850" s="9"/>
      <c r="T850" s="9"/>
      <c r="U850" s="9"/>
      <c r="V850" s="9"/>
      <c r="W850" s="9"/>
      <c r="X850" s="9"/>
      <c r="Y850" s="9"/>
      <c r="Z850" s="9"/>
      <c r="AA850" s="9"/>
      <c r="AB850" s="9"/>
      <c r="AC850" s="9"/>
      <c r="AD850" s="9"/>
      <c r="AE850" s="9"/>
      <c r="AF850" s="9"/>
    </row>
    <row r="851" spans="1:32" ht="54.95" customHeight="1" x14ac:dyDescent="0.2">
      <c r="A851" s="56"/>
      <c r="B851" s="9"/>
      <c r="C851" s="9"/>
      <c r="D851" s="9"/>
      <c r="E851" s="9"/>
      <c r="F851" s="9"/>
      <c r="G851" s="9"/>
      <c r="H851" s="9"/>
      <c r="I851" s="58"/>
      <c r="J851" s="9"/>
      <c r="K851" s="9"/>
      <c r="L851" s="9"/>
      <c r="M851" s="9"/>
      <c r="N851" s="9"/>
      <c r="O851" s="9"/>
      <c r="P851" s="9"/>
      <c r="Q851" s="9"/>
      <c r="R851" s="9"/>
      <c r="S851" s="9"/>
      <c r="T851" s="9"/>
      <c r="U851" s="9"/>
      <c r="V851" s="9"/>
      <c r="W851" s="9"/>
      <c r="X851" s="9"/>
      <c r="Y851" s="9"/>
      <c r="Z851" s="9"/>
      <c r="AA851" s="9"/>
      <c r="AB851" s="9"/>
      <c r="AC851" s="9"/>
      <c r="AD851" s="9"/>
      <c r="AE851" s="9"/>
      <c r="AF851" s="9"/>
    </row>
    <row r="852" spans="1:32" ht="54.95" customHeight="1" x14ac:dyDescent="0.2">
      <c r="A852" s="56"/>
      <c r="B852" s="9"/>
      <c r="C852" s="9"/>
      <c r="D852" s="9"/>
      <c r="E852" s="9"/>
      <c r="F852" s="9"/>
      <c r="G852" s="9"/>
      <c r="H852" s="9"/>
      <c r="I852" s="58"/>
      <c r="J852" s="9"/>
      <c r="K852" s="9"/>
      <c r="L852" s="9"/>
      <c r="M852" s="9"/>
      <c r="N852" s="9"/>
      <c r="O852" s="9"/>
      <c r="P852" s="9"/>
      <c r="Q852" s="9"/>
      <c r="R852" s="9"/>
      <c r="S852" s="9"/>
      <c r="T852" s="9"/>
      <c r="U852" s="9"/>
      <c r="V852" s="9"/>
      <c r="W852" s="9"/>
      <c r="X852" s="9"/>
      <c r="Y852" s="9"/>
      <c r="Z852" s="9"/>
      <c r="AA852" s="9"/>
      <c r="AB852" s="9"/>
      <c r="AC852" s="9"/>
      <c r="AD852" s="9"/>
      <c r="AE852" s="9"/>
      <c r="AF852" s="9"/>
    </row>
    <row r="853" spans="1:32" ht="54.95" customHeight="1" x14ac:dyDescent="0.2">
      <c r="A853" s="56"/>
      <c r="B853" s="9"/>
      <c r="C853" s="9"/>
      <c r="D853" s="9"/>
      <c r="E853" s="9"/>
      <c r="F853" s="9"/>
      <c r="G853" s="9"/>
      <c r="H853" s="9"/>
      <c r="I853" s="58"/>
      <c r="J853" s="9"/>
      <c r="K853" s="9"/>
      <c r="L853" s="9"/>
      <c r="M853" s="9"/>
      <c r="N853" s="9"/>
      <c r="O853" s="9"/>
      <c r="P853" s="9"/>
      <c r="Q853" s="9"/>
      <c r="R853" s="9"/>
      <c r="S853" s="9"/>
      <c r="T853" s="9"/>
      <c r="U853" s="9"/>
      <c r="V853" s="9"/>
      <c r="W853" s="9"/>
      <c r="X853" s="9"/>
      <c r="Y853" s="9"/>
      <c r="Z853" s="9"/>
      <c r="AA853" s="9"/>
      <c r="AB853" s="9"/>
      <c r="AC853" s="9"/>
      <c r="AD853" s="9"/>
      <c r="AE853" s="9"/>
      <c r="AF853" s="9"/>
    </row>
    <row r="854" spans="1:32" ht="54.95" customHeight="1" x14ac:dyDescent="0.2">
      <c r="A854" s="56"/>
      <c r="B854" s="9"/>
      <c r="C854" s="9"/>
      <c r="D854" s="9"/>
      <c r="E854" s="9"/>
      <c r="F854" s="9"/>
      <c r="G854" s="9"/>
      <c r="H854" s="9"/>
      <c r="I854" s="58"/>
      <c r="J854" s="9"/>
      <c r="K854" s="9"/>
      <c r="L854" s="9"/>
      <c r="M854" s="9"/>
      <c r="N854" s="9"/>
      <c r="O854" s="9"/>
      <c r="P854" s="9"/>
      <c r="Q854" s="9"/>
      <c r="R854" s="9"/>
      <c r="S854" s="9"/>
      <c r="T854" s="9"/>
      <c r="U854" s="9"/>
      <c r="V854" s="9"/>
      <c r="W854" s="9"/>
      <c r="X854" s="9"/>
      <c r="Y854" s="9"/>
      <c r="Z854" s="9"/>
      <c r="AA854" s="9"/>
      <c r="AB854" s="9"/>
      <c r="AC854" s="9"/>
      <c r="AD854" s="9"/>
      <c r="AE854" s="9"/>
      <c r="AF854" s="9"/>
    </row>
    <row r="855" spans="1:32" ht="54.95" customHeight="1" x14ac:dyDescent="0.2">
      <c r="A855" s="56"/>
      <c r="B855" s="9"/>
      <c r="C855" s="9"/>
      <c r="D855" s="9"/>
      <c r="E855" s="9"/>
      <c r="F855" s="9"/>
      <c r="G855" s="9"/>
      <c r="H855" s="9"/>
      <c r="I855" s="58"/>
      <c r="J855" s="9"/>
      <c r="K855" s="9"/>
      <c r="L855" s="9"/>
      <c r="M855" s="9"/>
      <c r="N855" s="9"/>
      <c r="O855" s="9"/>
      <c r="P855" s="9"/>
      <c r="Q855" s="9"/>
      <c r="R855" s="9"/>
      <c r="S855" s="9"/>
      <c r="T855" s="9"/>
      <c r="U855" s="9"/>
      <c r="V855" s="9"/>
      <c r="W855" s="9"/>
      <c r="X855" s="9"/>
      <c r="Y855" s="9"/>
      <c r="Z855" s="9"/>
      <c r="AA855" s="9"/>
      <c r="AB855" s="9"/>
      <c r="AC855" s="9"/>
      <c r="AD855" s="9"/>
      <c r="AE855" s="9"/>
      <c r="AF855" s="9"/>
    </row>
    <row r="856" spans="1:32" ht="54.95" customHeight="1" x14ac:dyDescent="0.2">
      <c r="A856" s="56"/>
      <c r="B856" s="9"/>
      <c r="C856" s="9"/>
      <c r="D856" s="9"/>
      <c r="E856" s="9"/>
      <c r="F856" s="9"/>
      <c r="G856" s="9"/>
      <c r="H856" s="9"/>
      <c r="I856" s="58"/>
      <c r="J856" s="9"/>
      <c r="K856" s="9"/>
      <c r="L856" s="9"/>
      <c r="M856" s="9"/>
      <c r="N856" s="9"/>
      <c r="O856" s="9"/>
      <c r="P856" s="9"/>
      <c r="Q856" s="9"/>
      <c r="R856" s="9"/>
      <c r="S856" s="9"/>
      <c r="T856" s="9"/>
      <c r="U856" s="9"/>
      <c r="V856" s="9"/>
      <c r="W856" s="9"/>
      <c r="X856" s="9"/>
      <c r="Y856" s="9"/>
      <c r="Z856" s="9"/>
      <c r="AA856" s="9"/>
      <c r="AB856" s="9"/>
      <c r="AC856" s="9"/>
      <c r="AD856" s="9"/>
      <c r="AE856" s="9"/>
      <c r="AF856" s="9"/>
    </row>
    <row r="857" spans="1:32" ht="54.95" customHeight="1" x14ac:dyDescent="0.2">
      <c r="A857" s="56"/>
      <c r="B857" s="9"/>
      <c r="C857" s="9"/>
      <c r="D857" s="9"/>
      <c r="E857" s="9"/>
      <c r="F857" s="9"/>
      <c r="G857" s="9"/>
      <c r="H857" s="9"/>
      <c r="I857" s="58"/>
      <c r="J857" s="9"/>
      <c r="K857" s="9"/>
      <c r="L857" s="9"/>
      <c r="M857" s="9"/>
      <c r="N857" s="9"/>
      <c r="O857" s="9"/>
      <c r="P857" s="9"/>
      <c r="Q857" s="9"/>
      <c r="R857" s="9"/>
      <c r="S857" s="9"/>
      <c r="T857" s="9"/>
      <c r="U857" s="9"/>
      <c r="V857" s="9"/>
      <c r="W857" s="9"/>
      <c r="X857" s="9"/>
      <c r="Y857" s="9"/>
      <c r="Z857" s="9"/>
      <c r="AA857" s="9"/>
      <c r="AB857" s="9"/>
      <c r="AC857" s="9"/>
      <c r="AD857" s="9"/>
      <c r="AE857" s="9"/>
      <c r="AF857" s="9"/>
    </row>
    <row r="858" spans="1:32" ht="54.95" customHeight="1" x14ac:dyDescent="0.2">
      <c r="A858" s="56"/>
      <c r="B858" s="9"/>
      <c r="C858" s="9"/>
      <c r="D858" s="9"/>
      <c r="E858" s="9"/>
      <c r="F858" s="9"/>
      <c r="G858" s="9"/>
      <c r="H858" s="9"/>
      <c r="I858" s="58"/>
      <c r="J858" s="9"/>
      <c r="K858" s="9"/>
      <c r="L858" s="9"/>
      <c r="M858" s="9"/>
      <c r="N858" s="9"/>
      <c r="O858" s="9"/>
      <c r="P858" s="9"/>
      <c r="Q858" s="9"/>
      <c r="R858" s="9"/>
      <c r="S858" s="9"/>
      <c r="T858" s="9"/>
      <c r="U858" s="9"/>
      <c r="V858" s="9"/>
      <c r="W858" s="9"/>
      <c r="X858" s="9"/>
      <c r="Y858" s="9"/>
      <c r="Z858" s="9"/>
      <c r="AA858" s="9"/>
      <c r="AB858" s="9"/>
      <c r="AC858" s="9"/>
      <c r="AD858" s="9"/>
      <c r="AE858" s="9"/>
      <c r="AF858" s="9"/>
    </row>
    <row r="859" spans="1:32" ht="54.95" customHeight="1" x14ac:dyDescent="0.2">
      <c r="A859" s="56"/>
      <c r="B859" s="9"/>
      <c r="C859" s="9"/>
      <c r="D859" s="9"/>
      <c r="E859" s="9"/>
      <c r="F859" s="9"/>
      <c r="G859" s="9"/>
      <c r="H859" s="9"/>
      <c r="I859" s="58"/>
      <c r="J859" s="9"/>
      <c r="K859" s="9"/>
      <c r="L859" s="9"/>
      <c r="M859" s="9"/>
      <c r="N859" s="9"/>
      <c r="O859" s="9"/>
      <c r="P859" s="9"/>
      <c r="Q859" s="9"/>
      <c r="R859" s="9"/>
      <c r="S859" s="9"/>
      <c r="T859" s="9"/>
      <c r="U859" s="9"/>
      <c r="V859" s="9"/>
      <c r="W859" s="9"/>
      <c r="X859" s="9"/>
      <c r="Y859" s="9"/>
      <c r="Z859" s="9"/>
      <c r="AA859" s="9"/>
      <c r="AB859" s="9"/>
      <c r="AC859" s="9"/>
      <c r="AD859" s="9"/>
      <c r="AE859" s="9"/>
      <c r="AF859" s="9"/>
    </row>
    <row r="860" spans="1:32" ht="54.95" customHeight="1" x14ac:dyDescent="0.2">
      <c r="A860" s="56"/>
      <c r="B860" s="9"/>
      <c r="C860" s="9"/>
      <c r="D860" s="9"/>
      <c r="E860" s="9"/>
      <c r="F860" s="9"/>
      <c r="G860" s="9"/>
      <c r="H860" s="9"/>
      <c r="I860" s="58"/>
      <c r="J860" s="9"/>
      <c r="K860" s="9"/>
      <c r="L860" s="9"/>
      <c r="M860" s="9"/>
      <c r="N860" s="9"/>
      <c r="O860" s="9"/>
      <c r="P860" s="9"/>
      <c r="Q860" s="9"/>
      <c r="R860" s="9"/>
      <c r="S860" s="9"/>
      <c r="T860" s="9"/>
      <c r="U860" s="9"/>
      <c r="V860" s="9"/>
      <c r="W860" s="9"/>
      <c r="X860" s="9"/>
      <c r="Y860" s="9"/>
      <c r="Z860" s="9"/>
      <c r="AA860" s="9"/>
      <c r="AB860" s="9"/>
      <c r="AC860" s="9"/>
      <c r="AD860" s="9"/>
      <c r="AE860" s="9"/>
      <c r="AF860" s="9"/>
    </row>
    <row r="861" spans="1:32" ht="54.95" customHeight="1" x14ac:dyDescent="0.2">
      <c r="A861" s="56"/>
      <c r="B861" s="9"/>
      <c r="C861" s="9"/>
      <c r="D861" s="9"/>
      <c r="E861" s="9"/>
      <c r="F861" s="9"/>
      <c r="G861" s="9"/>
      <c r="H861" s="9"/>
      <c r="I861" s="58"/>
      <c r="J861" s="9"/>
      <c r="K861" s="9"/>
      <c r="L861" s="9"/>
      <c r="M861" s="9"/>
      <c r="N861" s="9"/>
      <c r="O861" s="9"/>
      <c r="P861" s="9"/>
      <c r="Q861" s="9"/>
      <c r="R861" s="9"/>
      <c r="S861" s="9"/>
      <c r="T861" s="9"/>
      <c r="U861" s="9"/>
      <c r="V861" s="9"/>
      <c r="W861" s="9"/>
      <c r="X861" s="9"/>
      <c r="Y861" s="9"/>
      <c r="Z861" s="9"/>
      <c r="AA861" s="9"/>
      <c r="AB861" s="9"/>
      <c r="AC861" s="9"/>
      <c r="AD861" s="9"/>
      <c r="AE861" s="9"/>
      <c r="AF861" s="9"/>
    </row>
    <row r="862" spans="1:32" ht="54.95" customHeight="1" x14ac:dyDescent="0.2">
      <c r="A862" s="56"/>
      <c r="B862" s="9"/>
      <c r="C862" s="9"/>
      <c r="D862" s="9"/>
      <c r="E862" s="9"/>
      <c r="F862" s="9"/>
      <c r="G862" s="9"/>
      <c r="H862" s="9"/>
      <c r="I862" s="58"/>
      <c r="J862" s="9"/>
      <c r="K862" s="9"/>
      <c r="L862" s="9"/>
      <c r="M862" s="9"/>
      <c r="N862" s="9"/>
      <c r="O862" s="9"/>
      <c r="P862" s="9"/>
      <c r="Q862" s="9"/>
      <c r="R862" s="9"/>
      <c r="S862" s="9"/>
      <c r="T862" s="9"/>
      <c r="U862" s="9"/>
      <c r="V862" s="9"/>
      <c r="W862" s="9"/>
      <c r="X862" s="9"/>
      <c r="Y862" s="9"/>
      <c r="Z862" s="9"/>
      <c r="AA862" s="9"/>
      <c r="AB862" s="9"/>
      <c r="AC862" s="9"/>
      <c r="AD862" s="9"/>
      <c r="AE862" s="9"/>
      <c r="AF862" s="9"/>
    </row>
    <row r="863" spans="1:32" ht="54.95" customHeight="1" x14ac:dyDescent="0.2">
      <c r="A863" s="56"/>
      <c r="B863" s="9"/>
      <c r="C863" s="9"/>
      <c r="D863" s="9"/>
      <c r="E863" s="9"/>
      <c r="F863" s="9"/>
      <c r="G863" s="9"/>
      <c r="H863" s="9"/>
      <c r="I863" s="58"/>
      <c r="J863" s="9"/>
      <c r="K863" s="9"/>
      <c r="L863" s="9"/>
      <c r="M863" s="9"/>
      <c r="N863" s="9"/>
      <c r="O863" s="9"/>
      <c r="P863" s="9"/>
      <c r="Q863" s="9"/>
      <c r="R863" s="9"/>
      <c r="S863" s="9"/>
      <c r="T863" s="9"/>
      <c r="U863" s="9"/>
      <c r="V863" s="9"/>
      <c r="W863" s="9"/>
      <c r="X863" s="9"/>
      <c r="Y863" s="9"/>
      <c r="Z863" s="9"/>
      <c r="AA863" s="9"/>
      <c r="AB863" s="9"/>
      <c r="AC863" s="9"/>
      <c r="AD863" s="9"/>
      <c r="AE863" s="9"/>
      <c r="AF863" s="9"/>
    </row>
    <row r="864" spans="1:32" ht="54.95" customHeight="1" x14ac:dyDescent="0.2">
      <c r="A864" s="56"/>
      <c r="B864" s="9"/>
      <c r="C864" s="9"/>
      <c r="D864" s="9"/>
      <c r="E864" s="9"/>
      <c r="F864" s="9"/>
      <c r="G864" s="9"/>
      <c r="H864" s="9"/>
      <c r="I864" s="58"/>
      <c r="J864" s="9"/>
      <c r="K864" s="9"/>
      <c r="L864" s="9"/>
      <c r="M864" s="9"/>
      <c r="N864" s="9"/>
      <c r="O864" s="9"/>
      <c r="P864" s="9"/>
      <c r="Q864" s="9"/>
      <c r="R864" s="9"/>
      <c r="S864" s="9"/>
      <c r="T864" s="9"/>
      <c r="U864" s="9"/>
      <c r="V864" s="9"/>
      <c r="W864" s="9"/>
      <c r="X864" s="9"/>
      <c r="Y864" s="9"/>
      <c r="Z864" s="9"/>
      <c r="AA864" s="9"/>
      <c r="AB864" s="9"/>
      <c r="AC864" s="9"/>
      <c r="AD864" s="9"/>
      <c r="AE864" s="9"/>
      <c r="AF864" s="9"/>
    </row>
    <row r="865" spans="1:32" ht="54.95" customHeight="1" x14ac:dyDescent="0.2">
      <c r="A865" s="56"/>
      <c r="B865" s="9"/>
      <c r="C865" s="9"/>
      <c r="D865" s="9"/>
      <c r="E865" s="9"/>
      <c r="F865" s="9"/>
      <c r="G865" s="9"/>
      <c r="H865" s="9"/>
      <c r="I865" s="58"/>
      <c r="J865" s="9"/>
      <c r="K865" s="9"/>
      <c r="L865" s="9"/>
      <c r="M865" s="9"/>
      <c r="N865" s="9"/>
      <c r="O865" s="9"/>
      <c r="P865" s="9"/>
      <c r="Q865" s="9"/>
      <c r="R865" s="9"/>
      <c r="S865" s="9"/>
      <c r="T865" s="9"/>
      <c r="U865" s="9"/>
      <c r="V865" s="9"/>
      <c r="W865" s="9"/>
      <c r="X865" s="9"/>
      <c r="Y865" s="9"/>
      <c r="Z865" s="9"/>
      <c r="AA865" s="9"/>
      <c r="AB865" s="9"/>
      <c r="AC865" s="9"/>
      <c r="AD865" s="9"/>
      <c r="AE865" s="9"/>
      <c r="AF865" s="9"/>
    </row>
    <row r="866" spans="1:32" ht="54.95" customHeight="1" x14ac:dyDescent="0.2">
      <c r="A866" s="56"/>
      <c r="B866" s="9"/>
      <c r="C866" s="9"/>
      <c r="D866" s="9"/>
      <c r="E866" s="9"/>
      <c r="F866" s="9"/>
      <c r="G866" s="9"/>
      <c r="H866" s="9"/>
      <c r="I866" s="58"/>
      <c r="J866" s="9"/>
      <c r="K866" s="9"/>
      <c r="L866" s="9"/>
      <c r="M866" s="9"/>
      <c r="N866" s="9"/>
      <c r="O866" s="9"/>
      <c r="P866" s="9"/>
      <c r="Q866" s="9"/>
      <c r="R866" s="9"/>
      <c r="S866" s="9"/>
      <c r="T866" s="9"/>
      <c r="U866" s="9"/>
      <c r="V866" s="9"/>
      <c r="W866" s="9"/>
      <c r="X866" s="9"/>
      <c r="Y866" s="9"/>
      <c r="Z866" s="9"/>
      <c r="AA866" s="9"/>
      <c r="AB866" s="9"/>
      <c r="AC866" s="9"/>
      <c r="AD866" s="9"/>
      <c r="AE866" s="9"/>
      <c r="AF866" s="9"/>
    </row>
    <row r="867" spans="1:32" ht="54.95" customHeight="1" x14ac:dyDescent="0.2">
      <c r="A867" s="56"/>
      <c r="B867" s="9"/>
      <c r="C867" s="9"/>
      <c r="D867" s="9"/>
      <c r="E867" s="9"/>
      <c r="F867" s="9"/>
      <c r="G867" s="9"/>
      <c r="H867" s="9"/>
      <c r="I867" s="58"/>
      <c r="J867" s="9"/>
      <c r="K867" s="9"/>
      <c r="L867" s="9"/>
      <c r="M867" s="9"/>
      <c r="N867" s="9"/>
      <c r="O867" s="9"/>
      <c r="P867" s="9"/>
      <c r="Q867" s="9"/>
      <c r="R867" s="9"/>
      <c r="S867" s="9"/>
      <c r="T867" s="9"/>
      <c r="U867" s="9"/>
      <c r="V867" s="9"/>
      <c r="W867" s="9"/>
      <c r="X867" s="9"/>
      <c r="Y867" s="9"/>
      <c r="Z867" s="9"/>
      <c r="AA867" s="9"/>
      <c r="AB867" s="9"/>
      <c r="AC867" s="9"/>
      <c r="AD867" s="9"/>
      <c r="AE867" s="9"/>
      <c r="AF867" s="9"/>
    </row>
    <row r="868" spans="1:32" ht="54.95" customHeight="1" x14ac:dyDescent="0.2">
      <c r="A868" s="56"/>
      <c r="B868" s="9"/>
      <c r="C868" s="9"/>
      <c r="D868" s="9"/>
      <c r="E868" s="9"/>
      <c r="F868" s="9"/>
      <c r="G868" s="9"/>
      <c r="H868" s="9"/>
      <c r="I868" s="58"/>
      <c r="J868" s="9"/>
      <c r="K868" s="9"/>
      <c r="L868" s="9"/>
      <c r="M868" s="9"/>
      <c r="N868" s="9"/>
      <c r="O868" s="9"/>
      <c r="P868" s="9"/>
      <c r="Q868" s="9"/>
      <c r="R868" s="9"/>
      <c r="S868" s="9"/>
      <c r="T868" s="9"/>
      <c r="U868" s="9"/>
      <c r="V868" s="9"/>
      <c r="W868" s="9"/>
      <c r="X868" s="9"/>
      <c r="Y868" s="9"/>
      <c r="Z868" s="9"/>
      <c r="AA868" s="9"/>
      <c r="AB868" s="9"/>
      <c r="AC868" s="9"/>
      <c r="AD868" s="9"/>
      <c r="AE868" s="9"/>
      <c r="AF868" s="9"/>
    </row>
    <row r="869" spans="1:32" ht="54.95" customHeight="1" x14ac:dyDescent="0.2">
      <c r="A869" s="56"/>
      <c r="B869" s="9"/>
      <c r="C869" s="9"/>
      <c r="D869" s="9"/>
      <c r="E869" s="9"/>
      <c r="F869" s="9"/>
      <c r="G869" s="9"/>
      <c r="H869" s="9"/>
      <c r="I869" s="58"/>
      <c r="J869" s="9"/>
      <c r="K869" s="9"/>
      <c r="L869" s="9"/>
      <c r="M869" s="9"/>
      <c r="N869" s="9"/>
      <c r="O869" s="9"/>
      <c r="P869" s="9"/>
      <c r="Q869" s="9"/>
      <c r="R869" s="9"/>
      <c r="S869" s="9"/>
      <c r="T869" s="9"/>
      <c r="U869" s="9"/>
      <c r="V869" s="9"/>
      <c r="W869" s="9"/>
      <c r="X869" s="9"/>
      <c r="Y869" s="9"/>
      <c r="Z869" s="9"/>
      <c r="AA869" s="9"/>
      <c r="AB869" s="9"/>
      <c r="AC869" s="9"/>
      <c r="AD869" s="9"/>
      <c r="AE869" s="9"/>
      <c r="AF869" s="9"/>
    </row>
    <row r="870" spans="1:32" ht="54.95" customHeight="1" x14ac:dyDescent="0.2">
      <c r="A870" s="56"/>
      <c r="B870" s="9"/>
      <c r="C870" s="9"/>
      <c r="D870" s="9"/>
      <c r="E870" s="9"/>
      <c r="F870" s="9"/>
      <c r="G870" s="9"/>
      <c r="H870" s="9"/>
      <c r="I870" s="58"/>
      <c r="J870" s="9"/>
      <c r="K870" s="9"/>
      <c r="L870" s="9"/>
      <c r="M870" s="9"/>
      <c r="N870" s="9"/>
      <c r="O870" s="9"/>
      <c r="P870" s="9"/>
      <c r="Q870" s="9"/>
      <c r="R870" s="9"/>
      <c r="S870" s="9"/>
      <c r="T870" s="9"/>
      <c r="U870" s="9"/>
      <c r="V870" s="9"/>
      <c r="W870" s="9"/>
      <c r="X870" s="9"/>
      <c r="Y870" s="9"/>
      <c r="Z870" s="9"/>
      <c r="AA870" s="9"/>
      <c r="AB870" s="9"/>
      <c r="AC870" s="9"/>
      <c r="AD870" s="9"/>
      <c r="AE870" s="9"/>
      <c r="AF870" s="9"/>
    </row>
    <row r="871" spans="1:32" ht="54.95" customHeight="1" x14ac:dyDescent="0.2">
      <c r="A871" s="56"/>
      <c r="B871" s="9"/>
      <c r="C871" s="9"/>
      <c r="D871" s="9"/>
      <c r="E871" s="9"/>
      <c r="F871" s="9"/>
      <c r="G871" s="9"/>
      <c r="H871" s="9"/>
      <c r="I871" s="58"/>
      <c r="J871" s="9"/>
      <c r="K871" s="9"/>
      <c r="L871" s="9"/>
      <c r="M871" s="9"/>
      <c r="N871" s="9"/>
      <c r="O871" s="9"/>
      <c r="P871" s="9"/>
      <c r="Q871" s="9"/>
      <c r="R871" s="9"/>
      <c r="S871" s="9"/>
      <c r="T871" s="9"/>
      <c r="U871" s="9"/>
      <c r="V871" s="9"/>
      <c r="W871" s="9"/>
      <c r="X871" s="9"/>
      <c r="Y871" s="9"/>
      <c r="Z871" s="9"/>
      <c r="AA871" s="9"/>
      <c r="AB871" s="9"/>
      <c r="AC871" s="9"/>
      <c r="AD871" s="9"/>
      <c r="AE871" s="9"/>
      <c r="AF871" s="9"/>
    </row>
    <row r="872" spans="1:32" ht="54.95" customHeight="1" x14ac:dyDescent="0.2">
      <c r="A872" s="56"/>
      <c r="B872" s="9"/>
      <c r="C872" s="9"/>
      <c r="D872" s="9"/>
      <c r="E872" s="9"/>
      <c r="F872" s="9"/>
      <c r="G872" s="9"/>
      <c r="H872" s="9"/>
      <c r="I872" s="58"/>
      <c r="J872" s="9"/>
      <c r="K872" s="9"/>
      <c r="L872" s="9"/>
      <c r="M872" s="9"/>
      <c r="N872" s="9"/>
      <c r="O872" s="9"/>
      <c r="P872" s="9"/>
      <c r="Q872" s="9"/>
      <c r="R872" s="9"/>
      <c r="S872" s="9"/>
      <c r="T872" s="9"/>
      <c r="U872" s="9"/>
      <c r="V872" s="9"/>
      <c r="W872" s="9"/>
      <c r="X872" s="9"/>
      <c r="Y872" s="9"/>
      <c r="Z872" s="9"/>
      <c r="AA872" s="9"/>
      <c r="AB872" s="9"/>
      <c r="AC872" s="9"/>
      <c r="AD872" s="9"/>
      <c r="AE872" s="9"/>
      <c r="AF872" s="9"/>
    </row>
    <row r="873" spans="1:32" ht="54.95" customHeight="1" x14ac:dyDescent="0.2">
      <c r="A873" s="56"/>
      <c r="B873" s="9"/>
      <c r="C873" s="9"/>
      <c r="D873" s="9"/>
      <c r="E873" s="9"/>
      <c r="F873" s="9"/>
      <c r="G873" s="9"/>
      <c r="H873" s="9"/>
      <c r="I873" s="58"/>
      <c r="J873" s="9"/>
      <c r="K873" s="9"/>
      <c r="L873" s="9"/>
      <c r="M873" s="9"/>
      <c r="N873" s="9"/>
      <c r="O873" s="9"/>
      <c r="P873" s="9"/>
      <c r="Q873" s="9"/>
      <c r="R873" s="9"/>
      <c r="S873" s="9"/>
      <c r="T873" s="9"/>
      <c r="U873" s="9"/>
      <c r="V873" s="9"/>
      <c r="W873" s="9"/>
      <c r="X873" s="9"/>
      <c r="Y873" s="9"/>
      <c r="Z873" s="9"/>
      <c r="AA873" s="9"/>
      <c r="AB873" s="9"/>
      <c r="AC873" s="9"/>
      <c r="AD873" s="9"/>
      <c r="AE873" s="9"/>
      <c r="AF873" s="9"/>
    </row>
    <row r="874" spans="1:32" ht="54.95" customHeight="1" x14ac:dyDescent="0.2">
      <c r="A874" s="56"/>
      <c r="B874" s="9"/>
      <c r="C874" s="9"/>
      <c r="D874" s="9"/>
      <c r="E874" s="9"/>
      <c r="F874" s="9"/>
      <c r="G874" s="9"/>
      <c r="H874" s="9"/>
      <c r="I874" s="58"/>
      <c r="J874" s="9"/>
      <c r="K874" s="9"/>
      <c r="L874" s="9"/>
      <c r="M874" s="9"/>
      <c r="N874" s="9"/>
      <c r="O874" s="9"/>
      <c r="P874" s="9"/>
      <c r="Q874" s="9"/>
      <c r="R874" s="9"/>
      <c r="S874" s="9"/>
      <c r="T874" s="9"/>
      <c r="U874" s="9"/>
      <c r="V874" s="9"/>
      <c r="W874" s="9"/>
      <c r="X874" s="9"/>
      <c r="Y874" s="9"/>
      <c r="Z874" s="9"/>
      <c r="AA874" s="9"/>
      <c r="AB874" s="9"/>
      <c r="AC874" s="9"/>
      <c r="AD874" s="9"/>
      <c r="AE874" s="9"/>
      <c r="AF874" s="9"/>
    </row>
    <row r="875" spans="1:32" ht="54.95" customHeight="1" x14ac:dyDescent="0.2">
      <c r="A875" s="56"/>
      <c r="B875" s="9"/>
      <c r="C875" s="9"/>
      <c r="D875" s="9"/>
      <c r="E875" s="9"/>
      <c r="F875" s="9"/>
      <c r="G875" s="9"/>
      <c r="H875" s="9"/>
      <c r="I875" s="58"/>
      <c r="J875" s="9"/>
      <c r="K875" s="9"/>
      <c r="L875" s="9"/>
      <c r="M875" s="9"/>
      <c r="N875" s="9"/>
      <c r="O875" s="9"/>
      <c r="P875" s="9"/>
      <c r="Q875" s="9"/>
      <c r="R875" s="9"/>
      <c r="S875" s="9"/>
      <c r="T875" s="9"/>
      <c r="U875" s="9"/>
      <c r="V875" s="9"/>
      <c r="W875" s="9"/>
      <c r="X875" s="9"/>
      <c r="Y875" s="9"/>
      <c r="Z875" s="9"/>
      <c r="AA875" s="9"/>
      <c r="AB875" s="9"/>
      <c r="AC875" s="9"/>
      <c r="AD875" s="9"/>
      <c r="AE875" s="9"/>
      <c r="AF875" s="9"/>
    </row>
    <row r="876" spans="1:32" ht="54.95" customHeight="1" x14ac:dyDescent="0.2">
      <c r="A876" s="56"/>
      <c r="B876" s="9"/>
      <c r="C876" s="9"/>
      <c r="D876" s="9"/>
      <c r="E876" s="9"/>
      <c r="F876" s="9"/>
      <c r="G876" s="9"/>
      <c r="H876" s="9"/>
      <c r="I876" s="58"/>
      <c r="J876" s="9"/>
      <c r="K876" s="9"/>
      <c r="L876" s="9"/>
      <c r="M876" s="9"/>
      <c r="N876" s="9"/>
      <c r="O876" s="9"/>
      <c r="P876" s="9"/>
      <c r="Q876" s="9"/>
      <c r="R876" s="9"/>
      <c r="S876" s="9"/>
      <c r="T876" s="9"/>
      <c r="U876" s="9"/>
      <c r="V876" s="9"/>
      <c r="W876" s="9"/>
      <c r="X876" s="9"/>
      <c r="Y876" s="9"/>
      <c r="Z876" s="9"/>
      <c r="AA876" s="9"/>
      <c r="AB876" s="9"/>
      <c r="AC876" s="9"/>
      <c r="AD876" s="9"/>
      <c r="AE876" s="9"/>
      <c r="AF876" s="9"/>
    </row>
    <row r="877" spans="1:32" ht="54.95" customHeight="1" x14ac:dyDescent="0.2">
      <c r="A877" s="56"/>
      <c r="B877" s="9"/>
      <c r="C877" s="9"/>
      <c r="D877" s="9"/>
      <c r="E877" s="9"/>
      <c r="F877" s="9"/>
      <c r="G877" s="9"/>
      <c r="H877" s="9"/>
      <c r="I877" s="58"/>
      <c r="J877" s="9"/>
      <c r="K877" s="9"/>
      <c r="L877" s="9"/>
      <c r="M877" s="9"/>
      <c r="N877" s="9"/>
      <c r="O877" s="9"/>
      <c r="P877" s="9"/>
      <c r="Q877" s="9"/>
      <c r="R877" s="9"/>
      <c r="S877" s="9"/>
      <c r="T877" s="9"/>
      <c r="U877" s="9"/>
      <c r="V877" s="9"/>
      <c r="W877" s="9"/>
      <c r="X877" s="9"/>
      <c r="Y877" s="9"/>
      <c r="Z877" s="9"/>
      <c r="AA877" s="9"/>
      <c r="AB877" s="9"/>
      <c r="AC877" s="9"/>
      <c r="AD877" s="9"/>
      <c r="AE877" s="9"/>
      <c r="AF877" s="9"/>
    </row>
    <row r="878" spans="1:32" ht="54.95" customHeight="1" x14ac:dyDescent="0.2">
      <c r="A878" s="56"/>
      <c r="B878" s="9"/>
      <c r="C878" s="9"/>
      <c r="D878" s="9"/>
      <c r="E878" s="9"/>
      <c r="F878" s="9"/>
      <c r="G878" s="9"/>
      <c r="H878" s="9"/>
      <c r="I878" s="58"/>
      <c r="J878" s="9"/>
      <c r="K878" s="9"/>
      <c r="L878" s="9"/>
      <c r="M878" s="9"/>
      <c r="N878" s="9"/>
      <c r="O878" s="9"/>
      <c r="P878" s="9"/>
      <c r="Q878" s="9"/>
      <c r="R878" s="9"/>
      <c r="S878" s="9"/>
      <c r="T878" s="9"/>
      <c r="U878" s="9"/>
      <c r="V878" s="9"/>
      <c r="W878" s="9"/>
      <c r="X878" s="9"/>
      <c r="Y878" s="9"/>
      <c r="Z878" s="9"/>
      <c r="AA878" s="9"/>
      <c r="AB878" s="9"/>
      <c r="AC878" s="9"/>
      <c r="AD878" s="9"/>
      <c r="AE878" s="9"/>
      <c r="AF878" s="9"/>
    </row>
    <row r="879" spans="1:32" ht="54.95" customHeight="1" x14ac:dyDescent="0.2">
      <c r="A879" s="56"/>
      <c r="B879" s="9"/>
      <c r="C879" s="9"/>
      <c r="D879" s="9"/>
      <c r="E879" s="9"/>
      <c r="F879" s="9"/>
      <c r="G879" s="9"/>
      <c r="H879" s="9"/>
      <c r="I879" s="58"/>
      <c r="J879" s="9"/>
      <c r="K879" s="9"/>
      <c r="L879" s="9"/>
      <c r="M879" s="9"/>
      <c r="N879" s="9"/>
      <c r="O879" s="9"/>
      <c r="P879" s="9"/>
      <c r="Q879" s="9"/>
      <c r="R879" s="9"/>
      <c r="S879" s="9"/>
      <c r="T879" s="9"/>
      <c r="U879" s="9"/>
      <c r="V879" s="9"/>
      <c r="W879" s="9"/>
      <c r="X879" s="9"/>
      <c r="Y879" s="9"/>
      <c r="Z879" s="9"/>
      <c r="AA879" s="9"/>
      <c r="AB879" s="9"/>
      <c r="AC879" s="9"/>
      <c r="AD879" s="9"/>
      <c r="AE879" s="9"/>
      <c r="AF879" s="9"/>
    </row>
    <row r="880" spans="1:32" ht="54.95" customHeight="1" x14ac:dyDescent="0.2">
      <c r="A880" s="56"/>
      <c r="B880" s="9"/>
      <c r="C880" s="9"/>
      <c r="D880" s="9"/>
      <c r="E880" s="9"/>
      <c r="F880" s="9"/>
      <c r="G880" s="9"/>
      <c r="H880" s="9"/>
      <c r="I880" s="58"/>
      <c r="J880" s="9"/>
      <c r="K880" s="9"/>
      <c r="L880" s="9"/>
      <c r="M880" s="9"/>
      <c r="N880" s="9"/>
      <c r="O880" s="9"/>
      <c r="P880" s="9"/>
      <c r="Q880" s="9"/>
      <c r="R880" s="9"/>
      <c r="S880" s="9"/>
      <c r="T880" s="9"/>
      <c r="U880" s="9"/>
      <c r="V880" s="9"/>
      <c r="W880" s="9"/>
      <c r="X880" s="9"/>
      <c r="Y880" s="9"/>
      <c r="Z880" s="9"/>
      <c r="AA880" s="9"/>
      <c r="AB880" s="9"/>
      <c r="AC880" s="9"/>
      <c r="AD880" s="9"/>
      <c r="AE880" s="9"/>
      <c r="AF880" s="9"/>
    </row>
    <row r="881" spans="1:32" ht="54.95" customHeight="1" x14ac:dyDescent="0.2">
      <c r="A881" s="56"/>
      <c r="B881" s="9"/>
      <c r="C881" s="9"/>
      <c r="D881" s="9"/>
      <c r="E881" s="9"/>
      <c r="F881" s="9"/>
      <c r="G881" s="9"/>
      <c r="H881" s="9"/>
      <c r="I881" s="58"/>
      <c r="J881" s="9"/>
      <c r="K881" s="9"/>
      <c r="L881" s="9"/>
      <c r="M881" s="9"/>
      <c r="N881" s="9"/>
      <c r="O881" s="9"/>
      <c r="P881" s="9"/>
      <c r="Q881" s="9"/>
      <c r="R881" s="9"/>
      <c r="S881" s="9"/>
      <c r="T881" s="9"/>
      <c r="U881" s="9"/>
      <c r="V881" s="9"/>
      <c r="W881" s="9"/>
      <c r="X881" s="9"/>
      <c r="Y881" s="9"/>
      <c r="Z881" s="9"/>
      <c r="AA881" s="9"/>
      <c r="AB881" s="9"/>
      <c r="AC881" s="9"/>
      <c r="AD881" s="9"/>
      <c r="AE881" s="9"/>
      <c r="AF881" s="9"/>
    </row>
    <row r="882" spans="1:32" ht="54.95" customHeight="1" x14ac:dyDescent="0.2">
      <c r="A882" s="56"/>
      <c r="B882" s="9"/>
      <c r="C882" s="9"/>
      <c r="D882" s="9"/>
      <c r="E882" s="9"/>
      <c r="F882" s="9"/>
      <c r="G882" s="9"/>
      <c r="H882" s="9"/>
      <c r="I882" s="58"/>
      <c r="J882" s="9"/>
      <c r="K882" s="9"/>
      <c r="L882" s="9"/>
      <c r="M882" s="9"/>
      <c r="N882" s="9"/>
      <c r="O882" s="9"/>
      <c r="P882" s="9"/>
      <c r="Q882" s="9"/>
      <c r="R882" s="9"/>
      <c r="S882" s="9"/>
      <c r="T882" s="9"/>
      <c r="U882" s="9"/>
      <c r="V882" s="9"/>
      <c r="W882" s="9"/>
      <c r="X882" s="9"/>
      <c r="Y882" s="9"/>
      <c r="Z882" s="9"/>
      <c r="AA882" s="9"/>
      <c r="AB882" s="9"/>
      <c r="AC882" s="9"/>
      <c r="AD882" s="9"/>
      <c r="AE882" s="9"/>
      <c r="AF882" s="9"/>
    </row>
    <row r="883" spans="1:32" ht="54.95" customHeight="1" x14ac:dyDescent="0.2">
      <c r="A883" s="56"/>
      <c r="B883" s="9"/>
      <c r="C883" s="9"/>
      <c r="D883" s="9"/>
      <c r="E883" s="9"/>
      <c r="F883" s="9"/>
      <c r="G883" s="9"/>
      <c r="H883" s="9"/>
      <c r="I883" s="58"/>
      <c r="J883" s="9"/>
      <c r="K883" s="9"/>
      <c r="L883" s="9"/>
      <c r="M883" s="9"/>
      <c r="N883" s="9"/>
      <c r="O883" s="9"/>
      <c r="P883" s="9"/>
      <c r="Q883" s="9"/>
      <c r="R883" s="9"/>
      <c r="S883" s="9"/>
      <c r="T883" s="9"/>
      <c r="U883" s="9"/>
      <c r="V883" s="9"/>
      <c r="W883" s="9"/>
      <c r="X883" s="9"/>
      <c r="Y883" s="9"/>
      <c r="Z883" s="9"/>
      <c r="AA883" s="9"/>
      <c r="AB883" s="9"/>
      <c r="AC883" s="9"/>
      <c r="AD883" s="9"/>
      <c r="AE883" s="9"/>
      <c r="AF883" s="9"/>
    </row>
    <row r="884" spans="1:32" ht="54.95" customHeight="1" x14ac:dyDescent="0.2">
      <c r="A884" s="56"/>
      <c r="B884" s="9"/>
      <c r="C884" s="9"/>
      <c r="D884" s="9"/>
      <c r="E884" s="9"/>
      <c r="F884" s="9"/>
      <c r="G884" s="9"/>
      <c r="H884" s="9"/>
      <c r="I884" s="58"/>
      <c r="J884" s="9"/>
      <c r="K884" s="9"/>
      <c r="L884" s="9"/>
      <c r="M884" s="9"/>
      <c r="N884" s="9"/>
      <c r="O884" s="9"/>
      <c r="P884" s="9"/>
      <c r="Q884" s="9"/>
      <c r="R884" s="9"/>
      <c r="S884" s="9"/>
      <c r="T884" s="9"/>
      <c r="U884" s="9"/>
      <c r="V884" s="9"/>
      <c r="W884" s="9"/>
      <c r="X884" s="9"/>
      <c r="Y884" s="9"/>
      <c r="Z884" s="9"/>
      <c r="AA884" s="9"/>
      <c r="AB884" s="9"/>
      <c r="AC884" s="9"/>
      <c r="AD884" s="9"/>
      <c r="AE884" s="9"/>
      <c r="AF884" s="9"/>
    </row>
    <row r="885" spans="1:32" ht="54.95" customHeight="1" x14ac:dyDescent="0.2">
      <c r="A885" s="56"/>
      <c r="B885" s="9"/>
      <c r="C885" s="9"/>
      <c r="D885" s="9"/>
      <c r="E885" s="9"/>
      <c r="F885" s="9"/>
      <c r="G885" s="9"/>
      <c r="H885" s="9"/>
      <c r="I885" s="58"/>
      <c r="J885" s="9"/>
      <c r="K885" s="9"/>
      <c r="L885" s="9"/>
      <c r="M885" s="9"/>
      <c r="N885" s="9"/>
      <c r="O885" s="9"/>
      <c r="P885" s="9"/>
      <c r="Q885" s="9"/>
      <c r="R885" s="9"/>
      <c r="S885" s="9"/>
      <c r="T885" s="9"/>
      <c r="U885" s="9"/>
      <c r="V885" s="9"/>
      <c r="W885" s="9"/>
      <c r="X885" s="9"/>
      <c r="Y885" s="9"/>
      <c r="Z885" s="9"/>
      <c r="AA885" s="9"/>
      <c r="AB885" s="9"/>
      <c r="AC885" s="9"/>
      <c r="AD885" s="9"/>
      <c r="AE885" s="9"/>
      <c r="AF885" s="9"/>
    </row>
    <row r="886" spans="1:32" ht="54.95" customHeight="1" x14ac:dyDescent="0.2">
      <c r="A886" s="56"/>
      <c r="B886" s="9"/>
      <c r="C886" s="9"/>
      <c r="D886" s="9"/>
      <c r="E886" s="9"/>
      <c r="F886" s="9"/>
      <c r="G886" s="9"/>
      <c r="H886" s="9"/>
      <c r="I886" s="58"/>
      <c r="J886" s="9"/>
      <c r="K886" s="9"/>
      <c r="L886" s="9"/>
      <c r="M886" s="9"/>
      <c r="N886" s="9"/>
      <c r="O886" s="9"/>
      <c r="P886" s="9"/>
      <c r="Q886" s="9"/>
      <c r="R886" s="9"/>
      <c r="S886" s="9"/>
      <c r="T886" s="9"/>
      <c r="U886" s="9"/>
      <c r="V886" s="9"/>
      <c r="W886" s="9"/>
      <c r="X886" s="9"/>
      <c r="Y886" s="9"/>
      <c r="Z886" s="9"/>
      <c r="AA886" s="9"/>
      <c r="AB886" s="9"/>
      <c r="AC886" s="9"/>
      <c r="AD886" s="9"/>
      <c r="AE886" s="9"/>
      <c r="AF886" s="9"/>
    </row>
    <row r="887" spans="1:32" ht="54.95" customHeight="1" x14ac:dyDescent="0.2">
      <c r="A887" s="56"/>
      <c r="B887" s="9"/>
      <c r="C887" s="9"/>
      <c r="D887" s="9"/>
      <c r="E887" s="9"/>
      <c r="F887" s="9"/>
      <c r="G887" s="9"/>
      <c r="H887" s="9"/>
      <c r="I887" s="58"/>
      <c r="J887" s="9"/>
      <c r="K887" s="9"/>
      <c r="L887" s="9"/>
      <c r="M887" s="9"/>
      <c r="N887" s="9"/>
      <c r="O887" s="9"/>
      <c r="P887" s="9"/>
      <c r="Q887" s="9"/>
      <c r="R887" s="9"/>
      <c r="S887" s="9"/>
      <c r="T887" s="9"/>
      <c r="U887" s="9"/>
      <c r="V887" s="9"/>
      <c r="W887" s="9"/>
      <c r="X887" s="9"/>
      <c r="Y887" s="9"/>
      <c r="Z887" s="9"/>
      <c r="AA887" s="9"/>
      <c r="AB887" s="9"/>
      <c r="AC887" s="9"/>
      <c r="AD887" s="9"/>
      <c r="AE887" s="9"/>
      <c r="AF887" s="9"/>
    </row>
    <row r="888" spans="1:32" ht="54.95" customHeight="1" x14ac:dyDescent="0.2">
      <c r="A888" s="56"/>
      <c r="B888" s="9"/>
      <c r="C888" s="9"/>
      <c r="D888" s="9"/>
      <c r="E888" s="9"/>
      <c r="F888" s="9"/>
      <c r="G888" s="9"/>
      <c r="H888" s="9"/>
      <c r="I888" s="58"/>
      <c r="J888" s="9"/>
      <c r="K888" s="9"/>
      <c r="L888" s="9"/>
      <c r="M888" s="9"/>
      <c r="N888" s="9"/>
      <c r="O888" s="9"/>
      <c r="P888" s="9"/>
      <c r="Q888" s="9"/>
      <c r="R888" s="9"/>
      <c r="S888" s="9"/>
      <c r="T888" s="9"/>
      <c r="U888" s="9"/>
      <c r="V888" s="9"/>
      <c r="W888" s="9"/>
      <c r="X888" s="9"/>
      <c r="Y888" s="9"/>
      <c r="Z888" s="9"/>
      <c r="AA888" s="9"/>
      <c r="AB888" s="9"/>
      <c r="AC888" s="9"/>
      <c r="AD888" s="9"/>
      <c r="AE888" s="9"/>
      <c r="AF888" s="9"/>
    </row>
    <row r="889" spans="1:32" ht="54.95" customHeight="1" x14ac:dyDescent="0.2">
      <c r="A889" s="56"/>
      <c r="B889" s="9"/>
      <c r="C889" s="9"/>
      <c r="D889" s="9"/>
      <c r="E889" s="9"/>
      <c r="F889" s="9"/>
      <c r="G889" s="9"/>
      <c r="H889" s="9"/>
      <c r="I889" s="58"/>
      <c r="J889" s="9"/>
      <c r="K889" s="9"/>
      <c r="L889" s="9"/>
      <c r="M889" s="9"/>
      <c r="N889" s="9"/>
      <c r="O889" s="9"/>
      <c r="P889" s="9"/>
      <c r="Q889" s="9"/>
      <c r="R889" s="9"/>
      <c r="S889" s="9"/>
      <c r="T889" s="9"/>
      <c r="U889" s="9"/>
      <c r="V889" s="9"/>
      <c r="W889" s="9"/>
      <c r="X889" s="9"/>
      <c r="Y889" s="9"/>
      <c r="Z889" s="9"/>
      <c r="AA889" s="9"/>
      <c r="AB889" s="9"/>
      <c r="AC889" s="9"/>
      <c r="AD889" s="9"/>
      <c r="AE889" s="9"/>
      <c r="AF889" s="9"/>
    </row>
    <row r="890" spans="1:32" ht="54.95" customHeight="1" x14ac:dyDescent="0.2">
      <c r="A890" s="56"/>
      <c r="B890" s="9"/>
      <c r="C890" s="9"/>
      <c r="D890" s="9"/>
      <c r="E890" s="9"/>
      <c r="F890" s="9"/>
      <c r="G890" s="9"/>
      <c r="H890" s="9"/>
      <c r="I890" s="58"/>
      <c r="J890" s="9"/>
      <c r="K890" s="9"/>
      <c r="L890" s="9"/>
      <c r="M890" s="9"/>
      <c r="N890" s="9"/>
      <c r="O890" s="9"/>
      <c r="P890" s="9"/>
      <c r="Q890" s="9"/>
      <c r="R890" s="9"/>
      <c r="S890" s="9"/>
      <c r="T890" s="9"/>
      <c r="U890" s="9"/>
      <c r="V890" s="9"/>
      <c r="W890" s="9"/>
      <c r="X890" s="9"/>
      <c r="Y890" s="9"/>
      <c r="Z890" s="9"/>
      <c r="AA890" s="9"/>
      <c r="AB890" s="9"/>
      <c r="AC890" s="9"/>
      <c r="AD890" s="9"/>
      <c r="AE890" s="9"/>
      <c r="AF890" s="9"/>
    </row>
    <row r="891" spans="1:32" ht="54.95" customHeight="1" x14ac:dyDescent="0.2">
      <c r="A891" s="56"/>
      <c r="B891" s="9"/>
      <c r="C891" s="9"/>
      <c r="D891" s="9"/>
      <c r="E891" s="9"/>
      <c r="F891" s="9"/>
      <c r="G891" s="9"/>
      <c r="H891" s="9"/>
      <c r="I891" s="58"/>
      <c r="J891" s="9"/>
      <c r="K891" s="9"/>
      <c r="L891" s="9"/>
      <c r="M891" s="9"/>
      <c r="N891" s="9"/>
      <c r="O891" s="9"/>
      <c r="P891" s="9"/>
      <c r="Q891" s="9"/>
      <c r="R891" s="9"/>
      <c r="S891" s="9"/>
      <c r="T891" s="9"/>
      <c r="U891" s="9"/>
      <c r="V891" s="9"/>
      <c r="W891" s="9"/>
      <c r="X891" s="9"/>
      <c r="Y891" s="9"/>
      <c r="Z891" s="9"/>
      <c r="AA891" s="9"/>
      <c r="AB891" s="9"/>
      <c r="AC891" s="9"/>
      <c r="AD891" s="9"/>
      <c r="AE891" s="9"/>
      <c r="AF891" s="9"/>
    </row>
    <row r="892" spans="1:32" ht="54.95" customHeight="1" x14ac:dyDescent="0.2">
      <c r="A892" s="56"/>
      <c r="B892" s="9"/>
      <c r="C892" s="9"/>
      <c r="D892" s="9"/>
      <c r="E892" s="9"/>
      <c r="F892" s="9"/>
      <c r="G892" s="9"/>
      <c r="H892" s="9"/>
      <c r="I892" s="58"/>
      <c r="J892" s="9"/>
      <c r="K892" s="9"/>
      <c r="L892" s="9"/>
      <c r="M892" s="9"/>
      <c r="N892" s="9"/>
      <c r="O892" s="9"/>
      <c r="P892" s="9"/>
      <c r="Q892" s="9"/>
      <c r="R892" s="9"/>
      <c r="S892" s="9"/>
      <c r="T892" s="9"/>
      <c r="U892" s="9"/>
      <c r="V892" s="9"/>
      <c r="W892" s="9"/>
      <c r="X892" s="9"/>
      <c r="Y892" s="9"/>
      <c r="Z892" s="9"/>
      <c r="AA892" s="9"/>
      <c r="AB892" s="9"/>
      <c r="AC892" s="9"/>
      <c r="AD892" s="9"/>
      <c r="AE892" s="9"/>
      <c r="AF892" s="9"/>
    </row>
    <row r="893" spans="1:32" ht="54.95" customHeight="1" x14ac:dyDescent="0.2">
      <c r="A893" s="56"/>
      <c r="B893" s="9"/>
      <c r="C893" s="9"/>
      <c r="D893" s="9"/>
      <c r="E893" s="9"/>
      <c r="F893" s="9"/>
      <c r="G893" s="9"/>
      <c r="H893" s="9"/>
      <c r="I893" s="58"/>
      <c r="J893" s="9"/>
      <c r="K893" s="9"/>
      <c r="L893" s="9"/>
      <c r="M893" s="9"/>
      <c r="N893" s="9"/>
      <c r="O893" s="9"/>
      <c r="P893" s="9"/>
      <c r="Q893" s="9"/>
      <c r="R893" s="9"/>
      <c r="S893" s="9"/>
      <c r="T893" s="9"/>
      <c r="U893" s="9"/>
      <c r="V893" s="9"/>
      <c r="W893" s="9"/>
      <c r="X893" s="9"/>
      <c r="Y893" s="9"/>
      <c r="Z893" s="9"/>
      <c r="AA893" s="9"/>
      <c r="AB893" s="9"/>
      <c r="AC893" s="9"/>
      <c r="AD893" s="9"/>
      <c r="AE893" s="9"/>
      <c r="AF893" s="9"/>
    </row>
    <row r="894" spans="1:32" ht="54.95" customHeight="1" x14ac:dyDescent="0.2">
      <c r="A894" s="56"/>
      <c r="B894" s="9"/>
      <c r="C894" s="9"/>
      <c r="D894" s="9"/>
      <c r="E894" s="9"/>
      <c r="F894" s="9"/>
      <c r="G894" s="9"/>
      <c r="H894" s="9"/>
      <c r="I894" s="58"/>
      <c r="J894" s="9"/>
      <c r="K894" s="9"/>
      <c r="L894" s="9"/>
      <c r="M894" s="9"/>
      <c r="N894" s="9"/>
      <c r="O894" s="9"/>
      <c r="P894" s="9"/>
      <c r="Q894" s="9"/>
      <c r="R894" s="9"/>
      <c r="S894" s="9"/>
      <c r="T894" s="9"/>
      <c r="U894" s="9"/>
      <c r="V894" s="9"/>
      <c r="W894" s="9"/>
      <c r="X894" s="9"/>
      <c r="Y894" s="9"/>
      <c r="Z894" s="9"/>
      <c r="AA894" s="9"/>
      <c r="AB894" s="9"/>
      <c r="AC894" s="9"/>
      <c r="AD894" s="9"/>
      <c r="AE894" s="9"/>
      <c r="AF894" s="9"/>
    </row>
    <row r="895" spans="1:32" ht="54.95" customHeight="1" x14ac:dyDescent="0.2">
      <c r="A895" s="56"/>
      <c r="B895" s="9"/>
      <c r="C895" s="9"/>
      <c r="D895" s="9"/>
      <c r="E895" s="9"/>
      <c r="F895" s="9"/>
      <c r="G895" s="9"/>
      <c r="H895" s="9"/>
      <c r="I895" s="58"/>
      <c r="J895" s="9"/>
      <c r="K895" s="9"/>
      <c r="L895" s="9"/>
      <c r="M895" s="9"/>
      <c r="N895" s="9"/>
      <c r="O895" s="9"/>
      <c r="P895" s="9"/>
      <c r="Q895" s="9"/>
      <c r="R895" s="9"/>
      <c r="S895" s="9"/>
      <c r="T895" s="9"/>
      <c r="U895" s="9"/>
      <c r="V895" s="9"/>
      <c r="W895" s="9"/>
      <c r="X895" s="9"/>
      <c r="Y895" s="9"/>
      <c r="Z895" s="9"/>
      <c r="AA895" s="9"/>
      <c r="AB895" s="9"/>
      <c r="AC895" s="9"/>
      <c r="AD895" s="9"/>
      <c r="AE895" s="9"/>
      <c r="AF895" s="9"/>
    </row>
    <row r="896" spans="1:32" ht="54.95" customHeight="1" x14ac:dyDescent="0.2">
      <c r="A896" s="56"/>
      <c r="B896" s="9"/>
      <c r="C896" s="9"/>
      <c r="D896" s="9"/>
      <c r="E896" s="9"/>
      <c r="F896" s="9"/>
      <c r="G896" s="9"/>
      <c r="H896" s="9"/>
      <c r="I896" s="58"/>
      <c r="J896" s="9"/>
      <c r="K896" s="9"/>
      <c r="L896" s="9"/>
      <c r="M896" s="9"/>
      <c r="N896" s="9"/>
      <c r="O896" s="9"/>
      <c r="P896" s="9"/>
      <c r="Q896" s="9"/>
      <c r="R896" s="9"/>
      <c r="S896" s="9"/>
      <c r="T896" s="9"/>
      <c r="U896" s="9"/>
      <c r="V896" s="9"/>
      <c r="W896" s="9"/>
      <c r="X896" s="9"/>
      <c r="Y896" s="9"/>
      <c r="Z896" s="9"/>
      <c r="AA896" s="9"/>
      <c r="AB896" s="9"/>
      <c r="AC896" s="9"/>
      <c r="AD896" s="9"/>
      <c r="AE896" s="9"/>
      <c r="AF896" s="9"/>
    </row>
    <row r="897" spans="1:32" ht="54.95" customHeight="1" x14ac:dyDescent="0.2">
      <c r="A897" s="56"/>
      <c r="B897" s="9"/>
      <c r="C897" s="9"/>
      <c r="D897" s="9"/>
      <c r="E897" s="9"/>
      <c r="F897" s="9"/>
      <c r="G897" s="9"/>
      <c r="H897" s="9"/>
      <c r="I897" s="58"/>
      <c r="J897" s="9"/>
      <c r="K897" s="9"/>
      <c r="L897" s="9"/>
      <c r="M897" s="9"/>
      <c r="N897" s="9"/>
      <c r="O897" s="9"/>
      <c r="P897" s="9"/>
      <c r="Q897" s="9"/>
      <c r="R897" s="9"/>
      <c r="S897" s="9"/>
      <c r="T897" s="9"/>
      <c r="U897" s="9"/>
      <c r="V897" s="9"/>
      <c r="W897" s="9"/>
      <c r="X897" s="9"/>
      <c r="Y897" s="9"/>
      <c r="Z897" s="9"/>
      <c r="AA897" s="9"/>
      <c r="AB897" s="9"/>
      <c r="AC897" s="9"/>
      <c r="AD897" s="9"/>
      <c r="AE897" s="9"/>
      <c r="AF897" s="9"/>
    </row>
    <row r="898" spans="1:32" ht="54.95" customHeight="1" x14ac:dyDescent="0.2">
      <c r="A898" s="56"/>
      <c r="B898" s="9"/>
      <c r="C898" s="9"/>
      <c r="D898" s="9"/>
      <c r="E898" s="9"/>
      <c r="F898" s="9"/>
      <c r="G898" s="9"/>
      <c r="H898" s="9"/>
      <c r="I898" s="58"/>
      <c r="J898" s="9"/>
      <c r="K898" s="9"/>
      <c r="L898" s="9"/>
      <c r="M898" s="9"/>
      <c r="N898" s="9"/>
      <c r="O898" s="9"/>
      <c r="P898" s="9"/>
      <c r="Q898" s="9"/>
      <c r="R898" s="9"/>
      <c r="S898" s="9"/>
      <c r="T898" s="9"/>
      <c r="U898" s="9"/>
      <c r="V898" s="9"/>
      <c r="W898" s="9"/>
      <c r="X898" s="9"/>
      <c r="Y898" s="9"/>
      <c r="Z898" s="9"/>
      <c r="AA898" s="9"/>
      <c r="AB898" s="9"/>
      <c r="AC898" s="9"/>
      <c r="AD898" s="9"/>
      <c r="AE898" s="9"/>
      <c r="AF898" s="9"/>
    </row>
    <row r="899" spans="1:32" ht="54.95" customHeight="1" x14ac:dyDescent="0.2">
      <c r="A899" s="56"/>
      <c r="B899" s="9"/>
      <c r="C899" s="9"/>
      <c r="D899" s="9"/>
      <c r="E899" s="9"/>
      <c r="F899" s="9"/>
      <c r="G899" s="9"/>
      <c r="H899" s="9"/>
      <c r="I899" s="58"/>
      <c r="J899" s="9"/>
      <c r="K899" s="9"/>
      <c r="L899" s="9"/>
      <c r="M899" s="9"/>
      <c r="N899" s="9"/>
      <c r="O899" s="9"/>
      <c r="P899" s="9"/>
      <c r="Q899" s="9"/>
      <c r="R899" s="9"/>
      <c r="S899" s="9"/>
      <c r="T899" s="9"/>
      <c r="U899" s="9"/>
      <c r="V899" s="9"/>
      <c r="W899" s="9"/>
      <c r="X899" s="9"/>
      <c r="Y899" s="9"/>
      <c r="Z899" s="9"/>
      <c r="AA899" s="9"/>
      <c r="AB899" s="9"/>
      <c r="AC899" s="9"/>
      <c r="AD899" s="9"/>
      <c r="AE899" s="9"/>
      <c r="AF899" s="9"/>
    </row>
    <row r="900" spans="1:32" ht="54.95" customHeight="1" x14ac:dyDescent="0.2">
      <c r="A900" s="56"/>
      <c r="B900" s="9"/>
      <c r="C900" s="9"/>
      <c r="D900" s="9"/>
      <c r="E900" s="9"/>
      <c r="F900" s="9"/>
      <c r="G900" s="9"/>
      <c r="H900" s="9"/>
      <c r="I900" s="58"/>
      <c r="J900" s="9"/>
      <c r="K900" s="9"/>
      <c r="L900" s="9"/>
      <c r="M900" s="9"/>
      <c r="N900" s="9"/>
      <c r="O900" s="9"/>
      <c r="P900" s="9"/>
      <c r="Q900" s="9"/>
      <c r="R900" s="9"/>
      <c r="S900" s="9"/>
      <c r="T900" s="9"/>
      <c r="U900" s="9"/>
      <c r="V900" s="9"/>
      <c r="W900" s="9"/>
      <c r="X900" s="9"/>
      <c r="Y900" s="9"/>
      <c r="Z900" s="9"/>
      <c r="AA900" s="9"/>
      <c r="AB900" s="9"/>
      <c r="AC900" s="9"/>
      <c r="AD900" s="9"/>
      <c r="AE900" s="9"/>
      <c r="AF900" s="9"/>
    </row>
    <row r="901" spans="1:32" ht="54.95" customHeight="1" x14ac:dyDescent="0.2">
      <c r="A901" s="56"/>
      <c r="B901" s="9"/>
      <c r="C901" s="9"/>
      <c r="D901" s="9"/>
      <c r="E901" s="9"/>
      <c r="F901" s="9"/>
      <c r="G901" s="9"/>
      <c r="H901" s="9"/>
      <c r="I901" s="58"/>
      <c r="J901" s="9"/>
      <c r="K901" s="9"/>
      <c r="L901" s="9"/>
      <c r="M901" s="9"/>
      <c r="N901" s="9"/>
      <c r="O901" s="9"/>
      <c r="P901" s="9"/>
      <c r="Q901" s="9"/>
      <c r="R901" s="9"/>
      <c r="S901" s="9"/>
      <c r="T901" s="9"/>
      <c r="U901" s="9"/>
      <c r="V901" s="9"/>
      <c r="W901" s="9"/>
      <c r="X901" s="9"/>
      <c r="Y901" s="9"/>
      <c r="Z901" s="9"/>
      <c r="AA901" s="9"/>
      <c r="AB901" s="9"/>
      <c r="AC901" s="9"/>
      <c r="AD901" s="9"/>
      <c r="AE901" s="9"/>
      <c r="AF901" s="9"/>
    </row>
    <row r="902" spans="1:32" ht="54.95" customHeight="1" x14ac:dyDescent="0.2">
      <c r="A902" s="56"/>
      <c r="B902" s="9"/>
      <c r="C902" s="9"/>
      <c r="D902" s="9"/>
      <c r="E902" s="9"/>
      <c r="F902" s="9"/>
      <c r="G902" s="9"/>
      <c r="H902" s="9"/>
      <c r="I902" s="58"/>
      <c r="J902" s="9"/>
      <c r="K902" s="9"/>
      <c r="L902" s="9"/>
      <c r="M902" s="9"/>
      <c r="N902" s="9"/>
      <c r="O902" s="9"/>
      <c r="P902" s="9"/>
      <c r="Q902" s="9"/>
      <c r="R902" s="9"/>
      <c r="S902" s="9"/>
      <c r="T902" s="9"/>
      <c r="U902" s="9"/>
      <c r="V902" s="9"/>
      <c r="W902" s="9"/>
      <c r="X902" s="9"/>
      <c r="Y902" s="9"/>
      <c r="Z902" s="9"/>
      <c r="AA902" s="9"/>
      <c r="AB902" s="9"/>
      <c r="AC902" s="9"/>
      <c r="AD902" s="9"/>
      <c r="AE902" s="9"/>
      <c r="AF902" s="9"/>
    </row>
    <row r="903" spans="1:32" ht="54.95" customHeight="1" x14ac:dyDescent="0.2">
      <c r="A903" s="56"/>
      <c r="B903" s="9"/>
      <c r="C903" s="9"/>
      <c r="D903" s="9"/>
      <c r="E903" s="9"/>
      <c r="F903" s="9"/>
      <c r="G903" s="9"/>
      <c r="H903" s="9"/>
      <c r="I903" s="58"/>
      <c r="J903" s="9"/>
      <c r="K903" s="9"/>
      <c r="L903" s="9"/>
      <c r="M903" s="9"/>
      <c r="N903" s="9"/>
      <c r="O903" s="9"/>
      <c r="P903" s="9"/>
      <c r="Q903" s="9"/>
      <c r="R903" s="9"/>
      <c r="S903" s="9"/>
      <c r="T903" s="9"/>
      <c r="U903" s="9"/>
      <c r="V903" s="9"/>
      <c r="W903" s="9"/>
      <c r="X903" s="9"/>
      <c r="Y903" s="9"/>
      <c r="Z903" s="9"/>
      <c r="AA903" s="9"/>
      <c r="AB903" s="9"/>
      <c r="AC903" s="9"/>
      <c r="AD903" s="9"/>
      <c r="AE903" s="9"/>
      <c r="AF903" s="9"/>
    </row>
    <row r="904" spans="1:32" ht="54.95" customHeight="1" x14ac:dyDescent="0.2">
      <c r="A904" s="56"/>
      <c r="B904" s="9"/>
      <c r="C904" s="9"/>
      <c r="D904" s="9"/>
      <c r="E904" s="9"/>
      <c r="F904" s="9"/>
      <c r="G904" s="9"/>
      <c r="H904" s="9"/>
      <c r="I904" s="58"/>
      <c r="J904" s="9"/>
      <c r="K904" s="9"/>
      <c r="L904" s="9"/>
      <c r="M904" s="9"/>
      <c r="N904" s="9"/>
      <c r="O904" s="9"/>
      <c r="P904" s="9"/>
      <c r="Q904" s="9"/>
      <c r="R904" s="9"/>
      <c r="S904" s="9"/>
      <c r="T904" s="9"/>
      <c r="U904" s="9"/>
      <c r="V904" s="9"/>
      <c r="W904" s="9"/>
      <c r="X904" s="9"/>
      <c r="Y904" s="9"/>
      <c r="Z904" s="9"/>
      <c r="AA904" s="9"/>
      <c r="AB904" s="9"/>
      <c r="AC904" s="9"/>
      <c r="AD904" s="9"/>
      <c r="AE904" s="9"/>
      <c r="AF904" s="9"/>
    </row>
    <row r="905" spans="1:32" ht="54.95" customHeight="1" x14ac:dyDescent="0.2">
      <c r="A905" s="56"/>
      <c r="B905" s="9"/>
      <c r="C905" s="9"/>
      <c r="D905" s="9"/>
      <c r="E905" s="9"/>
      <c r="F905" s="9"/>
      <c r="G905" s="9"/>
      <c r="H905" s="9"/>
      <c r="I905" s="58"/>
      <c r="J905" s="9"/>
      <c r="K905" s="9"/>
      <c r="L905" s="9"/>
      <c r="M905" s="9"/>
      <c r="N905" s="9"/>
      <c r="O905" s="9"/>
      <c r="P905" s="9"/>
      <c r="Q905" s="9"/>
      <c r="R905" s="9"/>
      <c r="S905" s="9"/>
      <c r="T905" s="9"/>
      <c r="U905" s="9"/>
      <c r="V905" s="9"/>
      <c r="W905" s="9"/>
      <c r="X905" s="9"/>
      <c r="Y905" s="9"/>
      <c r="Z905" s="9"/>
      <c r="AA905" s="9"/>
      <c r="AB905" s="9"/>
      <c r="AC905" s="9"/>
      <c r="AD905" s="9"/>
      <c r="AE905" s="9"/>
      <c r="AF905" s="9"/>
    </row>
    <row r="906" spans="1:32" ht="54.95" customHeight="1" x14ac:dyDescent="0.2">
      <c r="A906" s="56"/>
      <c r="B906" s="9"/>
      <c r="C906" s="9"/>
      <c r="D906" s="9"/>
      <c r="E906" s="9"/>
      <c r="F906" s="9"/>
      <c r="G906" s="9"/>
      <c r="H906" s="9"/>
      <c r="I906" s="58"/>
      <c r="J906" s="9"/>
      <c r="K906" s="9"/>
      <c r="L906" s="9"/>
      <c r="M906" s="9"/>
      <c r="N906" s="9"/>
      <c r="O906" s="9"/>
      <c r="P906" s="9"/>
      <c r="Q906" s="9"/>
      <c r="R906" s="9"/>
      <c r="S906" s="9"/>
      <c r="T906" s="9"/>
      <c r="U906" s="9"/>
      <c r="V906" s="9"/>
      <c r="W906" s="9"/>
      <c r="X906" s="9"/>
      <c r="Y906" s="9"/>
      <c r="Z906" s="9"/>
      <c r="AA906" s="9"/>
      <c r="AB906" s="9"/>
      <c r="AC906" s="9"/>
      <c r="AD906" s="9"/>
      <c r="AE906" s="9"/>
      <c r="AF906" s="9"/>
    </row>
    <row r="907" spans="1:32" ht="54.95" customHeight="1" x14ac:dyDescent="0.2">
      <c r="A907" s="56"/>
      <c r="B907" s="9"/>
      <c r="C907" s="9"/>
      <c r="D907" s="9"/>
      <c r="E907" s="9"/>
      <c r="F907" s="9"/>
      <c r="G907" s="9"/>
      <c r="H907" s="9"/>
      <c r="I907" s="58"/>
      <c r="J907" s="9"/>
      <c r="K907" s="9"/>
      <c r="L907" s="9"/>
      <c r="M907" s="9"/>
      <c r="N907" s="9"/>
      <c r="O907" s="9"/>
      <c r="P907" s="9"/>
      <c r="Q907" s="9"/>
      <c r="R907" s="9"/>
      <c r="S907" s="9"/>
      <c r="T907" s="9"/>
      <c r="U907" s="9"/>
      <c r="V907" s="9"/>
      <c r="W907" s="9"/>
      <c r="X907" s="9"/>
      <c r="Y907" s="9"/>
      <c r="Z907" s="9"/>
      <c r="AA907" s="9"/>
      <c r="AB907" s="9"/>
      <c r="AC907" s="9"/>
      <c r="AD907" s="9"/>
      <c r="AE907" s="9"/>
      <c r="AF907" s="9"/>
    </row>
    <row r="908" spans="1:32" ht="54.95" customHeight="1" x14ac:dyDescent="0.2">
      <c r="A908" s="56"/>
      <c r="B908" s="9"/>
      <c r="C908" s="9"/>
      <c r="D908" s="9"/>
      <c r="E908" s="9"/>
      <c r="F908" s="9"/>
      <c r="G908" s="9"/>
      <c r="H908" s="9"/>
      <c r="I908" s="58"/>
      <c r="J908" s="9"/>
      <c r="K908" s="9"/>
      <c r="L908" s="9"/>
      <c r="M908" s="9"/>
      <c r="N908" s="9"/>
      <c r="O908" s="9"/>
      <c r="P908" s="9"/>
      <c r="Q908" s="9"/>
      <c r="R908" s="9"/>
      <c r="S908" s="9"/>
      <c r="T908" s="9"/>
      <c r="U908" s="9"/>
      <c r="V908" s="9"/>
      <c r="W908" s="9"/>
      <c r="X908" s="9"/>
      <c r="Y908" s="9"/>
      <c r="Z908" s="9"/>
      <c r="AA908" s="9"/>
      <c r="AB908" s="9"/>
      <c r="AC908" s="9"/>
      <c r="AD908" s="9"/>
      <c r="AE908" s="9"/>
      <c r="AF908" s="9"/>
    </row>
    <row r="909" spans="1:32" ht="54.95" customHeight="1" x14ac:dyDescent="0.2">
      <c r="A909" s="56"/>
      <c r="B909" s="9"/>
      <c r="C909" s="9"/>
      <c r="D909" s="9"/>
      <c r="E909" s="9"/>
      <c r="F909" s="9"/>
      <c r="G909" s="9"/>
      <c r="H909" s="9"/>
      <c r="I909" s="58"/>
      <c r="J909" s="9"/>
      <c r="K909" s="9"/>
      <c r="L909" s="9"/>
      <c r="M909" s="9"/>
      <c r="N909" s="9"/>
      <c r="O909" s="9"/>
      <c r="P909" s="9"/>
      <c r="Q909" s="9"/>
      <c r="R909" s="9"/>
      <c r="S909" s="9"/>
      <c r="T909" s="9"/>
      <c r="U909" s="9"/>
      <c r="V909" s="9"/>
      <c r="W909" s="9"/>
      <c r="X909" s="9"/>
      <c r="Y909" s="9"/>
      <c r="Z909" s="9"/>
      <c r="AA909" s="9"/>
      <c r="AB909" s="9"/>
      <c r="AC909" s="9"/>
      <c r="AD909" s="9"/>
      <c r="AE909" s="9"/>
      <c r="AF909" s="9"/>
    </row>
    <row r="910" spans="1:32" ht="54.95" customHeight="1" x14ac:dyDescent="0.2">
      <c r="A910" s="56"/>
      <c r="B910" s="9"/>
      <c r="C910" s="9"/>
      <c r="D910" s="9"/>
      <c r="E910" s="9"/>
      <c r="F910" s="9"/>
      <c r="G910" s="9"/>
      <c r="H910" s="9"/>
      <c r="I910" s="58"/>
      <c r="J910" s="9"/>
      <c r="K910" s="9"/>
      <c r="L910" s="9"/>
      <c r="M910" s="9"/>
      <c r="N910" s="9"/>
      <c r="O910" s="9"/>
      <c r="P910" s="9"/>
      <c r="Q910" s="9"/>
      <c r="R910" s="9"/>
      <c r="S910" s="9"/>
      <c r="T910" s="9"/>
      <c r="U910" s="9"/>
      <c r="V910" s="9"/>
      <c r="W910" s="9"/>
      <c r="X910" s="9"/>
      <c r="Y910" s="9"/>
      <c r="Z910" s="9"/>
      <c r="AA910" s="9"/>
      <c r="AB910" s="9"/>
      <c r="AC910" s="9"/>
      <c r="AD910" s="9"/>
      <c r="AE910" s="9"/>
      <c r="AF910" s="9"/>
    </row>
    <row r="911" spans="1:32" ht="54.95" customHeight="1" x14ac:dyDescent="0.2">
      <c r="A911" s="56"/>
      <c r="B911" s="9"/>
      <c r="C911" s="9"/>
      <c r="D911" s="9"/>
      <c r="E911" s="9"/>
      <c r="F911" s="9"/>
      <c r="G911" s="9"/>
      <c r="H911" s="9"/>
      <c r="I911" s="58"/>
      <c r="J911" s="9"/>
      <c r="K911" s="9"/>
      <c r="L911" s="9"/>
      <c r="M911" s="9"/>
      <c r="N911" s="9"/>
      <c r="O911" s="9"/>
      <c r="P911" s="9"/>
      <c r="Q911" s="9"/>
      <c r="R911" s="9"/>
      <c r="S911" s="9"/>
      <c r="T911" s="9"/>
      <c r="U911" s="9"/>
      <c r="V911" s="9"/>
      <c r="W911" s="9"/>
      <c r="X911" s="9"/>
      <c r="Y911" s="9"/>
      <c r="Z911" s="9"/>
      <c r="AA911" s="9"/>
      <c r="AB911" s="9"/>
      <c r="AC911" s="9"/>
      <c r="AD911" s="9"/>
      <c r="AE911" s="9"/>
      <c r="AF911" s="9"/>
    </row>
    <row r="912" spans="1:32" ht="54.95" customHeight="1" x14ac:dyDescent="0.2">
      <c r="A912" s="56"/>
      <c r="B912" s="9"/>
      <c r="C912" s="9"/>
      <c r="D912" s="9"/>
      <c r="E912" s="9"/>
      <c r="F912" s="9"/>
      <c r="G912" s="9"/>
      <c r="H912" s="9"/>
      <c r="I912" s="58"/>
      <c r="J912" s="9"/>
      <c r="K912" s="9"/>
      <c r="L912" s="9"/>
      <c r="M912" s="9"/>
      <c r="N912" s="9"/>
      <c r="O912" s="9"/>
      <c r="P912" s="9"/>
      <c r="Q912" s="9"/>
      <c r="R912" s="9"/>
      <c r="S912" s="9"/>
      <c r="T912" s="9"/>
      <c r="U912" s="9"/>
      <c r="V912" s="9"/>
      <c r="W912" s="9"/>
      <c r="X912" s="9"/>
      <c r="Y912" s="9"/>
      <c r="Z912" s="9"/>
      <c r="AA912" s="9"/>
      <c r="AB912" s="9"/>
      <c r="AC912" s="9"/>
      <c r="AD912" s="9"/>
      <c r="AE912" s="9"/>
      <c r="AF912" s="9"/>
    </row>
    <row r="913" spans="1:32" ht="54.95" customHeight="1" x14ac:dyDescent="0.2">
      <c r="A913" s="56"/>
      <c r="B913" s="9"/>
      <c r="C913" s="9"/>
      <c r="D913" s="9"/>
      <c r="E913" s="9"/>
      <c r="F913" s="9"/>
      <c r="G913" s="9"/>
      <c r="H913" s="9"/>
      <c r="I913" s="58"/>
      <c r="J913" s="9"/>
      <c r="K913" s="9"/>
      <c r="L913" s="9"/>
      <c r="M913" s="9"/>
      <c r="N913" s="9"/>
      <c r="O913" s="9"/>
      <c r="P913" s="9"/>
      <c r="Q913" s="9"/>
      <c r="R913" s="9"/>
      <c r="S913" s="9"/>
      <c r="T913" s="9"/>
      <c r="U913" s="9"/>
      <c r="V913" s="9"/>
      <c r="W913" s="9"/>
      <c r="X913" s="9"/>
      <c r="Y913" s="9"/>
      <c r="Z913" s="9"/>
      <c r="AA913" s="9"/>
      <c r="AB913" s="9"/>
      <c r="AC913" s="9"/>
      <c r="AD913" s="9"/>
      <c r="AE913" s="9"/>
      <c r="AF913" s="9"/>
    </row>
    <row r="914" spans="1:32" ht="54.95" customHeight="1" x14ac:dyDescent="0.2">
      <c r="A914" s="56"/>
      <c r="B914" s="9"/>
      <c r="C914" s="9"/>
      <c r="D914" s="9"/>
      <c r="E914" s="9"/>
      <c r="F914" s="9"/>
      <c r="G914" s="9"/>
      <c r="H914" s="9"/>
      <c r="I914" s="58"/>
      <c r="J914" s="9"/>
      <c r="K914" s="9"/>
      <c r="L914" s="9"/>
      <c r="M914" s="9"/>
      <c r="N914" s="9"/>
      <c r="O914" s="9"/>
      <c r="P914" s="9"/>
      <c r="Q914" s="9"/>
      <c r="R914" s="9"/>
      <c r="S914" s="9"/>
      <c r="T914" s="9"/>
      <c r="U914" s="9"/>
      <c r="V914" s="9"/>
      <c r="W914" s="9"/>
      <c r="X914" s="9"/>
      <c r="Y914" s="9"/>
      <c r="Z914" s="9"/>
      <c r="AA914" s="9"/>
      <c r="AB914" s="9"/>
      <c r="AC914" s="9"/>
      <c r="AD914" s="9"/>
      <c r="AE914" s="9"/>
      <c r="AF914" s="9"/>
    </row>
    <row r="915" spans="1:32" ht="54.95" customHeight="1" x14ac:dyDescent="0.2">
      <c r="A915" s="56"/>
      <c r="B915" s="9"/>
      <c r="C915" s="9"/>
      <c r="D915" s="9"/>
      <c r="E915" s="9"/>
      <c r="F915" s="9"/>
      <c r="G915" s="9"/>
      <c r="H915" s="9"/>
      <c r="I915" s="58"/>
      <c r="J915" s="9"/>
      <c r="K915" s="9"/>
      <c r="L915" s="9"/>
      <c r="M915" s="9"/>
      <c r="N915" s="9"/>
      <c r="O915" s="9"/>
      <c r="P915" s="9"/>
      <c r="Q915" s="9"/>
      <c r="R915" s="9"/>
      <c r="S915" s="9"/>
      <c r="T915" s="9"/>
      <c r="U915" s="9"/>
      <c r="V915" s="9"/>
      <c r="W915" s="9"/>
      <c r="X915" s="9"/>
      <c r="Y915" s="9"/>
      <c r="Z915" s="9"/>
      <c r="AA915" s="9"/>
      <c r="AB915" s="9"/>
      <c r="AC915" s="9"/>
      <c r="AD915" s="9"/>
      <c r="AE915" s="9"/>
      <c r="AF915" s="9"/>
    </row>
    <row r="916" spans="1:32" ht="54.95" customHeight="1" x14ac:dyDescent="0.2">
      <c r="A916" s="56"/>
      <c r="B916" s="9"/>
      <c r="C916" s="9"/>
      <c r="D916" s="9"/>
      <c r="E916" s="9"/>
      <c r="F916" s="9"/>
      <c r="G916" s="9"/>
      <c r="H916" s="9"/>
      <c r="I916" s="58"/>
      <c r="J916" s="9"/>
      <c r="K916" s="9"/>
      <c r="L916" s="9"/>
      <c r="M916" s="9"/>
      <c r="N916" s="9"/>
      <c r="O916" s="9"/>
      <c r="P916" s="9"/>
      <c r="Q916" s="9"/>
      <c r="R916" s="9"/>
      <c r="S916" s="9"/>
      <c r="T916" s="9"/>
      <c r="U916" s="9"/>
      <c r="V916" s="9"/>
      <c r="W916" s="9"/>
      <c r="X916" s="9"/>
      <c r="Y916" s="9"/>
      <c r="Z916" s="9"/>
      <c r="AA916" s="9"/>
      <c r="AB916" s="9"/>
      <c r="AC916" s="9"/>
      <c r="AD916" s="9"/>
      <c r="AE916" s="9"/>
      <c r="AF916" s="9"/>
    </row>
    <row r="917" spans="1:32" ht="54.95" customHeight="1" x14ac:dyDescent="0.2">
      <c r="A917" s="56"/>
      <c r="B917" s="9"/>
      <c r="C917" s="9"/>
      <c r="D917" s="9"/>
      <c r="E917" s="9"/>
      <c r="F917" s="9"/>
      <c r="G917" s="9"/>
      <c r="H917" s="9"/>
      <c r="I917" s="58"/>
      <c r="J917" s="9"/>
      <c r="K917" s="9"/>
      <c r="L917" s="9"/>
      <c r="M917" s="9"/>
      <c r="N917" s="9"/>
      <c r="O917" s="9"/>
      <c r="P917" s="9"/>
      <c r="Q917" s="9"/>
      <c r="R917" s="9"/>
      <c r="S917" s="9"/>
      <c r="T917" s="9"/>
      <c r="U917" s="9"/>
      <c r="V917" s="9"/>
      <c r="W917" s="9"/>
      <c r="X917" s="9"/>
      <c r="Y917" s="9"/>
      <c r="Z917" s="9"/>
      <c r="AA917" s="9"/>
      <c r="AB917" s="9"/>
      <c r="AC917" s="9"/>
      <c r="AD917" s="9"/>
      <c r="AE917" s="9"/>
      <c r="AF917" s="9"/>
    </row>
    <row r="918" spans="1:32" ht="54.95" customHeight="1" x14ac:dyDescent="0.2">
      <c r="A918" s="56"/>
      <c r="B918" s="9"/>
      <c r="C918" s="9"/>
      <c r="D918" s="9"/>
      <c r="E918" s="9"/>
      <c r="F918" s="9"/>
      <c r="G918" s="9"/>
      <c r="H918" s="9"/>
      <c r="I918" s="58"/>
      <c r="J918" s="9"/>
      <c r="K918" s="9"/>
      <c r="L918" s="9"/>
      <c r="M918" s="9"/>
      <c r="N918" s="9"/>
      <c r="O918" s="9"/>
      <c r="P918" s="9"/>
      <c r="Q918" s="9"/>
      <c r="R918" s="9"/>
      <c r="S918" s="9"/>
      <c r="T918" s="9"/>
      <c r="U918" s="9"/>
      <c r="V918" s="9"/>
      <c r="W918" s="9"/>
      <c r="X918" s="9"/>
      <c r="Y918" s="9"/>
      <c r="Z918" s="9"/>
      <c r="AA918" s="9"/>
      <c r="AB918" s="9"/>
      <c r="AC918" s="9"/>
      <c r="AD918" s="9"/>
      <c r="AE918" s="9"/>
      <c r="AF918" s="9"/>
    </row>
    <row r="919" spans="1:32" ht="54.95" customHeight="1" x14ac:dyDescent="0.2">
      <c r="A919" s="56"/>
      <c r="B919" s="9"/>
      <c r="C919" s="9"/>
      <c r="D919" s="9"/>
      <c r="E919" s="9"/>
      <c r="F919" s="9"/>
      <c r="G919" s="9"/>
      <c r="H919" s="9"/>
      <c r="I919" s="58"/>
      <c r="J919" s="9"/>
      <c r="K919" s="9"/>
      <c r="L919" s="9"/>
      <c r="M919" s="9"/>
      <c r="N919" s="9"/>
      <c r="O919" s="9"/>
      <c r="P919" s="9"/>
      <c r="Q919" s="9"/>
      <c r="R919" s="9"/>
      <c r="S919" s="9"/>
      <c r="T919" s="9"/>
      <c r="U919" s="9"/>
      <c r="V919" s="9"/>
      <c r="W919" s="9"/>
      <c r="X919" s="9"/>
      <c r="Y919" s="9"/>
      <c r="Z919" s="9"/>
      <c r="AA919" s="9"/>
      <c r="AB919" s="9"/>
      <c r="AC919" s="9"/>
      <c r="AD919" s="9"/>
      <c r="AE919" s="9"/>
      <c r="AF919" s="9"/>
    </row>
    <row r="920" spans="1:32" ht="54.95" customHeight="1" x14ac:dyDescent="0.2">
      <c r="A920" s="56"/>
      <c r="B920" s="9"/>
      <c r="C920" s="9"/>
      <c r="D920" s="9"/>
      <c r="E920" s="9"/>
      <c r="F920" s="9"/>
      <c r="G920" s="9"/>
      <c r="H920" s="9"/>
      <c r="I920" s="58"/>
      <c r="J920" s="9"/>
      <c r="K920" s="9"/>
      <c r="L920" s="9"/>
      <c r="M920" s="9"/>
      <c r="N920" s="9"/>
      <c r="O920" s="9"/>
      <c r="P920" s="9"/>
      <c r="Q920" s="9"/>
      <c r="R920" s="9"/>
      <c r="S920" s="9"/>
      <c r="T920" s="9"/>
      <c r="U920" s="9"/>
      <c r="V920" s="9"/>
      <c r="W920" s="9"/>
      <c r="X920" s="9"/>
      <c r="Y920" s="9"/>
      <c r="Z920" s="9"/>
      <c r="AA920" s="9"/>
      <c r="AB920" s="9"/>
      <c r="AC920" s="9"/>
      <c r="AD920" s="9"/>
      <c r="AE920" s="9"/>
      <c r="AF920" s="9"/>
    </row>
    <row r="921" spans="1:32" ht="54.95" customHeight="1" x14ac:dyDescent="0.2">
      <c r="A921" s="56"/>
      <c r="B921" s="9"/>
      <c r="C921" s="9"/>
      <c r="D921" s="9"/>
      <c r="E921" s="9"/>
      <c r="F921" s="9"/>
      <c r="G921" s="9"/>
      <c r="H921" s="9"/>
      <c r="I921" s="58"/>
      <c r="J921" s="9"/>
      <c r="K921" s="9"/>
      <c r="L921" s="9"/>
      <c r="M921" s="9"/>
      <c r="N921" s="9"/>
      <c r="O921" s="9"/>
      <c r="P921" s="9"/>
      <c r="Q921" s="9"/>
      <c r="R921" s="9"/>
      <c r="S921" s="9"/>
      <c r="T921" s="9"/>
      <c r="U921" s="9"/>
      <c r="V921" s="9"/>
      <c r="W921" s="9"/>
      <c r="X921" s="9"/>
      <c r="Y921" s="9"/>
      <c r="Z921" s="9"/>
      <c r="AA921" s="9"/>
      <c r="AB921" s="9"/>
      <c r="AC921" s="9"/>
      <c r="AD921" s="9"/>
      <c r="AE921" s="9"/>
      <c r="AF921" s="9"/>
    </row>
    <row r="922" spans="1:32" ht="54.95" customHeight="1" x14ac:dyDescent="0.2">
      <c r="A922" s="56"/>
      <c r="B922" s="9"/>
      <c r="C922" s="9"/>
      <c r="D922" s="9"/>
      <c r="E922" s="9"/>
      <c r="F922" s="9"/>
      <c r="G922" s="9"/>
      <c r="H922" s="9"/>
      <c r="I922" s="58"/>
      <c r="J922" s="9"/>
      <c r="K922" s="9"/>
      <c r="L922" s="9"/>
      <c r="M922" s="9"/>
      <c r="N922" s="9"/>
      <c r="O922" s="9"/>
      <c r="P922" s="9"/>
      <c r="Q922" s="9"/>
      <c r="R922" s="9"/>
      <c r="S922" s="9"/>
      <c r="T922" s="9"/>
      <c r="U922" s="9"/>
      <c r="V922" s="9"/>
      <c r="W922" s="9"/>
      <c r="X922" s="9"/>
      <c r="Y922" s="9"/>
      <c r="Z922" s="9"/>
      <c r="AA922" s="9"/>
      <c r="AB922" s="9"/>
      <c r="AC922" s="9"/>
      <c r="AD922" s="9"/>
      <c r="AE922" s="9"/>
      <c r="AF922" s="9"/>
    </row>
    <row r="923" spans="1:32" ht="54.95" customHeight="1" x14ac:dyDescent="0.2">
      <c r="A923" s="56"/>
      <c r="B923" s="9"/>
      <c r="C923" s="9"/>
      <c r="D923" s="9"/>
      <c r="E923" s="9"/>
      <c r="F923" s="9"/>
      <c r="G923" s="9"/>
      <c r="H923" s="9"/>
      <c r="I923" s="58"/>
      <c r="J923" s="9"/>
      <c r="K923" s="9"/>
      <c r="L923" s="9"/>
      <c r="M923" s="9"/>
      <c r="N923" s="9"/>
      <c r="O923" s="9"/>
      <c r="P923" s="9"/>
      <c r="Q923" s="9"/>
      <c r="R923" s="9"/>
      <c r="S923" s="9"/>
      <c r="T923" s="9"/>
      <c r="U923" s="9"/>
      <c r="V923" s="9"/>
      <c r="W923" s="9"/>
      <c r="X923" s="9"/>
      <c r="Y923" s="9"/>
      <c r="Z923" s="9"/>
      <c r="AA923" s="9"/>
      <c r="AB923" s="9"/>
      <c r="AC923" s="9"/>
      <c r="AD923" s="9"/>
      <c r="AE923" s="9"/>
      <c r="AF923" s="9"/>
    </row>
    <row r="924" spans="1:32" ht="54.95" customHeight="1" x14ac:dyDescent="0.2">
      <c r="A924" s="56"/>
      <c r="B924" s="9"/>
      <c r="C924" s="9"/>
      <c r="D924" s="9"/>
      <c r="E924" s="9"/>
      <c r="F924" s="9"/>
      <c r="G924" s="9"/>
      <c r="H924" s="9"/>
      <c r="I924" s="58"/>
      <c r="J924" s="9"/>
      <c r="K924" s="9"/>
      <c r="L924" s="9"/>
      <c r="M924" s="9"/>
      <c r="N924" s="9"/>
      <c r="O924" s="9"/>
      <c r="P924" s="9"/>
      <c r="Q924" s="9"/>
      <c r="R924" s="9"/>
      <c r="S924" s="9"/>
      <c r="T924" s="9"/>
      <c r="U924" s="9"/>
      <c r="V924" s="9"/>
      <c r="W924" s="9"/>
      <c r="X924" s="9"/>
      <c r="Y924" s="9"/>
      <c r="Z924" s="9"/>
      <c r="AA924" s="9"/>
      <c r="AB924" s="9"/>
      <c r="AC924" s="9"/>
      <c r="AD924" s="9"/>
      <c r="AE924" s="9"/>
      <c r="AF924" s="9"/>
    </row>
    <row r="925" spans="1:32" ht="54.95" customHeight="1" x14ac:dyDescent="0.2">
      <c r="A925" s="56"/>
      <c r="B925" s="9"/>
      <c r="C925" s="9"/>
      <c r="D925" s="9"/>
      <c r="E925" s="9"/>
      <c r="F925" s="9"/>
      <c r="G925" s="9"/>
      <c r="H925" s="9"/>
      <c r="I925" s="58"/>
      <c r="J925" s="9"/>
      <c r="K925" s="9"/>
      <c r="L925" s="9"/>
      <c r="M925" s="9"/>
      <c r="N925" s="9"/>
      <c r="O925" s="9"/>
      <c r="P925" s="9"/>
      <c r="Q925" s="9"/>
      <c r="R925" s="9"/>
      <c r="S925" s="9"/>
      <c r="T925" s="9"/>
      <c r="U925" s="9"/>
      <c r="V925" s="9"/>
      <c r="W925" s="9"/>
      <c r="X925" s="9"/>
      <c r="Y925" s="9"/>
      <c r="Z925" s="9"/>
      <c r="AA925" s="9"/>
      <c r="AB925" s="9"/>
      <c r="AC925" s="9"/>
      <c r="AD925" s="9"/>
      <c r="AE925" s="9"/>
      <c r="AF925" s="9"/>
    </row>
    <row r="926" spans="1:32" ht="54.95" customHeight="1" x14ac:dyDescent="0.2">
      <c r="A926" s="56"/>
      <c r="B926" s="9"/>
      <c r="C926" s="9"/>
      <c r="D926" s="9"/>
      <c r="E926" s="9"/>
      <c r="F926" s="9"/>
      <c r="G926" s="9"/>
      <c r="H926" s="9"/>
      <c r="I926" s="58"/>
      <c r="J926" s="9"/>
      <c r="K926" s="9"/>
      <c r="L926" s="9"/>
      <c r="M926" s="9"/>
      <c r="N926" s="9"/>
      <c r="O926" s="9"/>
      <c r="P926" s="9"/>
      <c r="Q926" s="9"/>
      <c r="R926" s="9"/>
      <c r="S926" s="9"/>
      <c r="T926" s="9"/>
      <c r="U926" s="9"/>
      <c r="V926" s="9"/>
      <c r="W926" s="9"/>
      <c r="X926" s="9"/>
      <c r="Y926" s="9"/>
      <c r="Z926" s="9"/>
      <c r="AA926" s="9"/>
      <c r="AB926" s="9"/>
      <c r="AC926" s="9"/>
      <c r="AD926" s="9"/>
      <c r="AE926" s="9"/>
      <c r="AF926" s="9"/>
    </row>
    <row r="927" spans="1:32" ht="54.95" customHeight="1" x14ac:dyDescent="0.2">
      <c r="A927" s="56"/>
      <c r="B927" s="9"/>
      <c r="C927" s="9"/>
      <c r="D927" s="9"/>
      <c r="E927" s="9"/>
      <c r="F927" s="9"/>
      <c r="G927" s="9"/>
      <c r="H927" s="9"/>
      <c r="I927" s="58"/>
      <c r="J927" s="9"/>
      <c r="K927" s="9"/>
      <c r="L927" s="9"/>
      <c r="M927" s="9"/>
      <c r="N927" s="9"/>
      <c r="O927" s="9"/>
      <c r="P927" s="9"/>
      <c r="Q927" s="9"/>
      <c r="R927" s="9"/>
      <c r="S927" s="9"/>
      <c r="T927" s="9"/>
      <c r="U927" s="9"/>
      <c r="V927" s="9"/>
      <c r="W927" s="9"/>
      <c r="X927" s="9"/>
      <c r="Y927" s="9"/>
      <c r="Z927" s="9"/>
      <c r="AA927" s="9"/>
      <c r="AB927" s="9"/>
      <c r="AC927" s="9"/>
      <c r="AD927" s="9"/>
      <c r="AE927" s="9"/>
      <c r="AF927" s="9"/>
    </row>
    <row r="928" spans="1:32" ht="54.95" customHeight="1" x14ac:dyDescent="0.2">
      <c r="A928" s="56"/>
      <c r="B928" s="9"/>
      <c r="C928" s="9"/>
      <c r="D928" s="9"/>
      <c r="E928" s="9"/>
      <c r="F928" s="9"/>
      <c r="G928" s="9"/>
      <c r="H928" s="9"/>
      <c r="I928" s="58"/>
      <c r="J928" s="9"/>
      <c r="K928" s="9"/>
      <c r="L928" s="9"/>
      <c r="M928" s="9"/>
      <c r="N928" s="9"/>
      <c r="O928" s="9"/>
      <c r="P928" s="9"/>
      <c r="Q928" s="9"/>
      <c r="R928" s="9"/>
      <c r="S928" s="9"/>
      <c r="T928" s="9"/>
      <c r="U928" s="9"/>
      <c r="V928" s="9"/>
      <c r="W928" s="9"/>
      <c r="X928" s="9"/>
      <c r="Y928" s="9"/>
      <c r="Z928" s="9"/>
      <c r="AA928" s="9"/>
      <c r="AB928" s="9"/>
      <c r="AC928" s="9"/>
      <c r="AD928" s="9"/>
      <c r="AE928" s="9"/>
      <c r="AF928" s="9"/>
    </row>
    <row r="929" spans="1:32" ht="54.95" customHeight="1" x14ac:dyDescent="0.2">
      <c r="A929" s="56"/>
      <c r="B929" s="9"/>
      <c r="C929" s="9"/>
      <c r="D929" s="9"/>
      <c r="E929" s="9"/>
      <c r="F929" s="9"/>
      <c r="G929" s="9"/>
      <c r="H929" s="9"/>
      <c r="I929" s="58"/>
      <c r="J929" s="9"/>
      <c r="K929" s="9"/>
      <c r="L929" s="9"/>
      <c r="M929" s="9"/>
      <c r="N929" s="9"/>
      <c r="O929" s="9"/>
      <c r="P929" s="9"/>
      <c r="Q929" s="9"/>
      <c r="R929" s="9"/>
      <c r="S929" s="9"/>
      <c r="T929" s="9"/>
      <c r="U929" s="9"/>
      <c r="V929" s="9"/>
      <c r="W929" s="9"/>
      <c r="X929" s="9"/>
      <c r="Y929" s="9"/>
      <c r="Z929" s="9"/>
      <c r="AA929" s="9"/>
      <c r="AB929" s="9"/>
      <c r="AC929" s="9"/>
      <c r="AD929" s="9"/>
      <c r="AE929" s="9"/>
      <c r="AF929" s="9"/>
    </row>
    <row r="930" spans="1:32" ht="54.95" customHeight="1" x14ac:dyDescent="0.2">
      <c r="A930" s="56"/>
      <c r="B930" s="9"/>
      <c r="C930" s="9"/>
      <c r="D930" s="9"/>
      <c r="E930" s="9"/>
      <c r="F930" s="9"/>
      <c r="G930" s="9"/>
      <c r="H930" s="9"/>
      <c r="I930" s="58"/>
      <c r="J930" s="9"/>
      <c r="K930" s="9"/>
      <c r="L930" s="9"/>
      <c r="M930" s="9"/>
      <c r="N930" s="9"/>
      <c r="O930" s="9"/>
      <c r="P930" s="9"/>
      <c r="Q930" s="9"/>
      <c r="R930" s="9"/>
      <c r="S930" s="9"/>
      <c r="T930" s="9"/>
      <c r="U930" s="9"/>
      <c r="V930" s="9"/>
      <c r="W930" s="9"/>
      <c r="X930" s="9"/>
      <c r="Y930" s="9"/>
      <c r="Z930" s="9"/>
      <c r="AA930" s="9"/>
      <c r="AB930" s="9"/>
      <c r="AC930" s="9"/>
      <c r="AD930" s="9"/>
      <c r="AE930" s="9"/>
      <c r="AF930" s="9"/>
    </row>
    <row r="931" spans="1:32" ht="54.95" customHeight="1" x14ac:dyDescent="0.2">
      <c r="A931" s="56"/>
      <c r="B931" s="9"/>
      <c r="C931" s="9"/>
      <c r="D931" s="9"/>
      <c r="E931" s="9"/>
      <c r="F931" s="9"/>
      <c r="G931" s="9"/>
      <c r="H931" s="9"/>
      <c r="I931" s="58"/>
      <c r="J931" s="9"/>
      <c r="K931" s="9"/>
      <c r="L931" s="9"/>
      <c r="M931" s="9"/>
      <c r="N931" s="9"/>
      <c r="O931" s="9"/>
      <c r="P931" s="9"/>
      <c r="Q931" s="9"/>
      <c r="R931" s="9"/>
      <c r="S931" s="9"/>
      <c r="T931" s="9"/>
      <c r="U931" s="9"/>
      <c r="V931" s="9"/>
      <c r="W931" s="9"/>
      <c r="X931" s="9"/>
      <c r="Y931" s="9"/>
      <c r="Z931" s="9"/>
      <c r="AA931" s="9"/>
      <c r="AB931" s="9"/>
      <c r="AC931" s="9"/>
      <c r="AD931" s="9"/>
      <c r="AE931" s="9"/>
      <c r="AF931" s="9"/>
    </row>
    <row r="932" spans="1:32" ht="54.95" customHeight="1" x14ac:dyDescent="0.2">
      <c r="A932" s="56"/>
      <c r="B932" s="9"/>
      <c r="C932" s="9"/>
      <c r="D932" s="9"/>
      <c r="E932" s="9"/>
      <c r="F932" s="9"/>
      <c r="G932" s="9"/>
      <c r="H932" s="9"/>
      <c r="I932" s="58"/>
      <c r="J932" s="9"/>
      <c r="K932" s="9"/>
      <c r="L932" s="9"/>
      <c r="M932" s="9"/>
      <c r="N932" s="9"/>
      <c r="O932" s="9"/>
      <c r="P932" s="9"/>
      <c r="Q932" s="9"/>
      <c r="R932" s="9"/>
      <c r="S932" s="9"/>
      <c r="T932" s="9"/>
      <c r="U932" s="9"/>
      <c r="V932" s="9"/>
      <c r="W932" s="9"/>
      <c r="X932" s="9"/>
      <c r="Y932" s="9"/>
      <c r="Z932" s="9"/>
      <c r="AA932" s="9"/>
      <c r="AB932" s="9"/>
      <c r="AC932" s="9"/>
      <c r="AD932" s="9"/>
      <c r="AE932" s="9"/>
      <c r="AF932" s="9"/>
    </row>
    <row r="933" spans="1:32" ht="54.95" customHeight="1" x14ac:dyDescent="0.2">
      <c r="A933" s="56"/>
      <c r="B933" s="9"/>
      <c r="C933" s="9"/>
      <c r="D933" s="9"/>
      <c r="E933" s="9"/>
      <c r="F933" s="9"/>
      <c r="G933" s="9"/>
      <c r="H933" s="9"/>
      <c r="I933" s="58"/>
      <c r="J933" s="9"/>
      <c r="K933" s="9"/>
      <c r="L933" s="9"/>
      <c r="M933" s="9"/>
      <c r="N933" s="9"/>
      <c r="O933" s="9"/>
      <c r="P933" s="9"/>
      <c r="Q933" s="9"/>
      <c r="R933" s="9"/>
      <c r="S933" s="9"/>
      <c r="T933" s="9"/>
      <c r="U933" s="9"/>
      <c r="V933" s="9"/>
      <c r="W933" s="9"/>
      <c r="X933" s="9"/>
      <c r="Y933" s="9"/>
      <c r="Z933" s="9"/>
      <c r="AA933" s="9"/>
      <c r="AB933" s="9"/>
      <c r="AC933" s="9"/>
      <c r="AD933" s="9"/>
      <c r="AE933" s="9"/>
      <c r="AF933" s="9"/>
    </row>
    <row r="934" spans="1:32" ht="54.95" customHeight="1" x14ac:dyDescent="0.2">
      <c r="A934" s="56"/>
      <c r="B934" s="9"/>
      <c r="C934" s="9"/>
      <c r="D934" s="9"/>
      <c r="E934" s="9"/>
      <c r="F934" s="9"/>
      <c r="G934" s="9"/>
      <c r="H934" s="9"/>
      <c r="I934" s="58"/>
      <c r="J934" s="9"/>
      <c r="K934" s="9"/>
      <c r="L934" s="9"/>
      <c r="M934" s="9"/>
      <c r="N934" s="9"/>
      <c r="O934" s="9"/>
      <c r="P934" s="9"/>
      <c r="Q934" s="9"/>
      <c r="R934" s="9"/>
      <c r="S934" s="9"/>
      <c r="T934" s="9"/>
      <c r="U934" s="9"/>
      <c r="V934" s="9"/>
      <c r="W934" s="9"/>
      <c r="X934" s="9"/>
      <c r="Y934" s="9"/>
      <c r="Z934" s="9"/>
      <c r="AA934" s="9"/>
      <c r="AB934" s="9"/>
      <c r="AC934" s="9"/>
      <c r="AD934" s="9"/>
      <c r="AE934" s="9"/>
      <c r="AF934" s="9"/>
    </row>
    <row r="935" spans="1:32" ht="54.95" customHeight="1" x14ac:dyDescent="0.2">
      <c r="A935" s="56"/>
      <c r="B935" s="9"/>
      <c r="C935" s="9"/>
      <c r="D935" s="9"/>
      <c r="E935" s="9"/>
      <c r="F935" s="9"/>
      <c r="G935" s="9"/>
      <c r="H935" s="9"/>
      <c r="I935" s="58"/>
      <c r="J935" s="9"/>
      <c r="K935" s="9"/>
      <c r="L935" s="9"/>
      <c r="M935" s="9"/>
      <c r="N935" s="9"/>
      <c r="O935" s="9"/>
      <c r="P935" s="9"/>
      <c r="Q935" s="9"/>
      <c r="R935" s="9"/>
      <c r="S935" s="9"/>
      <c r="T935" s="9"/>
      <c r="U935" s="9"/>
      <c r="V935" s="9"/>
      <c r="W935" s="9"/>
      <c r="X935" s="9"/>
      <c r="Y935" s="9"/>
      <c r="Z935" s="9"/>
      <c r="AA935" s="9"/>
      <c r="AB935" s="9"/>
      <c r="AC935" s="9"/>
      <c r="AD935" s="9"/>
      <c r="AE935" s="9"/>
      <c r="AF935" s="9"/>
    </row>
    <row r="936" spans="1:32" ht="54.95" customHeight="1" x14ac:dyDescent="0.2">
      <c r="A936" s="56"/>
      <c r="B936" s="9"/>
      <c r="C936" s="9"/>
      <c r="D936" s="9"/>
      <c r="E936" s="9"/>
      <c r="F936" s="9"/>
      <c r="G936" s="9"/>
      <c r="H936" s="9"/>
      <c r="I936" s="58"/>
      <c r="J936" s="9"/>
      <c r="K936" s="9"/>
      <c r="L936" s="9"/>
      <c r="M936" s="9"/>
      <c r="N936" s="9"/>
      <c r="O936" s="9"/>
      <c r="P936" s="9"/>
      <c r="Q936" s="9"/>
      <c r="R936" s="9"/>
      <c r="S936" s="9"/>
      <c r="T936" s="9"/>
      <c r="U936" s="9"/>
      <c r="V936" s="9"/>
      <c r="W936" s="9"/>
      <c r="X936" s="9"/>
      <c r="Y936" s="9"/>
      <c r="Z936" s="9"/>
      <c r="AA936" s="9"/>
      <c r="AB936" s="9"/>
      <c r="AC936" s="9"/>
      <c r="AD936" s="9"/>
      <c r="AE936" s="9"/>
      <c r="AF936" s="9"/>
    </row>
    <row r="937" spans="1:32" ht="54.95" customHeight="1" x14ac:dyDescent="0.2">
      <c r="A937" s="56"/>
      <c r="B937" s="9"/>
      <c r="C937" s="9"/>
      <c r="D937" s="9"/>
      <c r="E937" s="9"/>
      <c r="F937" s="9"/>
      <c r="G937" s="9"/>
      <c r="H937" s="9"/>
      <c r="I937" s="58"/>
      <c r="J937" s="9"/>
      <c r="K937" s="9"/>
      <c r="L937" s="9"/>
      <c r="M937" s="9"/>
      <c r="N937" s="9"/>
      <c r="O937" s="9"/>
      <c r="P937" s="9"/>
      <c r="Q937" s="9"/>
      <c r="R937" s="9"/>
      <c r="S937" s="9"/>
      <c r="T937" s="9"/>
      <c r="U937" s="9"/>
      <c r="V937" s="9"/>
      <c r="W937" s="9"/>
      <c r="X937" s="9"/>
      <c r="Y937" s="9"/>
      <c r="Z937" s="9"/>
      <c r="AA937" s="9"/>
      <c r="AB937" s="9"/>
      <c r="AC937" s="9"/>
      <c r="AD937" s="9"/>
      <c r="AE937" s="9"/>
      <c r="AF937" s="9"/>
    </row>
    <row r="938" spans="1:32" ht="54.95" customHeight="1" x14ac:dyDescent="0.2">
      <c r="A938" s="56"/>
      <c r="B938" s="9"/>
      <c r="C938" s="9"/>
      <c r="D938" s="9"/>
      <c r="E938" s="9"/>
      <c r="F938" s="9"/>
      <c r="G938" s="9"/>
      <c r="H938" s="9"/>
      <c r="I938" s="58"/>
      <c r="J938" s="9"/>
      <c r="K938" s="9"/>
      <c r="L938" s="9"/>
      <c r="M938" s="9"/>
      <c r="N938" s="9"/>
      <c r="O938" s="9"/>
      <c r="P938" s="9"/>
      <c r="Q938" s="9"/>
      <c r="R938" s="9"/>
      <c r="S938" s="9"/>
      <c r="T938" s="9"/>
      <c r="U938" s="9"/>
      <c r="V938" s="9"/>
      <c r="W938" s="9"/>
      <c r="X938" s="9"/>
      <c r="Y938" s="9"/>
      <c r="Z938" s="9"/>
      <c r="AA938" s="9"/>
      <c r="AB938" s="9"/>
      <c r="AC938" s="9"/>
      <c r="AD938" s="9"/>
      <c r="AE938" s="9"/>
      <c r="AF938" s="9"/>
    </row>
    <row r="939" spans="1:32" ht="54.95" customHeight="1" x14ac:dyDescent="0.2">
      <c r="A939" s="56"/>
      <c r="B939" s="9"/>
      <c r="C939" s="9"/>
      <c r="D939" s="9"/>
      <c r="E939" s="9"/>
      <c r="F939" s="9"/>
      <c r="G939" s="9"/>
      <c r="H939" s="9"/>
      <c r="I939" s="58"/>
      <c r="J939" s="9"/>
      <c r="K939" s="9"/>
      <c r="L939" s="9"/>
      <c r="M939" s="9"/>
      <c r="N939" s="9"/>
      <c r="O939" s="9"/>
      <c r="P939" s="9"/>
      <c r="Q939" s="9"/>
      <c r="R939" s="9"/>
      <c r="S939" s="9"/>
      <c r="T939" s="9"/>
      <c r="U939" s="9"/>
      <c r="V939" s="9"/>
      <c r="W939" s="9"/>
      <c r="X939" s="9"/>
      <c r="Y939" s="9"/>
      <c r="Z939" s="9"/>
      <c r="AA939" s="9"/>
      <c r="AB939" s="9"/>
      <c r="AC939" s="9"/>
      <c r="AD939" s="9"/>
      <c r="AE939" s="9"/>
      <c r="AF939" s="9"/>
    </row>
    <row r="940" spans="1:32" ht="54.95" customHeight="1" x14ac:dyDescent="0.2">
      <c r="A940" s="56"/>
      <c r="B940" s="9"/>
      <c r="C940" s="9"/>
      <c r="D940" s="9"/>
      <c r="E940" s="9"/>
      <c r="F940" s="9"/>
      <c r="G940" s="9"/>
      <c r="H940" s="9"/>
      <c r="I940" s="58"/>
      <c r="J940" s="9"/>
      <c r="K940" s="9"/>
      <c r="L940" s="9"/>
      <c r="M940" s="9"/>
      <c r="N940" s="9"/>
      <c r="O940" s="9"/>
      <c r="P940" s="9"/>
      <c r="Q940" s="9"/>
      <c r="R940" s="9"/>
      <c r="S940" s="9"/>
      <c r="T940" s="9"/>
      <c r="U940" s="9"/>
      <c r="V940" s="9"/>
      <c r="W940" s="9"/>
      <c r="X940" s="9"/>
      <c r="Y940" s="9"/>
      <c r="Z940" s="9"/>
      <c r="AA940" s="9"/>
      <c r="AB940" s="9"/>
      <c r="AC940" s="9"/>
      <c r="AD940" s="9"/>
      <c r="AE940" s="9"/>
      <c r="AF940" s="9"/>
    </row>
    <row r="941" spans="1:32" ht="54.95" customHeight="1" x14ac:dyDescent="0.2">
      <c r="A941" s="56"/>
      <c r="B941" s="9"/>
      <c r="C941" s="9"/>
      <c r="D941" s="9"/>
      <c r="E941" s="9"/>
      <c r="F941" s="9"/>
      <c r="G941" s="9"/>
      <c r="H941" s="9"/>
      <c r="I941" s="58"/>
      <c r="J941" s="9"/>
      <c r="K941" s="9"/>
      <c r="L941" s="9"/>
      <c r="M941" s="9"/>
      <c r="N941" s="9"/>
      <c r="O941" s="9"/>
      <c r="P941" s="9"/>
      <c r="Q941" s="9"/>
      <c r="R941" s="9"/>
      <c r="S941" s="9"/>
      <c r="T941" s="9"/>
      <c r="U941" s="9"/>
      <c r="V941" s="9"/>
      <c r="W941" s="9"/>
      <c r="X941" s="9"/>
      <c r="Y941" s="9"/>
      <c r="Z941" s="9"/>
      <c r="AA941" s="9"/>
      <c r="AB941" s="9"/>
      <c r="AC941" s="9"/>
      <c r="AD941" s="9"/>
      <c r="AE941" s="9"/>
      <c r="AF941" s="9"/>
    </row>
    <row r="942" spans="1:32" ht="54.95" customHeight="1" x14ac:dyDescent="0.2">
      <c r="A942" s="56"/>
      <c r="B942" s="9"/>
      <c r="C942" s="9"/>
      <c r="D942" s="9"/>
      <c r="E942" s="9"/>
      <c r="F942" s="9"/>
      <c r="G942" s="9"/>
      <c r="H942" s="9"/>
      <c r="I942" s="58"/>
      <c r="J942" s="9"/>
      <c r="K942" s="9"/>
      <c r="L942" s="9"/>
      <c r="M942" s="9"/>
      <c r="N942" s="9"/>
      <c r="O942" s="9"/>
      <c r="P942" s="9"/>
      <c r="Q942" s="9"/>
      <c r="R942" s="9"/>
      <c r="S942" s="9"/>
      <c r="T942" s="9"/>
      <c r="U942" s="9"/>
      <c r="V942" s="9"/>
      <c r="W942" s="9"/>
      <c r="X942" s="9"/>
      <c r="Y942" s="9"/>
      <c r="Z942" s="9"/>
      <c r="AA942" s="9"/>
      <c r="AB942" s="9"/>
      <c r="AC942" s="9"/>
      <c r="AD942" s="9"/>
      <c r="AE942" s="9"/>
      <c r="AF942" s="9"/>
    </row>
    <row r="943" spans="1:32" ht="54.95" customHeight="1" x14ac:dyDescent="0.2">
      <c r="A943" s="56"/>
      <c r="B943" s="9"/>
      <c r="C943" s="9"/>
      <c r="D943" s="9"/>
      <c r="E943" s="9"/>
      <c r="F943" s="9"/>
      <c r="G943" s="9"/>
      <c r="H943" s="9"/>
      <c r="I943" s="58"/>
      <c r="J943" s="9"/>
      <c r="K943" s="9"/>
      <c r="L943" s="9"/>
      <c r="M943" s="9"/>
      <c r="N943" s="9"/>
      <c r="O943" s="9"/>
      <c r="P943" s="9"/>
      <c r="Q943" s="9"/>
      <c r="R943" s="9"/>
      <c r="S943" s="9"/>
      <c r="T943" s="9"/>
      <c r="U943" s="9"/>
      <c r="V943" s="9"/>
      <c r="W943" s="9"/>
      <c r="X943" s="9"/>
      <c r="Y943" s="9"/>
      <c r="Z943" s="9"/>
      <c r="AA943" s="9"/>
      <c r="AB943" s="9"/>
      <c r="AC943" s="9"/>
      <c r="AD943" s="9"/>
      <c r="AE943" s="9"/>
      <c r="AF943" s="9"/>
    </row>
    <row r="944" spans="1:32" ht="54.95" customHeight="1" x14ac:dyDescent="0.2">
      <c r="A944" s="56"/>
      <c r="B944" s="9"/>
      <c r="C944" s="9"/>
      <c r="D944" s="9"/>
      <c r="E944" s="9"/>
      <c r="F944" s="9"/>
      <c r="G944" s="9"/>
      <c r="H944" s="9"/>
      <c r="I944" s="58"/>
      <c r="J944" s="9"/>
      <c r="K944" s="9"/>
      <c r="L944" s="9"/>
      <c r="M944" s="9"/>
      <c r="N944" s="9"/>
      <c r="O944" s="9"/>
      <c r="P944" s="9"/>
      <c r="Q944" s="9"/>
      <c r="R944" s="9"/>
      <c r="S944" s="9"/>
      <c r="T944" s="9"/>
      <c r="U944" s="9"/>
      <c r="V944" s="9"/>
      <c r="W944" s="9"/>
      <c r="X944" s="9"/>
      <c r="Y944" s="9"/>
      <c r="Z944" s="9"/>
      <c r="AA944" s="9"/>
      <c r="AB944" s="9"/>
      <c r="AC944" s="9"/>
      <c r="AD944" s="9"/>
      <c r="AE944" s="9"/>
      <c r="AF944" s="9"/>
    </row>
    <row r="945" spans="1:32" ht="54.95" customHeight="1" x14ac:dyDescent="0.2">
      <c r="A945" s="56"/>
      <c r="B945" s="9"/>
      <c r="C945" s="9"/>
      <c r="D945" s="9"/>
      <c r="E945" s="9"/>
      <c r="F945" s="9"/>
      <c r="G945" s="9"/>
      <c r="H945" s="9"/>
      <c r="I945" s="58"/>
      <c r="J945" s="9"/>
      <c r="K945" s="9"/>
      <c r="L945" s="9"/>
      <c r="M945" s="9"/>
      <c r="N945" s="9"/>
      <c r="O945" s="9"/>
      <c r="P945" s="9"/>
      <c r="Q945" s="9"/>
      <c r="R945" s="9"/>
      <c r="S945" s="9"/>
      <c r="T945" s="9"/>
      <c r="U945" s="9"/>
      <c r="V945" s="9"/>
      <c r="W945" s="9"/>
      <c r="X945" s="9"/>
      <c r="Y945" s="9"/>
      <c r="Z945" s="9"/>
      <c r="AA945" s="9"/>
      <c r="AB945" s="9"/>
      <c r="AC945" s="9"/>
      <c r="AD945" s="9"/>
      <c r="AE945" s="9"/>
      <c r="AF945" s="9"/>
    </row>
    <row r="946" spans="1:32" ht="54.95" customHeight="1" x14ac:dyDescent="0.2">
      <c r="A946" s="56"/>
      <c r="B946" s="9"/>
      <c r="C946" s="9"/>
      <c r="D946" s="9"/>
      <c r="E946" s="9"/>
      <c r="F946" s="9"/>
      <c r="G946" s="9"/>
      <c r="H946" s="9"/>
      <c r="I946" s="58"/>
      <c r="J946" s="9"/>
      <c r="K946" s="9"/>
      <c r="L946" s="9"/>
      <c r="M946" s="9"/>
      <c r="N946" s="9"/>
      <c r="O946" s="9"/>
      <c r="P946" s="9"/>
      <c r="Q946" s="9"/>
      <c r="R946" s="9"/>
      <c r="S946" s="9"/>
      <c r="T946" s="9"/>
      <c r="U946" s="9"/>
      <c r="V946" s="9"/>
      <c r="W946" s="9"/>
      <c r="X946" s="9"/>
      <c r="Y946" s="9"/>
      <c r="Z946" s="9"/>
      <c r="AA946" s="9"/>
      <c r="AB946" s="9"/>
      <c r="AC946" s="9"/>
      <c r="AD946" s="9"/>
      <c r="AE946" s="9"/>
      <c r="AF946" s="9"/>
    </row>
    <row r="947" spans="1:32" ht="54.95" customHeight="1" x14ac:dyDescent="0.2">
      <c r="A947" s="56"/>
      <c r="B947" s="9"/>
      <c r="C947" s="9"/>
      <c r="D947" s="9"/>
      <c r="E947" s="9"/>
      <c r="F947" s="9"/>
      <c r="G947" s="9"/>
      <c r="H947" s="9"/>
      <c r="I947" s="58"/>
      <c r="J947" s="9"/>
      <c r="K947" s="9"/>
      <c r="L947" s="9"/>
      <c r="M947" s="9"/>
      <c r="N947" s="9"/>
      <c r="O947" s="9"/>
      <c r="P947" s="9"/>
      <c r="Q947" s="9"/>
      <c r="R947" s="9"/>
      <c r="S947" s="9"/>
      <c r="T947" s="9"/>
      <c r="U947" s="9"/>
      <c r="V947" s="9"/>
      <c r="W947" s="9"/>
      <c r="X947" s="9"/>
      <c r="Y947" s="9"/>
      <c r="Z947" s="9"/>
      <c r="AA947" s="9"/>
      <c r="AB947" s="9"/>
      <c r="AC947" s="9"/>
      <c r="AD947" s="9"/>
      <c r="AE947" s="9"/>
      <c r="AF947" s="9"/>
    </row>
    <row r="948" spans="1:32" ht="54.95" customHeight="1" x14ac:dyDescent="0.2">
      <c r="A948" s="56"/>
      <c r="B948" s="9"/>
      <c r="C948" s="9"/>
      <c r="D948" s="9"/>
      <c r="E948" s="9"/>
      <c r="F948" s="9"/>
      <c r="G948" s="9"/>
      <c r="H948" s="9"/>
      <c r="I948" s="58"/>
      <c r="J948" s="9"/>
      <c r="K948" s="9"/>
      <c r="L948" s="9"/>
      <c r="M948" s="9"/>
      <c r="N948" s="9"/>
      <c r="O948" s="9"/>
      <c r="P948" s="9"/>
      <c r="Q948" s="9"/>
      <c r="R948" s="9"/>
      <c r="S948" s="9"/>
      <c r="T948" s="9"/>
      <c r="U948" s="9"/>
      <c r="V948" s="9"/>
      <c r="W948" s="9"/>
      <c r="X948" s="9"/>
      <c r="Y948" s="9"/>
      <c r="Z948" s="9"/>
      <c r="AA948" s="9"/>
      <c r="AB948" s="9"/>
      <c r="AC948" s="9"/>
      <c r="AD948" s="9"/>
      <c r="AE948" s="9"/>
      <c r="AF948" s="9"/>
    </row>
    <row r="949" spans="1:32" ht="54.95" customHeight="1" x14ac:dyDescent="0.2">
      <c r="A949" s="56"/>
      <c r="B949" s="9"/>
      <c r="C949" s="9"/>
      <c r="D949" s="9"/>
      <c r="E949" s="9"/>
      <c r="F949" s="9"/>
      <c r="G949" s="9"/>
      <c r="H949" s="9"/>
      <c r="I949" s="58"/>
      <c r="J949" s="9"/>
      <c r="K949" s="9"/>
      <c r="L949" s="9"/>
      <c r="M949" s="9"/>
      <c r="N949" s="9"/>
      <c r="O949" s="9"/>
      <c r="P949" s="9"/>
      <c r="Q949" s="9"/>
      <c r="R949" s="9"/>
      <c r="S949" s="9"/>
      <c r="T949" s="9"/>
      <c r="U949" s="9"/>
      <c r="V949" s="9"/>
      <c r="W949" s="9"/>
      <c r="X949" s="9"/>
      <c r="Y949" s="9"/>
      <c r="Z949" s="9"/>
      <c r="AA949" s="9"/>
      <c r="AB949" s="9"/>
      <c r="AC949" s="9"/>
      <c r="AD949" s="9"/>
      <c r="AE949" s="9"/>
      <c r="AF949" s="9"/>
    </row>
    <row r="950" spans="1:32" ht="54.95" customHeight="1" x14ac:dyDescent="0.2">
      <c r="A950" s="56"/>
      <c r="B950" s="9"/>
      <c r="C950" s="9"/>
      <c r="D950" s="9"/>
      <c r="E950" s="9"/>
      <c r="F950" s="9"/>
      <c r="G950" s="9"/>
      <c r="H950" s="9"/>
      <c r="I950" s="58"/>
      <c r="J950" s="9"/>
      <c r="K950" s="9"/>
      <c r="L950" s="9"/>
      <c r="M950" s="9"/>
      <c r="N950" s="9"/>
      <c r="O950" s="9"/>
      <c r="P950" s="9"/>
      <c r="Q950" s="9"/>
      <c r="R950" s="9"/>
      <c r="S950" s="9"/>
      <c r="T950" s="9"/>
      <c r="U950" s="9"/>
      <c r="V950" s="9"/>
      <c r="W950" s="9"/>
      <c r="X950" s="9"/>
      <c r="Y950" s="9"/>
      <c r="Z950" s="9"/>
      <c r="AA950" s="9"/>
      <c r="AB950" s="9"/>
      <c r="AC950" s="9"/>
      <c r="AD950" s="9"/>
      <c r="AE950" s="9"/>
      <c r="AF950" s="9"/>
    </row>
    <row r="951" spans="1:32" ht="54.95" customHeight="1" x14ac:dyDescent="0.2">
      <c r="A951" s="56"/>
      <c r="B951" s="9"/>
      <c r="C951" s="9"/>
      <c r="D951" s="9"/>
      <c r="E951" s="9"/>
      <c r="F951" s="9"/>
      <c r="G951" s="9"/>
      <c r="H951" s="9"/>
      <c r="I951" s="58"/>
      <c r="J951" s="9"/>
      <c r="K951" s="9"/>
      <c r="L951" s="9"/>
      <c r="M951" s="9"/>
      <c r="N951" s="9"/>
      <c r="O951" s="9"/>
      <c r="P951" s="9"/>
      <c r="Q951" s="9"/>
      <c r="R951" s="9"/>
      <c r="S951" s="9"/>
      <c r="T951" s="9"/>
      <c r="U951" s="9"/>
      <c r="V951" s="9"/>
      <c r="W951" s="9"/>
      <c r="X951" s="9"/>
      <c r="Y951" s="9"/>
      <c r="Z951" s="9"/>
      <c r="AA951" s="9"/>
      <c r="AB951" s="9"/>
      <c r="AC951" s="9"/>
      <c r="AD951" s="9"/>
      <c r="AE951" s="9"/>
      <c r="AF951" s="9"/>
    </row>
    <row r="952" spans="1:32" ht="54.95" customHeight="1" x14ac:dyDescent="0.2">
      <c r="A952" s="56"/>
      <c r="B952" s="9"/>
      <c r="C952" s="9"/>
      <c r="D952" s="9"/>
      <c r="E952" s="9"/>
      <c r="F952" s="9"/>
      <c r="G952" s="9"/>
      <c r="H952" s="9"/>
      <c r="I952" s="58"/>
      <c r="J952" s="9"/>
      <c r="K952" s="9"/>
      <c r="L952" s="9"/>
      <c r="M952" s="9"/>
      <c r="N952" s="9"/>
      <c r="O952" s="9"/>
      <c r="P952" s="9"/>
      <c r="Q952" s="9"/>
      <c r="R952" s="9"/>
      <c r="S952" s="9"/>
      <c r="T952" s="9"/>
      <c r="U952" s="9"/>
      <c r="V952" s="9"/>
      <c r="W952" s="9"/>
      <c r="X952" s="9"/>
      <c r="Y952" s="9"/>
      <c r="Z952" s="9"/>
      <c r="AA952" s="9"/>
      <c r="AB952" s="9"/>
      <c r="AC952" s="9"/>
      <c r="AD952" s="9"/>
      <c r="AE952" s="9"/>
      <c r="AF952" s="9"/>
    </row>
    <row r="953" spans="1:32" ht="54.95" customHeight="1" x14ac:dyDescent="0.2">
      <c r="A953" s="56"/>
      <c r="B953" s="9"/>
      <c r="C953" s="9"/>
      <c r="D953" s="9"/>
      <c r="E953" s="9"/>
      <c r="F953" s="9"/>
      <c r="G953" s="9"/>
      <c r="H953" s="9"/>
      <c r="I953" s="58"/>
      <c r="J953" s="9"/>
      <c r="K953" s="9"/>
      <c r="L953" s="9"/>
      <c r="M953" s="9"/>
      <c r="N953" s="9"/>
      <c r="O953" s="9"/>
      <c r="P953" s="9"/>
      <c r="Q953" s="9"/>
      <c r="R953" s="9"/>
      <c r="S953" s="9"/>
      <c r="T953" s="9"/>
      <c r="U953" s="9"/>
      <c r="V953" s="9"/>
      <c r="W953" s="9"/>
      <c r="X953" s="9"/>
      <c r="Y953" s="9"/>
      <c r="Z953" s="9"/>
      <c r="AA953" s="9"/>
      <c r="AB953" s="9"/>
      <c r="AC953" s="9"/>
      <c r="AD953" s="9"/>
      <c r="AE953" s="9"/>
      <c r="AF953" s="9"/>
    </row>
    <row r="954" spans="1:32" ht="54.95" customHeight="1" x14ac:dyDescent="0.2">
      <c r="A954" s="56"/>
      <c r="B954" s="9"/>
      <c r="C954" s="9"/>
      <c r="D954" s="9"/>
      <c r="E954" s="9"/>
      <c r="F954" s="9"/>
      <c r="G954" s="9"/>
      <c r="H954" s="9"/>
      <c r="I954" s="58"/>
      <c r="J954" s="9"/>
      <c r="K954" s="9"/>
      <c r="L954" s="9"/>
      <c r="M954" s="9"/>
      <c r="N954" s="9"/>
      <c r="O954" s="9"/>
      <c r="P954" s="9"/>
      <c r="Q954" s="9"/>
      <c r="R954" s="9"/>
      <c r="S954" s="9"/>
      <c r="T954" s="9"/>
      <c r="U954" s="9"/>
      <c r="V954" s="9"/>
      <c r="W954" s="9"/>
      <c r="X954" s="9"/>
      <c r="Y954" s="9"/>
      <c r="Z954" s="9"/>
      <c r="AA954" s="9"/>
      <c r="AB954" s="9"/>
      <c r="AC954" s="9"/>
      <c r="AD954" s="9"/>
      <c r="AE954" s="9"/>
      <c r="AF954" s="9"/>
    </row>
    <row r="955" spans="1:32" ht="54.95" customHeight="1" x14ac:dyDescent="0.2">
      <c r="A955" s="56"/>
      <c r="B955" s="9"/>
      <c r="C955" s="9"/>
      <c r="D955" s="9"/>
      <c r="E955" s="9"/>
      <c r="F955" s="9"/>
      <c r="G955" s="9"/>
      <c r="H955" s="9"/>
      <c r="I955" s="58"/>
      <c r="J955" s="9"/>
      <c r="K955" s="9"/>
      <c r="L955" s="9"/>
      <c r="M955" s="9"/>
      <c r="N955" s="9"/>
      <c r="O955" s="9"/>
      <c r="P955" s="9"/>
      <c r="Q955" s="9"/>
      <c r="R955" s="9"/>
      <c r="S955" s="9"/>
      <c r="T955" s="9"/>
      <c r="U955" s="9"/>
      <c r="V955" s="9"/>
      <c r="W955" s="9"/>
      <c r="X955" s="9"/>
      <c r="Y955" s="9"/>
      <c r="Z955" s="9"/>
      <c r="AA955" s="9"/>
      <c r="AB955" s="9"/>
      <c r="AC955" s="9"/>
      <c r="AD955" s="9"/>
      <c r="AE955" s="9"/>
      <c r="AF955" s="9"/>
    </row>
    <row r="956" spans="1:32" ht="54.95" customHeight="1" x14ac:dyDescent="0.2">
      <c r="A956" s="56"/>
      <c r="B956" s="9"/>
      <c r="C956" s="9"/>
      <c r="D956" s="9"/>
      <c r="E956" s="9"/>
      <c r="F956" s="9"/>
      <c r="G956" s="9"/>
      <c r="H956" s="9"/>
      <c r="I956" s="58"/>
      <c r="J956" s="9"/>
      <c r="K956" s="9"/>
      <c r="L956" s="9"/>
      <c r="M956" s="9"/>
      <c r="N956" s="9"/>
      <c r="O956" s="9"/>
      <c r="P956" s="9"/>
      <c r="Q956" s="9"/>
      <c r="R956" s="9"/>
      <c r="S956" s="9"/>
      <c r="T956" s="9"/>
      <c r="U956" s="9"/>
      <c r="V956" s="9"/>
      <c r="W956" s="9"/>
      <c r="X956" s="9"/>
      <c r="Y956" s="9"/>
      <c r="Z956" s="9"/>
      <c r="AA956" s="9"/>
      <c r="AB956" s="9"/>
      <c r="AC956" s="9"/>
      <c r="AD956" s="9"/>
      <c r="AE956" s="9"/>
      <c r="AF956" s="9"/>
    </row>
    <row r="957" spans="1:32" ht="54.95" customHeight="1" x14ac:dyDescent="0.2">
      <c r="A957" s="56"/>
      <c r="B957" s="9"/>
      <c r="C957" s="9"/>
      <c r="D957" s="9"/>
      <c r="E957" s="9"/>
      <c r="F957" s="9"/>
      <c r="G957" s="9"/>
      <c r="H957" s="9"/>
      <c r="I957" s="58"/>
      <c r="J957" s="9"/>
      <c r="K957" s="9"/>
      <c r="L957" s="9"/>
      <c r="M957" s="9"/>
      <c r="N957" s="9"/>
      <c r="O957" s="9"/>
      <c r="P957" s="9"/>
      <c r="Q957" s="9"/>
      <c r="R957" s="9"/>
      <c r="S957" s="9"/>
      <c r="T957" s="9"/>
      <c r="U957" s="9"/>
      <c r="V957" s="9"/>
      <c r="W957" s="9"/>
      <c r="X957" s="9"/>
      <c r="Y957" s="9"/>
      <c r="Z957" s="9"/>
      <c r="AA957" s="9"/>
      <c r="AB957" s="9"/>
      <c r="AC957" s="9"/>
      <c r="AD957" s="9"/>
      <c r="AE957" s="9"/>
      <c r="AF957" s="9"/>
    </row>
    <row r="958" spans="1:32" ht="54.95" customHeight="1" x14ac:dyDescent="0.2">
      <c r="A958" s="56"/>
      <c r="B958" s="9"/>
      <c r="C958" s="9"/>
      <c r="D958" s="9"/>
      <c r="E958" s="9"/>
      <c r="F958" s="9"/>
      <c r="G958" s="9"/>
      <c r="H958" s="9"/>
      <c r="I958" s="58"/>
      <c r="J958" s="9"/>
      <c r="K958" s="9"/>
      <c r="L958" s="9"/>
      <c r="M958" s="9"/>
      <c r="N958" s="9"/>
      <c r="O958" s="9"/>
      <c r="P958" s="9"/>
      <c r="Q958" s="9"/>
      <c r="R958" s="9"/>
      <c r="S958" s="9"/>
      <c r="T958" s="9"/>
      <c r="U958" s="9"/>
      <c r="V958" s="9"/>
      <c r="W958" s="9"/>
      <c r="X958" s="9"/>
      <c r="Y958" s="9"/>
      <c r="Z958" s="9"/>
      <c r="AA958" s="9"/>
      <c r="AB958" s="9"/>
      <c r="AC958" s="9"/>
      <c r="AD958" s="9"/>
      <c r="AE958" s="9"/>
      <c r="AF958" s="9"/>
    </row>
    <row r="959" spans="1:32" ht="54.95" customHeight="1" x14ac:dyDescent="0.2">
      <c r="A959" s="56"/>
      <c r="B959" s="9"/>
      <c r="C959" s="9"/>
      <c r="D959" s="9"/>
      <c r="E959" s="9"/>
      <c r="F959" s="9"/>
      <c r="G959" s="9"/>
      <c r="H959" s="9"/>
      <c r="I959" s="58"/>
      <c r="J959" s="9"/>
      <c r="K959" s="9"/>
      <c r="L959" s="9"/>
      <c r="M959" s="9"/>
      <c r="N959" s="9"/>
      <c r="O959" s="9"/>
      <c r="P959" s="9"/>
      <c r="Q959" s="9"/>
      <c r="R959" s="9"/>
      <c r="S959" s="9"/>
      <c r="T959" s="9"/>
      <c r="U959" s="9"/>
      <c r="V959" s="9"/>
      <c r="W959" s="9"/>
      <c r="X959" s="9"/>
      <c r="Y959" s="9"/>
      <c r="Z959" s="9"/>
      <c r="AA959" s="9"/>
      <c r="AB959" s="9"/>
      <c r="AC959" s="9"/>
      <c r="AD959" s="9"/>
      <c r="AE959" s="9"/>
      <c r="AF959" s="9"/>
    </row>
    <row r="960" spans="1:32" ht="54.95" customHeight="1" x14ac:dyDescent="0.2">
      <c r="A960" s="56"/>
      <c r="B960" s="9"/>
      <c r="C960" s="9"/>
      <c r="D960" s="9"/>
      <c r="E960" s="9"/>
      <c r="F960" s="9"/>
      <c r="G960" s="9"/>
      <c r="H960" s="9"/>
      <c r="I960" s="58"/>
      <c r="J960" s="9"/>
      <c r="K960" s="9"/>
      <c r="L960" s="9"/>
      <c r="M960" s="9"/>
      <c r="N960" s="9"/>
      <c r="O960" s="9"/>
      <c r="P960" s="9"/>
      <c r="Q960" s="9"/>
      <c r="R960" s="9"/>
      <c r="S960" s="9"/>
      <c r="T960" s="9"/>
      <c r="U960" s="9"/>
      <c r="V960" s="9"/>
      <c r="W960" s="9"/>
      <c r="X960" s="9"/>
      <c r="Y960" s="9"/>
      <c r="Z960" s="9"/>
      <c r="AA960" s="9"/>
      <c r="AB960" s="9"/>
      <c r="AC960" s="9"/>
      <c r="AD960" s="9"/>
      <c r="AE960" s="9"/>
      <c r="AF960" s="9"/>
    </row>
    <row r="961" spans="1:32" ht="54.95" customHeight="1" x14ac:dyDescent="0.2">
      <c r="A961" s="56"/>
      <c r="B961" s="9"/>
      <c r="C961" s="9"/>
      <c r="D961" s="9"/>
      <c r="E961" s="9"/>
      <c r="F961" s="9"/>
      <c r="G961" s="9"/>
      <c r="H961" s="9"/>
      <c r="I961" s="58"/>
      <c r="J961" s="9"/>
      <c r="K961" s="9"/>
      <c r="L961" s="9"/>
      <c r="M961" s="9"/>
      <c r="N961" s="9"/>
      <c r="O961" s="9"/>
      <c r="P961" s="9"/>
      <c r="Q961" s="9"/>
      <c r="R961" s="9"/>
      <c r="S961" s="9"/>
      <c r="T961" s="9"/>
      <c r="U961" s="9"/>
      <c r="V961" s="9"/>
      <c r="W961" s="9"/>
      <c r="X961" s="9"/>
      <c r="Y961" s="9"/>
      <c r="Z961" s="9"/>
      <c r="AA961" s="9"/>
      <c r="AB961" s="9"/>
      <c r="AC961" s="9"/>
      <c r="AD961" s="9"/>
      <c r="AE961" s="9"/>
      <c r="AF961" s="9"/>
    </row>
    <row r="962" spans="1:32" ht="54.95" customHeight="1" x14ac:dyDescent="0.2">
      <c r="A962" s="56"/>
      <c r="B962" s="9"/>
      <c r="C962" s="9"/>
      <c r="D962" s="9"/>
      <c r="E962" s="9"/>
      <c r="F962" s="9"/>
      <c r="G962" s="9"/>
      <c r="H962" s="9"/>
      <c r="I962" s="58"/>
      <c r="J962" s="9"/>
      <c r="K962" s="9"/>
      <c r="L962" s="9"/>
      <c r="M962" s="9"/>
      <c r="N962" s="9"/>
      <c r="O962" s="9"/>
      <c r="P962" s="9"/>
      <c r="Q962" s="9"/>
      <c r="R962" s="9"/>
      <c r="S962" s="9"/>
      <c r="T962" s="9"/>
      <c r="U962" s="9"/>
      <c r="V962" s="9"/>
      <c r="W962" s="9"/>
      <c r="X962" s="9"/>
      <c r="Y962" s="9"/>
      <c r="Z962" s="9"/>
      <c r="AA962" s="9"/>
      <c r="AB962" s="9"/>
      <c r="AC962" s="9"/>
      <c r="AD962" s="9"/>
      <c r="AE962" s="9"/>
      <c r="AF962" s="9"/>
    </row>
    <row r="963" spans="1:32" ht="54.95" customHeight="1" x14ac:dyDescent="0.2">
      <c r="A963" s="56"/>
      <c r="B963" s="9"/>
      <c r="C963" s="9"/>
      <c r="D963" s="9"/>
      <c r="E963" s="9"/>
      <c r="F963" s="9"/>
      <c r="G963" s="9"/>
      <c r="H963" s="9"/>
      <c r="I963" s="58"/>
      <c r="J963" s="9"/>
      <c r="K963" s="9"/>
      <c r="L963" s="9"/>
      <c r="M963" s="9"/>
      <c r="N963" s="9"/>
      <c r="O963" s="9"/>
      <c r="P963" s="9"/>
      <c r="Q963" s="9"/>
      <c r="R963" s="9"/>
      <c r="S963" s="9"/>
      <c r="T963" s="9"/>
      <c r="U963" s="9"/>
      <c r="V963" s="9"/>
      <c r="W963" s="9"/>
      <c r="X963" s="9"/>
      <c r="Y963" s="9"/>
      <c r="Z963" s="9"/>
      <c r="AA963" s="9"/>
      <c r="AB963" s="9"/>
      <c r="AC963" s="9"/>
      <c r="AD963" s="9"/>
      <c r="AE963" s="9"/>
      <c r="AF963" s="9"/>
    </row>
    <row r="964" spans="1:32" ht="54.95" customHeight="1" x14ac:dyDescent="0.2">
      <c r="A964" s="56"/>
      <c r="B964" s="9"/>
      <c r="C964" s="9"/>
      <c r="D964" s="9"/>
      <c r="E964" s="9"/>
      <c r="F964" s="9"/>
      <c r="G964" s="9"/>
      <c r="H964" s="9"/>
      <c r="I964" s="58"/>
      <c r="J964" s="9"/>
      <c r="K964" s="9"/>
      <c r="L964" s="9"/>
      <c r="M964" s="9"/>
      <c r="N964" s="9"/>
      <c r="O964" s="9"/>
      <c r="P964" s="9"/>
      <c r="Q964" s="9"/>
      <c r="R964" s="9"/>
      <c r="S964" s="9"/>
      <c r="T964" s="9"/>
      <c r="U964" s="9"/>
      <c r="V964" s="9"/>
      <c r="W964" s="9"/>
      <c r="X964" s="9"/>
      <c r="Y964" s="9"/>
      <c r="Z964" s="9"/>
      <c r="AA964" s="9"/>
      <c r="AB964" s="9"/>
      <c r="AC964" s="9"/>
      <c r="AD964" s="9"/>
      <c r="AE964" s="9"/>
      <c r="AF964" s="9"/>
    </row>
    <row r="965" spans="1:32" ht="54.95" customHeight="1" x14ac:dyDescent="0.2">
      <c r="A965" s="56"/>
      <c r="B965" s="9"/>
      <c r="C965" s="9"/>
      <c r="D965" s="9"/>
      <c r="E965" s="9"/>
      <c r="F965" s="9"/>
      <c r="G965" s="9"/>
      <c r="H965" s="9"/>
      <c r="I965" s="58"/>
      <c r="J965" s="9"/>
      <c r="K965" s="9"/>
      <c r="L965" s="9"/>
      <c r="M965" s="9"/>
      <c r="N965" s="9"/>
      <c r="O965" s="9"/>
      <c r="P965" s="9"/>
      <c r="Q965" s="9"/>
      <c r="R965" s="9"/>
      <c r="S965" s="9"/>
      <c r="T965" s="9"/>
      <c r="U965" s="9"/>
      <c r="V965" s="9"/>
      <c r="W965" s="9"/>
      <c r="X965" s="9"/>
      <c r="Y965" s="9"/>
      <c r="Z965" s="9"/>
      <c r="AA965" s="9"/>
      <c r="AB965" s="9"/>
      <c r="AC965" s="9"/>
      <c r="AD965" s="9"/>
      <c r="AE965" s="9"/>
      <c r="AF965" s="9"/>
    </row>
    <row r="966" spans="1:32" ht="54.95" customHeight="1" x14ac:dyDescent="0.2">
      <c r="A966" s="56"/>
      <c r="B966" s="9"/>
      <c r="C966" s="9"/>
      <c r="D966" s="9"/>
      <c r="E966" s="9"/>
      <c r="F966" s="9"/>
      <c r="G966" s="9"/>
      <c r="H966" s="9"/>
      <c r="I966" s="58"/>
      <c r="J966" s="9"/>
      <c r="K966" s="9"/>
      <c r="L966" s="9"/>
      <c r="M966" s="9"/>
      <c r="N966" s="9"/>
      <c r="O966" s="9"/>
      <c r="P966" s="9"/>
      <c r="Q966" s="9"/>
      <c r="R966" s="9"/>
      <c r="S966" s="9"/>
      <c r="T966" s="9"/>
      <c r="U966" s="9"/>
      <c r="V966" s="9"/>
      <c r="W966" s="9"/>
      <c r="X966" s="9"/>
      <c r="Y966" s="9"/>
      <c r="Z966" s="9"/>
      <c r="AA966" s="9"/>
      <c r="AB966" s="9"/>
      <c r="AC966" s="9"/>
      <c r="AD966" s="9"/>
      <c r="AE966" s="9"/>
      <c r="AF966" s="9"/>
    </row>
    <row r="967" spans="1:32" ht="54.95" customHeight="1" x14ac:dyDescent="0.2">
      <c r="A967" s="56"/>
      <c r="B967" s="9"/>
      <c r="C967" s="9"/>
      <c r="D967" s="9"/>
      <c r="E967" s="9"/>
      <c r="F967" s="9"/>
      <c r="G967" s="9"/>
      <c r="H967" s="9"/>
      <c r="I967" s="58"/>
      <c r="J967" s="9"/>
      <c r="K967" s="9"/>
      <c r="L967" s="9"/>
      <c r="M967" s="9"/>
      <c r="N967" s="9"/>
      <c r="O967" s="9"/>
      <c r="P967" s="9"/>
      <c r="Q967" s="9"/>
      <c r="R967" s="9"/>
      <c r="S967" s="9"/>
      <c r="T967" s="9"/>
      <c r="U967" s="9"/>
      <c r="V967" s="9"/>
      <c r="W967" s="9"/>
      <c r="X967" s="9"/>
      <c r="Y967" s="9"/>
      <c r="Z967" s="9"/>
      <c r="AA967" s="9"/>
      <c r="AB967" s="9"/>
      <c r="AC967" s="9"/>
      <c r="AD967" s="9"/>
      <c r="AE967" s="9"/>
      <c r="AF967" s="9"/>
    </row>
    <row r="968" spans="1:32" ht="54.95" customHeight="1" x14ac:dyDescent="0.2">
      <c r="A968" s="56"/>
      <c r="B968" s="9"/>
      <c r="C968" s="9"/>
      <c r="D968" s="9"/>
      <c r="E968" s="9"/>
      <c r="F968" s="9"/>
      <c r="G968" s="9"/>
      <c r="H968" s="9"/>
      <c r="I968" s="58"/>
      <c r="J968" s="9"/>
      <c r="K968" s="9"/>
      <c r="L968" s="9"/>
      <c r="M968" s="9"/>
      <c r="N968" s="9"/>
      <c r="O968" s="9"/>
      <c r="P968" s="9"/>
      <c r="Q968" s="9"/>
      <c r="R968" s="9"/>
      <c r="S968" s="9"/>
      <c r="T968" s="9"/>
      <c r="U968" s="9"/>
      <c r="V968" s="9"/>
      <c r="W968" s="9"/>
      <c r="X968" s="9"/>
      <c r="Y968" s="9"/>
      <c r="Z968" s="9"/>
      <c r="AA968" s="9"/>
      <c r="AB968" s="9"/>
      <c r="AC968" s="9"/>
      <c r="AD968" s="9"/>
      <c r="AE968" s="9"/>
      <c r="AF968" s="9"/>
    </row>
    <row r="969" spans="1:32" ht="54.95" customHeight="1" x14ac:dyDescent="0.2">
      <c r="A969" s="56"/>
      <c r="B969" s="9"/>
      <c r="C969" s="9"/>
      <c r="D969" s="9"/>
      <c r="E969" s="9"/>
      <c r="F969" s="9"/>
      <c r="G969" s="9"/>
      <c r="H969" s="9"/>
      <c r="I969" s="58"/>
      <c r="J969" s="9"/>
      <c r="K969" s="9"/>
      <c r="L969" s="9"/>
      <c r="M969" s="9"/>
      <c r="N969" s="9"/>
      <c r="O969" s="9"/>
      <c r="P969" s="9"/>
      <c r="Q969" s="9"/>
      <c r="R969" s="9"/>
      <c r="S969" s="9"/>
      <c r="T969" s="9"/>
      <c r="U969" s="9"/>
      <c r="V969" s="9"/>
      <c r="W969" s="9"/>
      <c r="X969" s="9"/>
      <c r="Y969" s="9"/>
      <c r="Z969" s="9"/>
      <c r="AA969" s="9"/>
      <c r="AB969" s="9"/>
      <c r="AC969" s="9"/>
      <c r="AD969" s="9"/>
      <c r="AE969" s="9"/>
      <c r="AF969" s="9"/>
    </row>
    <row r="970" spans="1:32" ht="54.95" customHeight="1" x14ac:dyDescent="0.2">
      <c r="A970" s="56"/>
      <c r="B970" s="9"/>
      <c r="C970" s="9"/>
      <c r="D970" s="9"/>
      <c r="E970" s="9"/>
      <c r="F970" s="9"/>
      <c r="G970" s="9"/>
      <c r="H970" s="9"/>
      <c r="I970" s="58"/>
      <c r="J970" s="9"/>
      <c r="K970" s="9"/>
      <c r="L970" s="9"/>
      <c r="M970" s="9"/>
      <c r="N970" s="9"/>
      <c r="O970" s="9"/>
      <c r="P970" s="9"/>
      <c r="Q970" s="9"/>
      <c r="R970" s="9"/>
      <c r="S970" s="9"/>
      <c r="T970" s="9"/>
      <c r="U970" s="9"/>
      <c r="V970" s="9"/>
      <c r="W970" s="9"/>
      <c r="X970" s="9"/>
      <c r="Y970" s="9"/>
      <c r="Z970" s="9"/>
      <c r="AA970" s="9"/>
      <c r="AB970" s="9"/>
      <c r="AC970" s="9"/>
      <c r="AD970" s="9"/>
      <c r="AE970" s="9"/>
      <c r="AF970" s="9"/>
    </row>
    <row r="971" spans="1:32" ht="54.95" customHeight="1" x14ac:dyDescent="0.2">
      <c r="A971" s="56"/>
      <c r="B971" s="9"/>
      <c r="C971" s="9"/>
      <c r="D971" s="9"/>
      <c r="E971" s="9"/>
      <c r="F971" s="9"/>
      <c r="G971" s="9"/>
      <c r="H971" s="9"/>
      <c r="I971" s="58"/>
      <c r="J971" s="9"/>
      <c r="K971" s="9"/>
      <c r="L971" s="9"/>
      <c r="M971" s="9"/>
      <c r="N971" s="9"/>
      <c r="O971" s="9"/>
      <c r="P971" s="9"/>
      <c r="Q971" s="9"/>
      <c r="R971" s="9"/>
      <c r="S971" s="9"/>
      <c r="T971" s="9"/>
      <c r="U971" s="9"/>
      <c r="V971" s="9"/>
      <c r="W971" s="9"/>
      <c r="X971" s="9"/>
      <c r="Y971" s="9"/>
      <c r="Z971" s="9"/>
      <c r="AA971" s="9"/>
      <c r="AB971" s="9"/>
      <c r="AC971" s="9"/>
      <c r="AD971" s="9"/>
      <c r="AE971" s="9"/>
      <c r="AF971" s="9"/>
    </row>
    <row r="972" spans="1:32" ht="54.95" customHeight="1" x14ac:dyDescent="0.2">
      <c r="A972" s="56"/>
      <c r="B972" s="9"/>
      <c r="C972" s="9"/>
      <c r="D972" s="9"/>
      <c r="E972" s="9"/>
      <c r="F972" s="9"/>
      <c r="G972" s="9"/>
      <c r="H972" s="9"/>
      <c r="I972" s="58"/>
      <c r="J972" s="9"/>
      <c r="K972" s="9"/>
      <c r="L972" s="9"/>
      <c r="M972" s="9"/>
      <c r="N972" s="9"/>
      <c r="O972" s="9"/>
      <c r="P972" s="9"/>
      <c r="Q972" s="9"/>
      <c r="R972" s="9"/>
      <c r="S972" s="9"/>
      <c r="T972" s="9"/>
      <c r="U972" s="9"/>
      <c r="V972" s="9"/>
      <c r="W972" s="9"/>
      <c r="X972" s="9"/>
      <c r="Y972" s="9"/>
      <c r="Z972" s="9"/>
      <c r="AA972" s="9"/>
      <c r="AB972" s="9"/>
      <c r="AC972" s="9"/>
      <c r="AD972" s="9"/>
      <c r="AE972" s="9"/>
      <c r="AF972" s="9"/>
    </row>
    <row r="973" spans="1:32" ht="54.95" customHeight="1" x14ac:dyDescent="0.2">
      <c r="A973" s="56"/>
      <c r="B973" s="9"/>
      <c r="C973" s="9"/>
      <c r="D973" s="9"/>
      <c r="E973" s="9"/>
      <c r="F973" s="9"/>
      <c r="G973" s="9"/>
      <c r="H973" s="9"/>
      <c r="I973" s="58"/>
      <c r="J973" s="9"/>
      <c r="K973" s="9"/>
      <c r="L973" s="9"/>
      <c r="M973" s="9"/>
      <c r="N973" s="9"/>
      <c r="O973" s="9"/>
      <c r="P973" s="9"/>
      <c r="Q973" s="9"/>
      <c r="R973" s="9"/>
      <c r="S973" s="9"/>
      <c r="T973" s="9"/>
      <c r="U973" s="9"/>
      <c r="V973" s="9"/>
      <c r="W973" s="9"/>
      <c r="X973" s="9"/>
      <c r="Y973" s="9"/>
      <c r="Z973" s="9"/>
      <c r="AA973" s="9"/>
      <c r="AB973" s="9"/>
      <c r="AC973" s="9"/>
      <c r="AD973" s="9"/>
      <c r="AE973" s="9"/>
      <c r="AF973" s="9"/>
    </row>
    <row r="974" spans="1:32" ht="54.95" customHeight="1" x14ac:dyDescent="0.2">
      <c r="A974" s="56"/>
      <c r="B974" s="9"/>
      <c r="C974" s="9"/>
      <c r="D974" s="9"/>
      <c r="E974" s="9"/>
      <c r="F974" s="9"/>
      <c r="G974" s="9"/>
      <c r="H974" s="9"/>
      <c r="I974" s="58"/>
      <c r="J974" s="9"/>
      <c r="K974" s="9"/>
      <c r="L974" s="9"/>
      <c r="M974" s="9"/>
      <c r="N974" s="9"/>
      <c r="O974" s="9"/>
      <c r="P974" s="9"/>
      <c r="Q974" s="9"/>
      <c r="R974" s="9"/>
      <c r="S974" s="9"/>
      <c r="T974" s="9"/>
      <c r="U974" s="9"/>
      <c r="V974" s="9"/>
      <c r="W974" s="9"/>
      <c r="X974" s="9"/>
      <c r="Y974" s="9"/>
      <c r="Z974" s="9"/>
      <c r="AA974" s="9"/>
      <c r="AB974" s="9"/>
      <c r="AC974" s="9"/>
      <c r="AD974" s="9"/>
      <c r="AE974" s="9"/>
      <c r="AF974" s="9"/>
    </row>
    <row r="975" spans="1:32" ht="54.95" customHeight="1" x14ac:dyDescent="0.2">
      <c r="A975" s="56"/>
      <c r="B975" s="9"/>
      <c r="C975" s="9"/>
      <c r="D975" s="9"/>
      <c r="E975" s="9"/>
      <c r="F975" s="9"/>
      <c r="G975" s="9"/>
      <c r="H975" s="9"/>
      <c r="I975" s="58"/>
      <c r="J975" s="9"/>
      <c r="K975" s="9"/>
      <c r="L975" s="9"/>
      <c r="M975" s="9"/>
      <c r="N975" s="9"/>
      <c r="O975" s="9"/>
      <c r="P975" s="9"/>
      <c r="Q975" s="9"/>
      <c r="R975" s="9"/>
      <c r="S975" s="9"/>
      <c r="T975" s="9"/>
      <c r="U975" s="9"/>
      <c r="V975" s="9"/>
      <c r="W975" s="9"/>
      <c r="X975" s="9"/>
      <c r="Y975" s="9"/>
      <c r="Z975" s="9"/>
      <c r="AA975" s="9"/>
      <c r="AB975" s="9"/>
      <c r="AC975" s="9"/>
      <c r="AD975" s="9"/>
      <c r="AE975" s="9"/>
      <c r="AF975" s="9"/>
    </row>
    <row r="976" spans="1:32" ht="54.95" customHeight="1" x14ac:dyDescent="0.2">
      <c r="A976" s="56"/>
      <c r="B976" s="9"/>
      <c r="C976" s="9"/>
      <c r="D976" s="9"/>
      <c r="E976" s="9"/>
      <c r="F976" s="9"/>
      <c r="G976" s="9"/>
      <c r="H976" s="9"/>
      <c r="I976" s="58"/>
      <c r="J976" s="9"/>
      <c r="K976" s="9"/>
      <c r="L976" s="9"/>
      <c r="M976" s="9"/>
      <c r="N976" s="9"/>
      <c r="O976" s="9"/>
      <c r="P976" s="9"/>
      <c r="Q976" s="9"/>
      <c r="R976" s="9"/>
      <c r="S976" s="9"/>
      <c r="T976" s="9"/>
      <c r="U976" s="9"/>
      <c r="V976" s="9"/>
      <c r="W976" s="9"/>
      <c r="X976" s="9"/>
      <c r="Y976" s="9"/>
      <c r="Z976" s="9"/>
      <c r="AA976" s="9"/>
      <c r="AB976" s="9"/>
      <c r="AC976" s="9"/>
      <c r="AD976" s="9"/>
      <c r="AE976" s="9"/>
      <c r="AF976" s="9"/>
    </row>
    <row r="977" spans="1:32" ht="54.95" customHeight="1" x14ac:dyDescent="0.2">
      <c r="A977" s="56"/>
      <c r="B977" s="9"/>
      <c r="C977" s="9"/>
      <c r="D977" s="9"/>
      <c r="E977" s="9"/>
      <c r="F977" s="9"/>
      <c r="G977" s="9"/>
      <c r="H977" s="9"/>
      <c r="I977" s="58"/>
      <c r="J977" s="9"/>
      <c r="K977" s="9"/>
      <c r="L977" s="9"/>
      <c r="M977" s="9"/>
      <c r="N977" s="9"/>
      <c r="O977" s="9"/>
      <c r="P977" s="9"/>
      <c r="Q977" s="9"/>
      <c r="R977" s="9"/>
      <c r="S977" s="9"/>
      <c r="T977" s="9"/>
      <c r="U977" s="9"/>
      <c r="V977" s="9"/>
      <c r="W977" s="9"/>
      <c r="X977" s="9"/>
      <c r="Y977" s="9"/>
      <c r="Z977" s="9"/>
      <c r="AA977" s="9"/>
      <c r="AB977" s="9"/>
      <c r="AC977" s="9"/>
      <c r="AD977" s="9"/>
      <c r="AE977" s="9"/>
      <c r="AF977" s="9"/>
    </row>
    <row r="978" spans="1:32" ht="54.95" customHeight="1" x14ac:dyDescent="0.2">
      <c r="A978" s="56"/>
      <c r="B978" s="9"/>
      <c r="C978" s="9"/>
      <c r="D978" s="9"/>
      <c r="E978" s="9"/>
      <c r="F978" s="9"/>
      <c r="G978" s="9"/>
      <c r="H978" s="9"/>
      <c r="I978" s="58"/>
      <c r="J978" s="9"/>
      <c r="K978" s="9"/>
      <c r="L978" s="9"/>
      <c r="M978" s="9"/>
      <c r="N978" s="9"/>
      <c r="O978" s="9"/>
      <c r="P978" s="9"/>
      <c r="Q978" s="9"/>
      <c r="R978" s="9"/>
      <c r="S978" s="9"/>
      <c r="T978" s="9"/>
      <c r="U978" s="9"/>
      <c r="V978" s="9"/>
      <c r="W978" s="9"/>
      <c r="X978" s="9"/>
      <c r="Y978" s="9"/>
      <c r="Z978" s="9"/>
      <c r="AA978" s="9"/>
      <c r="AB978" s="9"/>
      <c r="AC978" s="9"/>
      <c r="AD978" s="9"/>
      <c r="AE978" s="9"/>
      <c r="AF978" s="9"/>
    </row>
    <row r="979" spans="1:32" ht="54.95" customHeight="1" x14ac:dyDescent="0.2">
      <c r="A979" s="56"/>
      <c r="B979" s="9"/>
      <c r="C979" s="9"/>
      <c r="D979" s="9"/>
      <c r="E979" s="9"/>
      <c r="F979" s="9"/>
      <c r="G979" s="9"/>
      <c r="H979" s="9"/>
      <c r="I979" s="58"/>
      <c r="J979" s="9"/>
      <c r="K979" s="9"/>
      <c r="L979" s="9"/>
      <c r="M979" s="9"/>
      <c r="N979" s="9"/>
      <c r="O979" s="9"/>
      <c r="P979" s="9"/>
      <c r="Q979" s="9"/>
      <c r="R979" s="9"/>
      <c r="S979" s="9"/>
      <c r="T979" s="9"/>
      <c r="U979" s="9"/>
      <c r="V979" s="9"/>
      <c r="W979" s="9"/>
      <c r="X979" s="9"/>
      <c r="Y979" s="9"/>
      <c r="Z979" s="9"/>
      <c r="AA979" s="9"/>
      <c r="AB979" s="9"/>
      <c r="AC979" s="9"/>
      <c r="AD979" s="9"/>
      <c r="AE979" s="9"/>
      <c r="AF979" s="9"/>
    </row>
    <row r="980" spans="1:32" ht="54.95" customHeight="1" x14ac:dyDescent="0.2">
      <c r="A980" s="56"/>
      <c r="B980" s="9"/>
      <c r="C980" s="9"/>
      <c r="D980" s="9"/>
      <c r="E980" s="9"/>
      <c r="F980" s="9"/>
      <c r="G980" s="9"/>
      <c r="H980" s="9"/>
      <c r="I980" s="58"/>
      <c r="J980" s="9"/>
      <c r="K980" s="9"/>
      <c r="L980" s="9"/>
      <c r="M980" s="9"/>
      <c r="N980" s="9"/>
      <c r="O980" s="9"/>
      <c r="P980" s="9"/>
      <c r="Q980" s="9"/>
      <c r="R980" s="9"/>
      <c r="S980" s="9"/>
      <c r="T980" s="9"/>
      <c r="U980" s="9"/>
      <c r="V980" s="9"/>
      <c r="W980" s="9"/>
      <c r="X980" s="9"/>
      <c r="Y980" s="9"/>
      <c r="Z980" s="9"/>
      <c r="AA980" s="9"/>
      <c r="AB980" s="9"/>
      <c r="AC980" s="9"/>
      <c r="AD980" s="9"/>
      <c r="AE980" s="9"/>
      <c r="AF980" s="9"/>
    </row>
    <row r="981" spans="1:32" ht="54.95" customHeight="1" x14ac:dyDescent="0.2">
      <c r="A981" s="56"/>
      <c r="B981" s="9"/>
      <c r="C981" s="9"/>
      <c r="D981" s="9"/>
      <c r="E981" s="9"/>
      <c r="F981" s="9"/>
      <c r="G981" s="9"/>
      <c r="H981" s="9"/>
      <c r="I981" s="58"/>
      <c r="J981" s="9"/>
      <c r="K981" s="9"/>
      <c r="L981" s="9"/>
      <c r="M981" s="9"/>
      <c r="N981" s="9"/>
      <c r="O981" s="9"/>
      <c r="P981" s="9"/>
      <c r="Q981" s="9"/>
      <c r="R981" s="9"/>
      <c r="S981" s="9"/>
      <c r="T981" s="9"/>
      <c r="U981" s="9"/>
      <c r="V981" s="9"/>
      <c r="W981" s="9"/>
      <c r="X981" s="9"/>
      <c r="Y981" s="9"/>
      <c r="Z981" s="9"/>
      <c r="AA981" s="9"/>
      <c r="AB981" s="9"/>
      <c r="AC981" s="9"/>
      <c r="AD981" s="9"/>
      <c r="AE981" s="9"/>
      <c r="AF981" s="9"/>
    </row>
    <row r="982" spans="1:32" ht="54.95" customHeight="1" x14ac:dyDescent="0.2">
      <c r="A982" s="56"/>
      <c r="B982" s="9"/>
      <c r="C982" s="9"/>
      <c r="D982" s="9"/>
      <c r="E982" s="9"/>
      <c r="F982" s="9"/>
      <c r="G982" s="9"/>
      <c r="H982" s="9"/>
      <c r="I982" s="58"/>
      <c r="J982" s="9"/>
      <c r="K982" s="9"/>
      <c r="L982" s="9"/>
      <c r="M982" s="9"/>
      <c r="N982" s="9"/>
      <c r="O982" s="9"/>
      <c r="P982" s="9"/>
      <c r="Q982" s="9"/>
      <c r="R982" s="9"/>
      <c r="S982" s="9"/>
      <c r="T982" s="9"/>
      <c r="U982" s="9"/>
      <c r="V982" s="9"/>
      <c r="W982" s="9"/>
      <c r="X982" s="9"/>
      <c r="Y982" s="9"/>
      <c r="Z982" s="9"/>
      <c r="AA982" s="9"/>
      <c r="AB982" s="9"/>
      <c r="AC982" s="9"/>
      <c r="AD982" s="9"/>
      <c r="AE982" s="9"/>
      <c r="AF982" s="9"/>
    </row>
    <row r="983" spans="1:32" ht="54.95" customHeight="1" x14ac:dyDescent="0.2">
      <c r="A983" s="56"/>
      <c r="B983" s="9"/>
      <c r="C983" s="9"/>
      <c r="D983" s="9"/>
      <c r="E983" s="9"/>
      <c r="F983" s="9"/>
      <c r="G983" s="9"/>
      <c r="H983" s="9"/>
      <c r="I983" s="58"/>
      <c r="J983" s="9"/>
      <c r="K983" s="9"/>
      <c r="L983" s="9"/>
      <c r="M983" s="9"/>
      <c r="N983" s="9"/>
      <c r="O983" s="9"/>
      <c r="P983" s="9"/>
      <c r="Q983" s="9"/>
      <c r="R983" s="9"/>
      <c r="S983" s="9"/>
      <c r="T983" s="9"/>
      <c r="U983" s="9"/>
      <c r="V983" s="9"/>
      <c r="W983" s="9"/>
      <c r="X983" s="9"/>
      <c r="Y983" s="9"/>
      <c r="Z983" s="9"/>
      <c r="AA983" s="9"/>
      <c r="AB983" s="9"/>
      <c r="AC983" s="9"/>
      <c r="AD983" s="9"/>
      <c r="AE983" s="9"/>
      <c r="AF983" s="9"/>
    </row>
    <row r="984" spans="1:32" ht="54.95" customHeight="1" x14ac:dyDescent="0.2">
      <c r="A984" s="56"/>
      <c r="B984" s="9"/>
      <c r="C984" s="9"/>
      <c r="D984" s="9"/>
      <c r="E984" s="9"/>
      <c r="F984" s="9"/>
      <c r="G984" s="9"/>
      <c r="H984" s="9"/>
      <c r="I984" s="58"/>
      <c r="J984" s="9"/>
      <c r="K984" s="9"/>
      <c r="L984" s="9"/>
      <c r="M984" s="9"/>
      <c r="N984" s="9"/>
      <c r="O984" s="9"/>
      <c r="P984" s="9"/>
      <c r="Q984" s="9"/>
      <c r="R984" s="9"/>
      <c r="S984" s="9"/>
      <c r="T984" s="9"/>
      <c r="U984" s="9"/>
      <c r="V984" s="9"/>
      <c r="W984" s="9"/>
      <c r="X984" s="9"/>
      <c r="Y984" s="9"/>
      <c r="Z984" s="9"/>
      <c r="AA984" s="9"/>
      <c r="AB984" s="9"/>
      <c r="AC984" s="9"/>
      <c r="AD984" s="9"/>
      <c r="AE984" s="9"/>
      <c r="AF984" s="9"/>
    </row>
    <row r="985" spans="1:32" ht="54.95" customHeight="1" x14ac:dyDescent="0.2">
      <c r="A985" s="56"/>
      <c r="B985" s="9"/>
      <c r="C985" s="9"/>
      <c r="D985" s="9"/>
      <c r="E985" s="9"/>
      <c r="F985" s="9"/>
      <c r="G985" s="9"/>
      <c r="H985" s="9"/>
      <c r="I985" s="58"/>
      <c r="J985" s="9"/>
      <c r="K985" s="9"/>
      <c r="L985" s="9"/>
      <c r="M985" s="9"/>
      <c r="N985" s="9"/>
      <c r="O985" s="9"/>
      <c r="P985" s="9"/>
      <c r="Q985" s="9"/>
      <c r="R985" s="9"/>
      <c r="S985" s="9"/>
      <c r="T985" s="9"/>
      <c r="U985" s="9"/>
      <c r="V985" s="9"/>
      <c r="W985" s="9"/>
      <c r="X985" s="9"/>
      <c r="Y985" s="9"/>
      <c r="Z985" s="9"/>
      <c r="AA985" s="9"/>
      <c r="AB985" s="9"/>
      <c r="AC985" s="9"/>
      <c r="AD985" s="9"/>
      <c r="AE985" s="9"/>
      <c r="AF985" s="9"/>
    </row>
    <row r="986" spans="1:32" ht="54.95" customHeight="1" x14ac:dyDescent="0.2">
      <c r="A986" s="56"/>
      <c r="B986" s="9"/>
      <c r="C986" s="9"/>
      <c r="D986" s="9"/>
      <c r="E986" s="9"/>
      <c r="F986" s="9"/>
      <c r="G986" s="9"/>
      <c r="H986" s="9"/>
      <c r="I986" s="58"/>
      <c r="J986" s="9"/>
      <c r="K986" s="9"/>
      <c r="L986" s="9"/>
      <c r="M986" s="9"/>
      <c r="N986" s="9"/>
      <c r="O986" s="9"/>
      <c r="P986" s="9"/>
      <c r="Q986" s="9"/>
      <c r="R986" s="9"/>
      <c r="S986" s="9"/>
      <c r="T986" s="9"/>
      <c r="U986" s="9"/>
      <c r="V986" s="9"/>
      <c r="W986" s="9"/>
      <c r="X986" s="9"/>
      <c r="Y986" s="9"/>
      <c r="Z986" s="9"/>
      <c r="AA986" s="9"/>
      <c r="AB986" s="9"/>
      <c r="AC986" s="9"/>
      <c r="AD986" s="9"/>
      <c r="AE986" s="9"/>
      <c r="AF986" s="9"/>
    </row>
    <row r="987" spans="1:32" ht="54.95" customHeight="1" x14ac:dyDescent="0.2">
      <c r="A987" s="56"/>
      <c r="B987" s="9"/>
      <c r="C987" s="9"/>
      <c r="D987" s="9"/>
      <c r="E987" s="9"/>
      <c r="F987" s="9"/>
      <c r="G987" s="9"/>
      <c r="H987" s="9"/>
      <c r="I987" s="58"/>
      <c r="J987" s="9"/>
      <c r="K987" s="9"/>
      <c r="L987" s="9"/>
      <c r="M987" s="9"/>
      <c r="N987" s="9"/>
      <c r="O987" s="9"/>
      <c r="P987" s="9"/>
      <c r="Q987" s="9"/>
      <c r="R987" s="9"/>
      <c r="S987" s="9"/>
      <c r="T987" s="9"/>
      <c r="U987" s="9"/>
      <c r="V987" s="9"/>
      <c r="W987" s="9"/>
      <c r="X987" s="9"/>
      <c r="Y987" s="9"/>
      <c r="Z987" s="9"/>
      <c r="AA987" s="9"/>
      <c r="AB987" s="9"/>
      <c r="AC987" s="9"/>
      <c r="AD987" s="9"/>
      <c r="AE987" s="9"/>
      <c r="AF987" s="9"/>
    </row>
    <row r="988" spans="1:32" ht="54.95" customHeight="1" x14ac:dyDescent="0.2">
      <c r="A988" s="56"/>
      <c r="B988" s="9"/>
      <c r="C988" s="9"/>
      <c r="D988" s="9"/>
      <c r="E988" s="9"/>
      <c r="F988" s="9"/>
      <c r="G988" s="9"/>
      <c r="H988" s="9"/>
      <c r="I988" s="58"/>
      <c r="J988" s="9"/>
      <c r="K988" s="9"/>
      <c r="L988" s="9"/>
      <c r="M988" s="9"/>
      <c r="N988" s="9"/>
      <c r="O988" s="9"/>
      <c r="P988" s="9"/>
      <c r="Q988" s="9"/>
      <c r="R988" s="9"/>
      <c r="S988" s="9"/>
      <c r="T988" s="9"/>
      <c r="U988" s="9"/>
      <c r="V988" s="9"/>
      <c r="W988" s="9"/>
      <c r="X988" s="9"/>
      <c r="Y988" s="9"/>
      <c r="Z988" s="9"/>
      <c r="AA988" s="9"/>
      <c r="AB988" s="9"/>
      <c r="AC988" s="9"/>
      <c r="AD988" s="9"/>
      <c r="AE988" s="9"/>
      <c r="AF988" s="9"/>
    </row>
    <row r="989" spans="1:32" ht="54.95" customHeight="1" x14ac:dyDescent="0.2">
      <c r="A989" s="56"/>
      <c r="B989" s="9"/>
      <c r="C989" s="9"/>
      <c r="D989" s="9"/>
      <c r="E989" s="9"/>
      <c r="F989" s="9"/>
      <c r="G989" s="9"/>
      <c r="H989" s="9"/>
      <c r="I989" s="58"/>
      <c r="J989" s="9"/>
      <c r="K989" s="9"/>
      <c r="L989" s="9"/>
      <c r="M989" s="9"/>
      <c r="N989" s="9"/>
      <c r="O989" s="9"/>
      <c r="P989" s="9"/>
      <c r="Q989" s="9"/>
      <c r="R989" s="9"/>
      <c r="S989" s="9"/>
      <c r="T989" s="9"/>
      <c r="U989" s="9"/>
      <c r="V989" s="9"/>
      <c r="W989" s="9"/>
      <c r="X989" s="9"/>
      <c r="Y989" s="9"/>
      <c r="Z989" s="9"/>
      <c r="AA989" s="9"/>
      <c r="AB989" s="9"/>
      <c r="AC989" s="9"/>
      <c r="AD989" s="9"/>
      <c r="AE989" s="9"/>
      <c r="AF989" s="9"/>
    </row>
    <row r="990" spans="1:32" ht="54.95" customHeight="1" x14ac:dyDescent="0.2">
      <c r="A990" s="56"/>
      <c r="B990" s="9"/>
      <c r="C990" s="9"/>
      <c r="D990" s="9"/>
      <c r="E990" s="9"/>
      <c r="F990" s="9"/>
      <c r="G990" s="9"/>
      <c r="H990" s="9"/>
      <c r="I990" s="58"/>
      <c r="J990" s="9"/>
      <c r="K990" s="9"/>
      <c r="L990" s="9"/>
      <c r="M990" s="9"/>
      <c r="N990" s="9"/>
      <c r="O990" s="9"/>
      <c r="P990" s="9"/>
      <c r="Q990" s="9"/>
      <c r="R990" s="9"/>
      <c r="S990" s="9"/>
      <c r="T990" s="9"/>
      <c r="U990" s="9"/>
      <c r="V990" s="9"/>
      <c r="W990" s="9"/>
      <c r="X990" s="9"/>
      <c r="Y990" s="9"/>
      <c r="Z990" s="9"/>
      <c r="AA990" s="9"/>
      <c r="AB990" s="9"/>
      <c r="AC990" s="9"/>
      <c r="AD990" s="9"/>
      <c r="AE990" s="9"/>
      <c r="AF990" s="9"/>
    </row>
    <row r="991" spans="1:32" ht="54.95" customHeight="1" x14ac:dyDescent="0.2">
      <c r="A991" s="56"/>
      <c r="B991" s="9"/>
      <c r="C991" s="9"/>
      <c r="D991" s="9"/>
      <c r="E991" s="9"/>
      <c r="F991" s="9"/>
      <c r="G991" s="9"/>
      <c r="H991" s="9"/>
      <c r="I991" s="58"/>
      <c r="J991" s="9"/>
      <c r="K991" s="9"/>
      <c r="L991" s="9"/>
      <c r="M991" s="9"/>
      <c r="N991" s="9"/>
      <c r="O991" s="9"/>
      <c r="P991" s="9"/>
      <c r="Q991" s="9"/>
      <c r="R991" s="9"/>
      <c r="S991" s="9"/>
      <c r="T991" s="9"/>
      <c r="U991" s="9"/>
      <c r="V991" s="9"/>
      <c r="W991" s="9"/>
      <c r="X991" s="9"/>
      <c r="Y991" s="9"/>
      <c r="Z991" s="9"/>
      <c r="AA991" s="9"/>
      <c r="AB991" s="9"/>
      <c r="AC991" s="9"/>
      <c r="AD991" s="9"/>
      <c r="AE991" s="9"/>
      <c r="AF991" s="9"/>
    </row>
    <row r="992" spans="1:32" ht="54.95" customHeight="1" x14ac:dyDescent="0.2">
      <c r="A992" s="56"/>
      <c r="B992" s="9"/>
      <c r="C992" s="9"/>
      <c r="D992" s="9"/>
      <c r="E992" s="9"/>
      <c r="F992" s="9"/>
      <c r="G992" s="9"/>
      <c r="H992" s="9"/>
      <c r="I992" s="58"/>
      <c r="J992" s="9"/>
      <c r="K992" s="9"/>
      <c r="L992" s="9"/>
      <c r="M992" s="9"/>
      <c r="N992" s="9"/>
      <c r="O992" s="9"/>
      <c r="P992" s="9"/>
      <c r="Q992" s="9"/>
      <c r="R992" s="9"/>
      <c r="S992" s="9"/>
      <c r="T992" s="9"/>
      <c r="U992" s="9"/>
      <c r="V992" s="9"/>
      <c r="W992" s="9"/>
      <c r="X992" s="9"/>
      <c r="Y992" s="9"/>
      <c r="Z992" s="9"/>
      <c r="AA992" s="9"/>
      <c r="AB992" s="9"/>
      <c r="AC992" s="9"/>
      <c r="AD992" s="9"/>
      <c r="AE992" s="9"/>
      <c r="AF992" s="9"/>
    </row>
    <row r="993" spans="1:32" ht="54.95" customHeight="1" x14ac:dyDescent="0.2">
      <c r="A993" s="56"/>
      <c r="B993" s="9"/>
      <c r="C993" s="9"/>
      <c r="D993" s="9"/>
      <c r="E993" s="9"/>
      <c r="F993" s="9"/>
      <c r="G993" s="9"/>
      <c r="H993" s="9"/>
      <c r="I993" s="58"/>
      <c r="J993" s="9"/>
      <c r="K993" s="9"/>
      <c r="L993" s="9"/>
      <c r="M993" s="9"/>
      <c r="N993" s="9"/>
      <c r="O993" s="9"/>
      <c r="P993" s="9"/>
      <c r="Q993" s="9"/>
      <c r="R993" s="9"/>
      <c r="S993" s="9"/>
      <c r="T993" s="9"/>
      <c r="U993" s="9"/>
      <c r="V993" s="9"/>
      <c r="W993" s="9"/>
      <c r="X993" s="9"/>
      <c r="Y993" s="9"/>
      <c r="Z993" s="9"/>
      <c r="AA993" s="9"/>
      <c r="AB993" s="9"/>
      <c r="AC993" s="9"/>
      <c r="AD993" s="9"/>
      <c r="AE993" s="9"/>
      <c r="AF993" s="9"/>
    </row>
    <row r="994" spans="1:32" ht="54.95" customHeight="1" x14ac:dyDescent="0.2">
      <c r="A994" s="56"/>
      <c r="B994" s="9"/>
      <c r="C994" s="9"/>
      <c r="D994" s="9"/>
      <c r="E994" s="9"/>
      <c r="F994" s="9"/>
      <c r="G994" s="9"/>
      <c r="H994" s="9"/>
      <c r="I994" s="58"/>
      <c r="J994" s="9"/>
      <c r="K994" s="9"/>
      <c r="L994" s="9"/>
      <c r="M994" s="9"/>
      <c r="N994" s="9"/>
      <c r="O994" s="9"/>
      <c r="P994" s="9"/>
      <c r="Q994" s="9"/>
      <c r="R994" s="9"/>
      <c r="S994" s="9"/>
      <c r="T994" s="9"/>
      <c r="U994" s="9"/>
      <c r="V994" s="9"/>
      <c r="W994" s="9"/>
      <c r="X994" s="9"/>
      <c r="Y994" s="9"/>
      <c r="Z994" s="9"/>
      <c r="AA994" s="9"/>
      <c r="AB994" s="9"/>
      <c r="AC994" s="9"/>
      <c r="AD994" s="9"/>
      <c r="AE994" s="9"/>
      <c r="AF994" s="9"/>
    </row>
    <row r="995" spans="1:32" ht="54.95" customHeight="1" x14ac:dyDescent="0.2">
      <c r="A995" s="56"/>
      <c r="B995" s="9"/>
      <c r="C995" s="9"/>
      <c r="D995" s="9"/>
      <c r="E995" s="9"/>
      <c r="F995" s="9"/>
      <c r="G995" s="9"/>
      <c r="H995" s="9"/>
      <c r="I995" s="58"/>
      <c r="J995" s="9"/>
      <c r="K995" s="9"/>
      <c r="L995" s="9"/>
      <c r="M995" s="9"/>
      <c r="N995" s="9"/>
      <c r="O995" s="9"/>
      <c r="P995" s="9"/>
      <c r="Q995" s="9"/>
      <c r="R995" s="9"/>
      <c r="S995" s="9"/>
      <c r="T995" s="9"/>
      <c r="U995" s="9"/>
      <c r="V995" s="9"/>
      <c r="W995" s="9"/>
      <c r="X995" s="9"/>
      <c r="Y995" s="9"/>
      <c r="Z995" s="9"/>
      <c r="AA995" s="9"/>
      <c r="AB995" s="9"/>
      <c r="AC995" s="9"/>
      <c r="AD995" s="9"/>
      <c r="AE995" s="9"/>
      <c r="AF995" s="9"/>
    </row>
    <row r="996" spans="1:32" ht="54.95" customHeight="1" x14ac:dyDescent="0.2">
      <c r="A996" s="56"/>
      <c r="B996" s="9"/>
      <c r="C996" s="9"/>
      <c r="D996" s="9"/>
      <c r="E996" s="9"/>
      <c r="F996" s="9"/>
      <c r="G996" s="9"/>
      <c r="H996" s="9"/>
      <c r="I996" s="58"/>
      <c r="J996" s="9"/>
      <c r="K996" s="9"/>
      <c r="L996" s="9"/>
      <c r="M996" s="9"/>
      <c r="N996" s="9"/>
      <c r="O996" s="9"/>
      <c r="P996" s="9"/>
      <c r="Q996" s="9"/>
      <c r="R996" s="9"/>
      <c r="S996" s="9"/>
      <c r="T996" s="9"/>
      <c r="U996" s="9"/>
      <c r="V996" s="9"/>
      <c r="W996" s="9"/>
      <c r="X996" s="9"/>
      <c r="Y996" s="9"/>
      <c r="Z996" s="9"/>
      <c r="AA996" s="9"/>
      <c r="AB996" s="9"/>
      <c r="AC996" s="9"/>
      <c r="AD996" s="9"/>
      <c r="AE996" s="9"/>
      <c r="AF996" s="9"/>
    </row>
    <row r="997" spans="1:32" ht="54.95" customHeight="1" x14ac:dyDescent="0.2">
      <c r="A997" s="56"/>
      <c r="B997" s="9"/>
      <c r="C997" s="9"/>
      <c r="D997" s="9"/>
      <c r="E997" s="9"/>
      <c r="F997" s="9"/>
      <c r="G997" s="9"/>
      <c r="H997" s="9"/>
      <c r="I997" s="58"/>
      <c r="J997" s="9"/>
      <c r="K997" s="9"/>
      <c r="L997" s="9"/>
      <c r="M997" s="9"/>
      <c r="N997" s="9"/>
      <c r="O997" s="9"/>
      <c r="P997" s="9"/>
      <c r="Q997" s="9"/>
      <c r="R997" s="9"/>
      <c r="S997" s="9"/>
      <c r="T997" s="9"/>
      <c r="U997" s="9"/>
      <c r="V997" s="9"/>
      <c r="W997" s="9"/>
      <c r="X997" s="9"/>
      <c r="Y997" s="9"/>
      <c r="Z997" s="9"/>
      <c r="AA997" s="9"/>
      <c r="AB997" s="9"/>
      <c r="AC997" s="9"/>
      <c r="AD997" s="9"/>
      <c r="AE997" s="9"/>
      <c r="AF997" s="9"/>
    </row>
    <row r="998" spans="1:32" ht="54.95" customHeight="1" x14ac:dyDescent="0.2">
      <c r="A998" s="56"/>
      <c r="B998" s="9"/>
      <c r="C998" s="9"/>
      <c r="D998" s="9"/>
      <c r="E998" s="9"/>
      <c r="F998" s="9"/>
      <c r="G998" s="9"/>
      <c r="H998" s="9"/>
      <c r="I998" s="58"/>
      <c r="J998" s="9"/>
      <c r="K998" s="9"/>
      <c r="L998" s="9"/>
      <c r="M998" s="9"/>
      <c r="N998" s="9"/>
      <c r="O998" s="9"/>
      <c r="P998" s="9"/>
      <c r="Q998" s="9"/>
      <c r="R998" s="9"/>
      <c r="S998" s="9"/>
      <c r="T998" s="9"/>
      <c r="U998" s="9"/>
      <c r="V998" s="9"/>
      <c r="W998" s="9"/>
      <c r="X998" s="9"/>
      <c r="Y998" s="9"/>
      <c r="Z998" s="9"/>
      <c r="AA998" s="9"/>
      <c r="AB998" s="9"/>
      <c r="AC998" s="9"/>
      <c r="AD998" s="9"/>
      <c r="AE998" s="9"/>
      <c r="AF998" s="9"/>
    </row>
    <row r="999" spans="1:32" ht="54.95" customHeight="1" x14ac:dyDescent="0.2">
      <c r="A999" s="56"/>
      <c r="B999" s="9"/>
      <c r="C999" s="9"/>
      <c r="D999" s="9"/>
      <c r="E999" s="9"/>
      <c r="F999" s="9"/>
      <c r="G999" s="9"/>
      <c r="H999" s="9"/>
      <c r="I999" s="58"/>
      <c r="J999" s="9"/>
      <c r="K999" s="9"/>
      <c r="L999" s="9"/>
      <c r="M999" s="9"/>
      <c r="N999" s="9"/>
      <c r="O999" s="9"/>
      <c r="P999" s="9"/>
      <c r="Q999" s="9"/>
      <c r="R999" s="9"/>
      <c r="S999" s="9"/>
      <c r="T999" s="9"/>
      <c r="U999" s="9"/>
      <c r="V999" s="9"/>
      <c r="W999" s="9"/>
      <c r="X999" s="9"/>
      <c r="Y999" s="9"/>
      <c r="Z999" s="9"/>
      <c r="AA999" s="9"/>
      <c r="AB999" s="9"/>
      <c r="AC999" s="9"/>
      <c r="AD999" s="9"/>
      <c r="AE999" s="9"/>
      <c r="AF999" s="9"/>
    </row>
    <row r="1000" spans="1:32" ht="54.95" customHeight="1" x14ac:dyDescent="0.2">
      <c r="A1000" s="56"/>
      <c r="B1000" s="9"/>
      <c r="C1000" s="9"/>
      <c r="D1000" s="9"/>
      <c r="E1000" s="9"/>
      <c r="F1000" s="9"/>
      <c r="G1000" s="9"/>
      <c r="H1000" s="9"/>
      <c r="I1000" s="58"/>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row>
  </sheetData>
  <conditionalFormatting sqref="E1:E51">
    <cfRule type="containsBlanks" dxfId="1" priority="1">
      <formula>LEN(TRIM(E1))=0</formula>
    </cfRule>
  </conditionalFormatting>
  <printOptions horizontalCentered="1" gridLines="1"/>
  <pageMargins left="0.25" right="0.25" top="0.75" bottom="0.75" header="0" footer="0"/>
  <pageSetup fitToHeight="0" pageOrder="overThenDown" orientation="landscape" cellComments="atEnd"/>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62BA3-FC93-4027-8104-98B77A9DC910}">
  <dimension ref="A1"/>
  <sheetViews>
    <sheetView workbookViewId="0">
      <selection activeCell="A3" sqref="A3"/>
    </sheetView>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51"/>
  <sheetViews>
    <sheetView tabSelected="1" workbookViewId="0">
      <pane ySplit="1" topLeftCell="A20" activePane="bottomLeft" state="frozen"/>
      <selection pane="bottomLeft" activeCell="P40" sqref="P25:R40"/>
    </sheetView>
  </sheetViews>
  <sheetFormatPr defaultColWidth="12.5703125" defaultRowHeight="15.75" customHeight="1" x14ac:dyDescent="0.2"/>
  <cols>
    <col min="1" max="1" width="18.7109375" customWidth="1"/>
    <col min="2" max="2" width="15.7109375" customWidth="1"/>
    <col min="3" max="3" width="20.85546875" customWidth="1"/>
    <col min="4" max="4" width="18.85546875" customWidth="1"/>
    <col min="18" max="18" width="15.140625" customWidth="1"/>
    <col min="19" max="19" width="21.85546875" customWidth="1"/>
    <col min="20" max="20" width="22.140625" customWidth="1"/>
  </cols>
  <sheetData>
    <row r="1" spans="1:20" ht="22.5" customHeight="1" x14ac:dyDescent="0.2">
      <c r="A1" s="60" t="s">
        <v>187</v>
      </c>
      <c r="B1" s="60" t="s">
        <v>8</v>
      </c>
      <c r="C1" s="61" t="s">
        <v>188</v>
      </c>
      <c r="R1" s="62" t="s">
        <v>187</v>
      </c>
      <c r="S1" s="62" t="s">
        <v>189</v>
      </c>
      <c r="T1" s="62"/>
    </row>
    <row r="2" spans="1:20" ht="22.5" customHeight="1" x14ac:dyDescent="0.2">
      <c r="A2" s="63" t="s">
        <v>190</v>
      </c>
      <c r="B2" s="64">
        <f>'Full Spreadsheet'!I2</f>
        <v>0.87976878612716769</v>
      </c>
      <c r="C2" s="65">
        <f>'Full Spreadsheet'!H2</f>
        <v>0</v>
      </c>
      <c r="R2" s="62" t="s">
        <v>191</v>
      </c>
      <c r="S2" s="66">
        <v>458048159</v>
      </c>
    </row>
    <row r="3" spans="1:20" ht="22.5" customHeight="1" x14ac:dyDescent="0.2">
      <c r="A3" s="63" t="s">
        <v>192</v>
      </c>
      <c r="B3" s="64">
        <f>'Full Spreadsheet'!I3</f>
        <v>3.0533333333333332</v>
      </c>
      <c r="C3" s="65">
        <f>'Full Spreadsheet'!H3</f>
        <v>0</v>
      </c>
      <c r="R3" s="62" t="s">
        <v>193</v>
      </c>
      <c r="S3" s="67">
        <v>315029145</v>
      </c>
    </row>
    <row r="4" spans="1:20" ht="22.5" customHeight="1" x14ac:dyDescent="0.2">
      <c r="A4" s="63" t="s">
        <v>194</v>
      </c>
      <c r="B4" s="64">
        <f>'Full Spreadsheet'!I4</f>
        <v>0.62948207171314741</v>
      </c>
      <c r="C4" s="65">
        <f>'Full Spreadsheet'!H4</f>
        <v>0</v>
      </c>
      <c r="R4" s="62" t="s">
        <v>71</v>
      </c>
      <c r="S4" s="67">
        <v>23800000</v>
      </c>
    </row>
    <row r="5" spans="1:20" ht="22.5" customHeight="1" x14ac:dyDescent="0.2">
      <c r="A5" s="63" t="s">
        <v>195</v>
      </c>
      <c r="B5" s="64">
        <f>'Full Spreadsheet'!I5</f>
        <v>7.7200000000000005E-2</v>
      </c>
      <c r="C5" s="65">
        <f>'Full Spreadsheet'!H5</f>
        <v>0</v>
      </c>
      <c r="R5" s="62" t="s">
        <v>75</v>
      </c>
      <c r="S5" s="66">
        <v>83234716</v>
      </c>
    </row>
    <row r="6" spans="1:20" ht="22.5" customHeight="1" x14ac:dyDescent="0.2">
      <c r="A6" s="63" t="s">
        <v>196</v>
      </c>
      <c r="B6" s="64">
        <f>'Full Spreadsheet'!I6</f>
        <v>0.99431818181818177</v>
      </c>
      <c r="C6" s="65">
        <f>'Full Spreadsheet'!H6</f>
        <v>0</v>
      </c>
      <c r="R6" s="62" t="s">
        <v>197</v>
      </c>
      <c r="S6" s="68">
        <v>18700000</v>
      </c>
    </row>
    <row r="7" spans="1:20" ht="22.5" customHeight="1" x14ac:dyDescent="0.2">
      <c r="A7" s="63" t="s">
        <v>198</v>
      </c>
      <c r="B7" s="64">
        <f>'Full Spreadsheet'!I7</f>
        <v>0.99663299663299665</v>
      </c>
      <c r="C7" s="65">
        <f>'Full Spreadsheet'!H7</f>
        <v>458048159</v>
      </c>
      <c r="R7" s="62" t="s">
        <v>199</v>
      </c>
      <c r="S7" s="67">
        <v>22415940</v>
      </c>
    </row>
    <row r="8" spans="1:20" ht="22.5" customHeight="1" x14ac:dyDescent="0.25">
      <c r="A8" s="63" t="s">
        <v>200</v>
      </c>
      <c r="B8" s="64">
        <f>'Full Spreadsheet'!I8</f>
        <v>1.2429906542056075</v>
      </c>
      <c r="C8" s="65">
        <f>'Full Spreadsheet'!H8</f>
        <v>315029145</v>
      </c>
      <c r="R8" s="69" t="s">
        <v>201</v>
      </c>
      <c r="S8" s="70">
        <v>2822296207</v>
      </c>
    </row>
    <row r="9" spans="1:20" ht="22.5" customHeight="1" x14ac:dyDescent="0.25">
      <c r="A9" s="63" t="s">
        <v>202</v>
      </c>
      <c r="B9" s="64">
        <f>'Full Spreadsheet'!I9</f>
        <v>0.71716417910447761</v>
      </c>
      <c r="C9" s="65">
        <f>'Full Spreadsheet'!H9</f>
        <v>0</v>
      </c>
      <c r="R9" s="69" t="s">
        <v>203</v>
      </c>
      <c r="S9" s="71">
        <v>1050846150</v>
      </c>
    </row>
    <row r="10" spans="1:20" ht="22.5" customHeight="1" x14ac:dyDescent="0.25">
      <c r="A10" s="63" t="s">
        <v>204</v>
      </c>
      <c r="B10" s="64">
        <f>'Full Spreadsheet'!I10</f>
        <v>1.1887323943661972</v>
      </c>
      <c r="C10" s="65">
        <f>'Full Spreadsheet'!H10</f>
        <v>0</v>
      </c>
      <c r="R10" s="72" t="s">
        <v>205</v>
      </c>
      <c r="S10" s="73">
        <v>298800000</v>
      </c>
    </row>
    <row r="11" spans="1:20" ht="22.5" customHeight="1" x14ac:dyDescent="0.2">
      <c r="A11" s="63" t="s">
        <v>206</v>
      </c>
      <c r="B11" s="64">
        <f>'Full Spreadsheet'!I11</f>
        <v>0.2452173913043478</v>
      </c>
      <c r="C11" s="65">
        <f>'Full Spreadsheet'!H11</f>
        <v>0</v>
      </c>
      <c r="R11" s="74" t="s">
        <v>207</v>
      </c>
      <c r="S11" s="75">
        <v>90371156.180000007</v>
      </c>
    </row>
    <row r="12" spans="1:20" ht="22.5" customHeight="1" x14ac:dyDescent="0.25">
      <c r="A12" s="63" t="s">
        <v>208</v>
      </c>
      <c r="B12" s="64">
        <f>'Full Spreadsheet'!I12</f>
        <v>0.75043478260869567</v>
      </c>
      <c r="C12" s="65">
        <f>'Full Spreadsheet'!H12</f>
        <v>0</v>
      </c>
      <c r="R12" s="72" t="s">
        <v>209</v>
      </c>
      <c r="S12" s="70">
        <v>275090953</v>
      </c>
    </row>
    <row r="13" spans="1:20" ht="22.5" customHeight="1" x14ac:dyDescent="0.2">
      <c r="A13" s="63" t="s">
        <v>210</v>
      </c>
      <c r="B13" s="64">
        <f>'Full Spreadsheet'!I13</f>
        <v>0.71109999999999995</v>
      </c>
      <c r="C13" s="65">
        <f>'Full Spreadsheet'!H13</f>
        <v>0</v>
      </c>
      <c r="R13" s="76" t="s">
        <v>211</v>
      </c>
      <c r="S13" s="75">
        <v>58991000</v>
      </c>
    </row>
    <row r="14" spans="1:20" ht="22.5" customHeight="1" x14ac:dyDescent="0.25">
      <c r="A14" s="63" t="s">
        <v>212</v>
      </c>
      <c r="B14" s="64">
        <f>'Full Spreadsheet'!I14</f>
        <v>0.18333333333333335</v>
      </c>
      <c r="C14" s="65">
        <f>'Full Spreadsheet'!H14</f>
        <v>0</v>
      </c>
      <c r="R14" s="72" t="s">
        <v>213</v>
      </c>
      <c r="S14" s="70">
        <v>21442758</v>
      </c>
    </row>
    <row r="15" spans="1:20" ht="22.5" customHeight="1" x14ac:dyDescent="0.25">
      <c r="A15" s="63" t="s">
        <v>214</v>
      </c>
      <c r="B15" s="64">
        <f>'Full Spreadsheet'!I15</f>
        <v>0.46666666666666673</v>
      </c>
      <c r="C15" s="65">
        <f>'Full Spreadsheet'!H15</f>
        <v>0</v>
      </c>
      <c r="R15" s="77" t="s">
        <v>158</v>
      </c>
      <c r="S15" s="71">
        <v>766000000</v>
      </c>
    </row>
    <row r="16" spans="1:20" ht="22.5" customHeight="1" x14ac:dyDescent="0.25">
      <c r="A16" s="63" t="s">
        <v>67</v>
      </c>
      <c r="B16" s="64">
        <f>'Full Spreadsheet'!I16</f>
        <v>0.97699999999999998</v>
      </c>
      <c r="C16" s="65">
        <f>'Full Spreadsheet'!H16</f>
        <v>0</v>
      </c>
      <c r="R16" s="72" t="s">
        <v>215</v>
      </c>
      <c r="S16" s="73">
        <v>4116141798</v>
      </c>
    </row>
    <row r="17" spans="1:19" ht="22.5" customHeight="1" x14ac:dyDescent="0.25">
      <c r="A17" s="63" t="s">
        <v>216</v>
      </c>
      <c r="B17" s="64">
        <f>'Full Spreadsheet'!I17</f>
        <v>0.86960000000000004</v>
      </c>
      <c r="C17" s="65">
        <f>'Full Spreadsheet'!H17</f>
        <v>23800000</v>
      </c>
      <c r="R17" s="77" t="s">
        <v>217</v>
      </c>
      <c r="S17" s="78">
        <v>124464346</v>
      </c>
    </row>
    <row r="18" spans="1:19" ht="22.5" customHeight="1" x14ac:dyDescent="0.25">
      <c r="A18" s="63" t="s">
        <v>218</v>
      </c>
      <c r="B18" s="64">
        <f>'Full Spreadsheet'!I18</f>
        <v>1.0549549549549548</v>
      </c>
      <c r="C18" s="65">
        <f>'Full Spreadsheet'!H18</f>
        <v>83234716</v>
      </c>
      <c r="R18" s="72" t="s">
        <v>219</v>
      </c>
      <c r="S18" s="73">
        <v>1273093</v>
      </c>
    </row>
    <row r="19" spans="1:19" ht="22.5" customHeight="1" x14ac:dyDescent="0.25">
      <c r="A19" s="63" t="s">
        <v>220</v>
      </c>
      <c r="B19" s="64">
        <f>'Full Spreadsheet'!I19</f>
        <v>0.84</v>
      </c>
      <c r="C19" s="65">
        <f>'Full Spreadsheet'!H19</f>
        <v>0</v>
      </c>
      <c r="M19" s="62"/>
      <c r="R19" s="77" t="s">
        <v>221</v>
      </c>
      <c r="S19" s="78">
        <v>3136561443.0700002</v>
      </c>
    </row>
    <row r="20" spans="1:19" ht="22.5" customHeight="1" x14ac:dyDescent="0.25">
      <c r="A20" s="63" t="s">
        <v>222</v>
      </c>
      <c r="B20" s="64">
        <f>'Full Spreadsheet'!I20</f>
        <v>0.70620000000000005</v>
      </c>
      <c r="C20" s="65">
        <f>'Full Spreadsheet'!H20</f>
        <v>0</v>
      </c>
      <c r="R20" s="72" t="s">
        <v>223</v>
      </c>
      <c r="S20" s="73">
        <v>178172216</v>
      </c>
    </row>
    <row r="21" spans="1:19" ht="22.5" customHeight="1" x14ac:dyDescent="0.25">
      <c r="A21" s="63" t="s">
        <v>224</v>
      </c>
      <c r="B21" s="64">
        <f>'Full Spreadsheet'!I21</f>
        <v>1.1367</v>
      </c>
      <c r="C21" s="65">
        <f>'Full Spreadsheet'!H21</f>
        <v>18700000</v>
      </c>
      <c r="R21" s="77" t="s">
        <v>225</v>
      </c>
      <c r="S21" s="78">
        <v>205387642</v>
      </c>
    </row>
    <row r="22" spans="1:19" ht="22.5" customHeight="1" x14ac:dyDescent="0.25">
      <c r="A22" s="63" t="s">
        <v>226</v>
      </c>
      <c r="B22" s="64">
        <f>'Full Spreadsheet'!I22</f>
        <v>1.2962962962962965</v>
      </c>
      <c r="C22" s="65">
        <f>'Full Spreadsheet'!H22</f>
        <v>0</v>
      </c>
      <c r="H22" s="62"/>
      <c r="R22" s="72" t="s">
        <v>227</v>
      </c>
      <c r="S22" s="70">
        <v>874740692</v>
      </c>
    </row>
    <row r="23" spans="1:19" ht="22.5" customHeight="1" x14ac:dyDescent="0.2">
      <c r="A23" s="63" t="s">
        <v>228</v>
      </c>
      <c r="B23" s="64">
        <f>'Full Spreadsheet'!I23</f>
        <v>0.78449999999999998</v>
      </c>
      <c r="C23" s="65">
        <f>'Full Spreadsheet'!H23</f>
        <v>0</v>
      </c>
    </row>
    <row r="24" spans="1:19" ht="22.5" customHeight="1" x14ac:dyDescent="0.2">
      <c r="A24" s="63" t="s">
        <v>229</v>
      </c>
      <c r="B24" s="64">
        <f>'Full Spreadsheet'!I24</f>
        <v>0.68330000000000002</v>
      </c>
      <c r="C24" s="65">
        <f>'Full Spreadsheet'!H24</f>
        <v>0</v>
      </c>
      <c r="E24" s="62"/>
    </row>
    <row r="25" spans="1:19" ht="22.5" customHeight="1" x14ac:dyDescent="0.2">
      <c r="A25" s="63" t="s">
        <v>230</v>
      </c>
      <c r="B25" s="64">
        <f>'Full Spreadsheet'!I25</f>
        <v>0.8</v>
      </c>
      <c r="C25" s="65">
        <f>'Full Spreadsheet'!H25</f>
        <v>0</v>
      </c>
    </row>
    <row r="26" spans="1:19" ht="22.5" customHeight="1" x14ac:dyDescent="0.2">
      <c r="A26" s="63" t="s">
        <v>231</v>
      </c>
      <c r="B26" s="64">
        <f>'Full Spreadsheet'!I26</f>
        <v>0.75</v>
      </c>
      <c r="C26" s="65">
        <f>'Full Spreadsheet'!H26</f>
        <v>0</v>
      </c>
    </row>
    <row r="27" spans="1:19" ht="22.5" customHeight="1" x14ac:dyDescent="0.2">
      <c r="A27" s="63" t="s">
        <v>232</v>
      </c>
      <c r="B27" s="64">
        <f>'Full Spreadsheet'!I27</f>
        <v>1.2461538461538462</v>
      </c>
      <c r="C27" s="65">
        <f>'Full Spreadsheet'!H27</f>
        <v>0</v>
      </c>
    </row>
    <row r="28" spans="1:19" ht="22.5" customHeight="1" x14ac:dyDescent="0.2">
      <c r="A28" s="63" t="s">
        <v>233</v>
      </c>
      <c r="B28" s="64">
        <f>'Full Spreadsheet'!I28</f>
        <v>0.79173838209982783</v>
      </c>
      <c r="C28" s="65">
        <f>'Full Spreadsheet'!H28</f>
        <v>0</v>
      </c>
    </row>
    <row r="29" spans="1:19" ht="22.5" customHeight="1" x14ac:dyDescent="0.2">
      <c r="A29" s="63" t="s">
        <v>234</v>
      </c>
      <c r="B29" s="64">
        <f>'Full Spreadsheet'!I29</f>
        <v>0.37027027027027026</v>
      </c>
      <c r="C29" s="65">
        <f>'Full Spreadsheet'!H29</f>
        <v>22415940</v>
      </c>
    </row>
    <row r="30" spans="1:19" ht="22.5" customHeight="1" x14ac:dyDescent="0.2">
      <c r="A30" s="63" t="s">
        <v>235</v>
      </c>
      <c r="B30" s="64">
        <f>'Full Spreadsheet'!I30</f>
        <v>0.52904564315352698</v>
      </c>
      <c r="C30" s="65">
        <f>'Full Spreadsheet'!H30</f>
        <v>0</v>
      </c>
    </row>
    <row r="31" spans="1:19" ht="22.5" customHeight="1" x14ac:dyDescent="0.2">
      <c r="A31" s="63" t="s">
        <v>236</v>
      </c>
      <c r="B31" s="64">
        <f>'Full Spreadsheet'!I31</f>
        <v>0.9168556311413455</v>
      </c>
      <c r="C31" s="65">
        <f>'Full Spreadsheet'!H31</f>
        <v>0</v>
      </c>
    </row>
    <row r="32" spans="1:19" ht="22.5" customHeight="1" x14ac:dyDescent="0.2">
      <c r="A32" s="63" t="s">
        <v>237</v>
      </c>
      <c r="B32" s="64">
        <f>'Full Spreadsheet'!I32</f>
        <v>1.8341463414634147</v>
      </c>
      <c r="C32" s="65">
        <f>'Full Spreadsheet'!H32</f>
        <v>0</v>
      </c>
    </row>
    <row r="33" spans="1:23" ht="22.5" customHeight="1" x14ac:dyDescent="0.2">
      <c r="A33" s="63" t="s">
        <v>238</v>
      </c>
      <c r="B33" s="64">
        <f>'Full Spreadsheet'!I33</f>
        <v>1.0736666666666668</v>
      </c>
      <c r="C33" s="65">
        <f>'Full Spreadsheet'!H33</f>
        <v>2822296207</v>
      </c>
    </row>
    <row r="34" spans="1:23" ht="22.5" customHeight="1" x14ac:dyDescent="0.2">
      <c r="A34" s="63" t="s">
        <v>239</v>
      </c>
      <c r="B34" s="64">
        <f>'Full Spreadsheet'!I34</f>
        <v>0.85899999999999999</v>
      </c>
      <c r="C34" s="65">
        <f>'Full Spreadsheet'!H34</f>
        <v>1050846150</v>
      </c>
    </row>
    <row r="35" spans="1:23" ht="22.5" customHeight="1" x14ac:dyDescent="0.2">
      <c r="A35" s="63" t="s">
        <v>240</v>
      </c>
      <c r="B35" s="64">
        <f>'Full Spreadsheet'!I35</f>
        <v>1.3755364806866952</v>
      </c>
      <c r="C35" s="65">
        <f>'Full Spreadsheet'!H35</f>
        <v>0</v>
      </c>
    </row>
    <row r="36" spans="1:23" ht="22.5" customHeight="1" x14ac:dyDescent="0.2">
      <c r="A36" s="63" t="s">
        <v>241</v>
      </c>
      <c r="B36" s="64">
        <f>'Full Spreadsheet'!I36</f>
        <v>1.4333</v>
      </c>
      <c r="C36" s="65">
        <f>'Full Spreadsheet'!H36</f>
        <v>298800000</v>
      </c>
    </row>
    <row r="37" spans="1:23" ht="22.5" customHeight="1" x14ac:dyDescent="0.2">
      <c r="A37" s="63" t="s">
        <v>242</v>
      </c>
      <c r="B37" s="64">
        <f>'Full Spreadsheet'!I37</f>
        <v>2.3304347826086955</v>
      </c>
      <c r="C37" s="65">
        <f>'Full Spreadsheet'!H37</f>
        <v>90371156.180000007</v>
      </c>
    </row>
    <row r="38" spans="1:23" ht="22.5" customHeight="1" x14ac:dyDescent="0.2">
      <c r="A38" s="63" t="s">
        <v>243</v>
      </c>
      <c r="B38" s="64">
        <f>'Full Spreadsheet'!I38</f>
        <v>0.81298701298701304</v>
      </c>
      <c r="C38" s="65">
        <f>'Full Spreadsheet'!H38</f>
        <v>0</v>
      </c>
    </row>
    <row r="39" spans="1:23" ht="22.5" customHeight="1" x14ac:dyDescent="0.2">
      <c r="A39" s="63" t="s">
        <v>244</v>
      </c>
      <c r="B39" s="64">
        <f>'Full Spreadsheet'!I39</f>
        <v>1.0172570390554041</v>
      </c>
      <c r="C39" s="65">
        <f>'Full Spreadsheet'!H39</f>
        <v>275090953</v>
      </c>
    </row>
    <row r="40" spans="1:23" ht="22.5" customHeight="1" x14ac:dyDescent="0.2">
      <c r="A40" s="63" t="s">
        <v>245</v>
      </c>
      <c r="B40" s="64">
        <f>'Full Spreadsheet'!I40</f>
        <v>0.69333333333333336</v>
      </c>
      <c r="C40" s="65">
        <f>'Full Spreadsheet'!H40</f>
        <v>0</v>
      </c>
    </row>
    <row r="41" spans="1:23" ht="22.5" customHeight="1" x14ac:dyDescent="0.2">
      <c r="A41" s="63" t="s">
        <v>246</v>
      </c>
      <c r="B41" s="64">
        <f>'Full Spreadsheet'!I41</f>
        <v>0.89897260273972601</v>
      </c>
      <c r="C41" s="65">
        <f>'Full Spreadsheet'!H41</f>
        <v>58991000</v>
      </c>
    </row>
    <row r="42" spans="1:23" ht="22.5" customHeight="1" x14ac:dyDescent="0.2">
      <c r="A42" s="63" t="s">
        <v>247</v>
      </c>
      <c r="B42" s="64">
        <f>'Full Spreadsheet'!I42</f>
        <v>0.47845303867403316</v>
      </c>
      <c r="C42" s="65">
        <f>'Full Spreadsheet'!H42</f>
        <v>21442758</v>
      </c>
    </row>
    <row r="43" spans="1:23" ht="22.5" customHeight="1" x14ac:dyDescent="0.2">
      <c r="A43" s="63" t="s">
        <v>248</v>
      </c>
      <c r="B43" s="64">
        <f>'Full Spreadsheet'!I43</f>
        <v>1.4776274713839748</v>
      </c>
      <c r="C43" s="65">
        <f>'Full Spreadsheet'!H43</f>
        <v>766000000</v>
      </c>
    </row>
    <row r="44" spans="1:23" ht="22.5" customHeight="1" x14ac:dyDescent="0.2">
      <c r="A44" s="63" t="s">
        <v>215</v>
      </c>
      <c r="B44" s="64">
        <f>'Full Spreadsheet'!I44</f>
        <v>0.51829999999999998</v>
      </c>
      <c r="C44" s="79">
        <f>'Full Spreadsheet'!H44</f>
        <v>4116141798</v>
      </c>
      <c r="D44" s="74"/>
      <c r="E44" s="74"/>
      <c r="F44" s="74"/>
      <c r="G44" s="74"/>
      <c r="H44" s="74"/>
      <c r="I44" s="74"/>
      <c r="J44" s="74"/>
      <c r="K44" s="74"/>
      <c r="L44" s="74"/>
      <c r="M44" s="74"/>
      <c r="N44" s="74"/>
      <c r="O44" s="74"/>
      <c r="P44" s="74"/>
      <c r="Q44" s="74"/>
      <c r="R44" s="74"/>
      <c r="S44" s="74"/>
      <c r="T44" s="74"/>
      <c r="U44" s="74"/>
      <c r="V44" s="74"/>
      <c r="W44" s="74"/>
    </row>
    <row r="45" spans="1:23" ht="22.5" customHeight="1" x14ac:dyDescent="0.2">
      <c r="A45" s="63" t="s">
        <v>249</v>
      </c>
      <c r="B45" s="64">
        <f>'Full Spreadsheet'!I45</f>
        <v>1.6463956811686251</v>
      </c>
      <c r="C45" s="65">
        <f>'Full Spreadsheet'!H45</f>
        <v>124464346</v>
      </c>
    </row>
    <row r="46" spans="1:23" ht="22.5" customHeight="1" x14ac:dyDescent="0.2">
      <c r="A46" s="63" t="s">
        <v>250</v>
      </c>
      <c r="B46" s="64">
        <f>'Full Spreadsheet'!I46</f>
        <v>5.8156028368794334E-2</v>
      </c>
      <c r="C46" s="65">
        <f>'Full Spreadsheet'!H46</f>
        <v>1273093</v>
      </c>
    </row>
    <row r="47" spans="1:23" ht="22.5" customHeight="1" x14ac:dyDescent="0.2">
      <c r="A47" s="63" t="s">
        <v>251</v>
      </c>
      <c r="B47" s="64">
        <f>'Full Spreadsheet'!I47</f>
        <v>0.76190476190476197</v>
      </c>
      <c r="C47" s="65">
        <f>'Full Spreadsheet'!H47</f>
        <v>3136561443.0700002</v>
      </c>
    </row>
    <row r="48" spans="1:23" ht="22.5" customHeight="1" x14ac:dyDescent="0.2">
      <c r="A48" s="63" t="s">
        <v>252</v>
      </c>
      <c r="B48" s="64">
        <f>'Full Spreadsheet'!I48</f>
        <v>0.29599999999999999</v>
      </c>
      <c r="C48" s="65">
        <f>'Full Spreadsheet'!H48</f>
        <v>178172216</v>
      </c>
    </row>
    <row r="49" spans="1:3" ht="22.5" customHeight="1" x14ac:dyDescent="0.2">
      <c r="A49" s="63" t="s">
        <v>253</v>
      </c>
      <c r="B49" s="64" t="str">
        <f>'Full Spreadsheet'!I49</f>
        <v>NOT AVAILABLE</v>
      </c>
      <c r="C49" s="65" t="str">
        <f>'Full Spreadsheet'!H49</f>
        <v>NOT AVAILABLE</v>
      </c>
    </row>
    <row r="50" spans="1:3" ht="22.5" customHeight="1" x14ac:dyDescent="0.2">
      <c r="A50" s="63" t="s">
        <v>254</v>
      </c>
      <c r="B50" s="64">
        <f>'Full Spreadsheet'!I50</f>
        <v>1.22</v>
      </c>
      <c r="C50" s="65">
        <f>'Full Spreadsheet'!H50</f>
        <v>205387642</v>
      </c>
    </row>
    <row r="51" spans="1:3" ht="22.5" customHeight="1" x14ac:dyDescent="0.2">
      <c r="A51" s="63" t="s">
        <v>255</v>
      </c>
      <c r="B51" s="64">
        <f>'Full Spreadsheet'!I51</f>
        <v>1.1890000000000001</v>
      </c>
      <c r="C51" s="65">
        <f>'Full Spreadsheet'!H51</f>
        <v>874740692</v>
      </c>
    </row>
  </sheetData>
  <autoFilter ref="R1:S22" xr:uid="{00000000-0009-0000-0000-000001000000}"/>
  <conditionalFormatting sqref="B1:B51">
    <cfRule type="containsBlanks" dxfId="0" priority="1">
      <formula>LEN(TRIM(B1))=0</formula>
    </cfRule>
  </conditionalFormatting>
  <dataValidations count="1">
    <dataValidation type="custom" allowBlank="1" showDropDown="1" sqref="C2:C51" xr:uid="{00000000-0002-0000-0100-000000000000}">
      <formula1>AND(ISNUMBER(C2),(NOT(OR(NOT(ISERROR(DATEVALUE(C2))), AND(ISNUMBER(C2), LEFT(CELL("format", C2))="D")))))</formula1>
    </dataValidation>
  </dataValidations>
  <hyperlinks>
    <hyperlink ref="A2" r:id="rId1" xr:uid="{00000000-0004-0000-0100-000000000000}"/>
  </hyperlinks>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RowHeight="12.75" x14ac:dyDescent="0.2"/>
  <sheetData/>
  <sheetProtection sheet="1" objects="1" selectLockedCells="1" selectUnlockedCell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995"/>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20.85546875" customWidth="1"/>
    <col min="2" max="2" width="19.140625" customWidth="1"/>
    <col min="4" max="4" width="17.7109375" customWidth="1"/>
    <col min="5" max="5" width="19.28515625" customWidth="1"/>
    <col min="6" max="6" width="22.28515625" customWidth="1"/>
    <col min="7" max="7" width="21.85546875" customWidth="1"/>
  </cols>
  <sheetData>
    <row r="1" spans="1:7" ht="22.5" customHeight="1" x14ac:dyDescent="0.2">
      <c r="A1" s="80" t="s">
        <v>256</v>
      </c>
      <c r="B1" s="81" t="s">
        <v>257</v>
      </c>
      <c r="C1" s="82" t="s">
        <v>258</v>
      </c>
      <c r="D1" s="82" t="s">
        <v>259</v>
      </c>
      <c r="E1" s="83" t="s">
        <v>260</v>
      </c>
      <c r="F1" s="83" t="s">
        <v>261</v>
      </c>
      <c r="G1" s="83" t="s">
        <v>262</v>
      </c>
    </row>
    <row r="2" spans="1:7" ht="22.5" customHeight="1" x14ac:dyDescent="0.2">
      <c r="A2" s="84">
        <v>866800</v>
      </c>
      <c r="B2" s="65">
        <v>15100</v>
      </c>
      <c r="C2" s="85">
        <v>0.02</v>
      </c>
      <c r="D2" s="85">
        <v>1.7399999999999999E-2</v>
      </c>
      <c r="E2" s="86">
        <f t="shared" ref="E2:E256" si="0">A2/A$313</f>
        <v>1.8042043731727189E-3</v>
      </c>
      <c r="F2" s="86">
        <f t="shared" ref="F2:F256" si="1">C2*E2</f>
        <v>3.6084087463454375E-5</v>
      </c>
      <c r="G2" s="86">
        <f t="shared" ref="G2:G256" si="2">D2*E2</f>
        <v>3.1393156093205306E-5</v>
      </c>
    </row>
    <row r="3" spans="1:7" ht="22.5" customHeight="1" x14ac:dyDescent="0.2">
      <c r="A3" s="84">
        <v>1080115</v>
      </c>
      <c r="B3" s="65">
        <v>345600</v>
      </c>
      <c r="C3" s="85">
        <v>0.08</v>
      </c>
      <c r="D3" s="85">
        <v>0.32</v>
      </c>
      <c r="E3" s="86">
        <f t="shared" si="0"/>
        <v>2.2482097444963675E-3</v>
      </c>
      <c r="F3" s="86">
        <f t="shared" si="1"/>
        <v>1.7985677955970939E-4</v>
      </c>
      <c r="G3" s="86">
        <f t="shared" si="2"/>
        <v>7.1942711823883758E-4</v>
      </c>
    </row>
    <row r="4" spans="1:7" ht="22.5" customHeight="1" x14ac:dyDescent="0.2">
      <c r="A4" s="84">
        <v>980250</v>
      </c>
      <c r="B4" s="65">
        <v>286500</v>
      </c>
      <c r="C4" s="85">
        <v>0.08</v>
      </c>
      <c r="D4" s="85">
        <v>0.2923</v>
      </c>
      <c r="E4" s="86">
        <f t="shared" si="0"/>
        <v>2.040345335489799E-3</v>
      </c>
      <c r="F4" s="86">
        <f t="shared" si="1"/>
        <v>1.6322762683918391E-4</v>
      </c>
      <c r="G4" s="86">
        <f t="shared" si="2"/>
        <v>5.9639294156366824E-4</v>
      </c>
    </row>
    <row r="5" spans="1:7" ht="22.5" customHeight="1" x14ac:dyDescent="0.2">
      <c r="A5" s="84">
        <v>1209370</v>
      </c>
      <c r="B5" s="65">
        <v>18738</v>
      </c>
      <c r="C5" s="85">
        <v>1.4999999999999999E-2</v>
      </c>
      <c r="D5" s="85">
        <v>1.55E-2</v>
      </c>
      <c r="E5" s="86">
        <f t="shared" si="0"/>
        <v>2.5172480881217015E-3</v>
      </c>
      <c r="F5" s="86">
        <f t="shared" si="1"/>
        <v>3.7758721321825519E-5</v>
      </c>
      <c r="G5" s="86">
        <f t="shared" si="2"/>
        <v>3.9017345365886371E-5</v>
      </c>
    </row>
    <row r="6" spans="1:7" ht="22.5" customHeight="1" x14ac:dyDescent="0.2">
      <c r="A6" s="65">
        <v>1672515</v>
      </c>
      <c r="B6" s="65">
        <v>292190</v>
      </c>
      <c r="C6" s="85">
        <v>0.03</v>
      </c>
      <c r="D6" s="85">
        <v>0.17469999999999999</v>
      </c>
      <c r="E6" s="86">
        <f t="shared" si="0"/>
        <v>3.4812631255156552E-3</v>
      </c>
      <c r="F6" s="86">
        <f t="shared" si="1"/>
        <v>1.0443789376546965E-4</v>
      </c>
      <c r="G6" s="86">
        <f t="shared" si="2"/>
        <v>6.0817666802758495E-4</v>
      </c>
    </row>
    <row r="7" spans="1:7" ht="22.5" customHeight="1" x14ac:dyDescent="0.2">
      <c r="A7" s="65">
        <v>2730217.51</v>
      </c>
      <c r="B7" s="65">
        <v>67985.039999999994</v>
      </c>
      <c r="C7" s="85">
        <v>0.06</v>
      </c>
      <c r="D7" s="85">
        <v>2.4899999999999999E-2</v>
      </c>
      <c r="E7" s="86">
        <f t="shared" si="0"/>
        <v>5.6828223018628643E-3</v>
      </c>
      <c r="F7" s="86">
        <f t="shared" si="1"/>
        <v>3.4096933811177186E-4</v>
      </c>
      <c r="G7" s="86">
        <f t="shared" si="2"/>
        <v>1.4150227531638531E-4</v>
      </c>
    </row>
    <row r="8" spans="1:7" ht="22.5" customHeight="1" x14ac:dyDescent="0.2">
      <c r="A8" s="65">
        <v>148981.6</v>
      </c>
      <c r="B8" s="65">
        <v>9000</v>
      </c>
      <c r="C8" s="85">
        <v>0.06</v>
      </c>
      <c r="D8" s="85">
        <v>6.0400000000000002E-2</v>
      </c>
      <c r="E8" s="86">
        <f t="shared" si="0"/>
        <v>3.1009835514797963E-4</v>
      </c>
      <c r="F8" s="86">
        <f t="shared" si="1"/>
        <v>1.8605901308878777E-5</v>
      </c>
      <c r="G8" s="86">
        <f t="shared" si="2"/>
        <v>1.872994065093797E-5</v>
      </c>
    </row>
    <row r="9" spans="1:7" ht="22.5" customHeight="1" x14ac:dyDescent="0.2">
      <c r="A9" s="65">
        <v>706188.45</v>
      </c>
      <c r="B9" s="65">
        <v>120202</v>
      </c>
      <c r="C9" s="85">
        <v>0.06</v>
      </c>
      <c r="D9" s="85">
        <v>0.17019999999999999</v>
      </c>
      <c r="E9" s="86">
        <f t="shared" si="0"/>
        <v>1.4698988114606182E-3</v>
      </c>
      <c r="F9" s="86">
        <f t="shared" si="1"/>
        <v>8.8193928687637087E-5</v>
      </c>
      <c r="G9" s="86">
        <f t="shared" si="2"/>
        <v>2.5017677771059721E-4</v>
      </c>
    </row>
    <row r="10" spans="1:7" ht="22.5" customHeight="1" x14ac:dyDescent="0.2">
      <c r="A10" s="65">
        <v>2257328.6</v>
      </c>
      <c r="B10" s="65">
        <v>165865.01999999999</v>
      </c>
      <c r="C10" s="85">
        <v>0.06</v>
      </c>
      <c r="D10" s="85">
        <v>7.3499999999999996E-2</v>
      </c>
      <c r="E10" s="86">
        <f t="shared" si="0"/>
        <v>4.698525763506981E-3</v>
      </c>
      <c r="F10" s="86">
        <f t="shared" si="1"/>
        <v>2.8191154581041887E-4</v>
      </c>
      <c r="G10" s="86">
        <f t="shared" si="2"/>
        <v>3.4534164361776307E-4</v>
      </c>
    </row>
    <row r="11" spans="1:7" ht="22.5" customHeight="1" x14ac:dyDescent="0.2">
      <c r="A11" s="84">
        <v>630896.73</v>
      </c>
      <c r="B11" s="65">
        <v>59877.08</v>
      </c>
      <c r="C11" s="85">
        <v>0.06</v>
      </c>
      <c r="D11" s="85">
        <v>9.4899999999999998E-2</v>
      </c>
      <c r="E11" s="86">
        <f t="shared" si="0"/>
        <v>1.3131825557064698E-3</v>
      </c>
      <c r="F11" s="86">
        <f t="shared" si="1"/>
        <v>7.8790953342388183E-5</v>
      </c>
      <c r="G11" s="86">
        <f t="shared" si="2"/>
        <v>1.2462102453654396E-4</v>
      </c>
    </row>
    <row r="12" spans="1:7" ht="22.5" customHeight="1" x14ac:dyDescent="0.2">
      <c r="A12" s="84">
        <v>1137800</v>
      </c>
      <c r="B12" s="65">
        <v>609100</v>
      </c>
      <c r="C12" s="85">
        <v>0.08</v>
      </c>
      <c r="D12" s="85">
        <v>0.5353</v>
      </c>
      <c r="E12" s="86">
        <f t="shared" si="0"/>
        <v>2.3682784215458231E-3</v>
      </c>
      <c r="F12" s="86">
        <f t="shared" si="1"/>
        <v>1.8946227372366585E-4</v>
      </c>
      <c r="G12" s="86">
        <f t="shared" si="2"/>
        <v>1.2677394390534791E-3</v>
      </c>
    </row>
    <row r="13" spans="1:7" ht="22.5" customHeight="1" x14ac:dyDescent="0.2">
      <c r="A13" s="84">
        <v>694624</v>
      </c>
      <c r="B13" s="65">
        <v>35511</v>
      </c>
      <c r="C13" s="85">
        <v>0.05</v>
      </c>
      <c r="D13" s="85">
        <v>5.11E-2</v>
      </c>
      <c r="E13" s="86">
        <f t="shared" si="0"/>
        <v>1.4458279401369711E-3</v>
      </c>
      <c r="F13" s="86">
        <f t="shared" si="1"/>
        <v>7.2291397006848555E-5</v>
      </c>
      <c r="G13" s="86">
        <f t="shared" si="2"/>
        <v>7.3881807740999229E-5</v>
      </c>
    </row>
    <row r="14" spans="1:7" ht="22.5" customHeight="1" x14ac:dyDescent="0.2">
      <c r="A14" s="84">
        <v>3142959</v>
      </c>
      <c r="B14" s="65">
        <v>359131</v>
      </c>
      <c r="C14" s="85">
        <v>0.06</v>
      </c>
      <c r="D14" s="85">
        <v>0.1143</v>
      </c>
      <c r="E14" s="86">
        <f t="shared" si="0"/>
        <v>6.5419247490800126E-3</v>
      </c>
      <c r="F14" s="86">
        <f t="shared" si="1"/>
        <v>3.9251548494480075E-4</v>
      </c>
      <c r="G14" s="86">
        <f t="shared" si="2"/>
        <v>7.4774199881984542E-4</v>
      </c>
    </row>
    <row r="15" spans="1:7" ht="22.5" customHeight="1" x14ac:dyDescent="0.2">
      <c r="A15" s="65">
        <v>401850</v>
      </c>
      <c r="B15" s="65">
        <v>26200</v>
      </c>
      <c r="C15" s="85">
        <v>0.05</v>
      </c>
      <c r="D15" s="85">
        <v>6.5199999999999994E-2</v>
      </c>
      <c r="E15" s="86">
        <f t="shared" si="0"/>
        <v>8.3643231121303301E-4</v>
      </c>
      <c r="F15" s="86">
        <f t="shared" si="1"/>
        <v>4.182161556065165E-5</v>
      </c>
      <c r="G15" s="86">
        <f t="shared" si="2"/>
        <v>5.4535386691089745E-5</v>
      </c>
    </row>
    <row r="16" spans="1:7" ht="22.5" customHeight="1" x14ac:dyDescent="0.2">
      <c r="A16" s="84">
        <v>500612.75</v>
      </c>
      <c r="B16" s="65">
        <v>102300</v>
      </c>
      <c r="C16" s="85">
        <v>7.0000000000000007E-2</v>
      </c>
      <c r="D16" s="85">
        <v>0.20430000000000001</v>
      </c>
      <c r="E16" s="86">
        <f t="shared" si="0"/>
        <v>1.0420024374896413E-3</v>
      </c>
      <c r="F16" s="86">
        <f t="shared" si="1"/>
        <v>7.2940170624274898E-5</v>
      </c>
      <c r="G16" s="86">
        <f t="shared" si="2"/>
        <v>2.1288109797913373E-4</v>
      </c>
    </row>
    <row r="17" spans="1:7" ht="22.5" customHeight="1" x14ac:dyDescent="0.2">
      <c r="A17" s="65">
        <v>510670</v>
      </c>
      <c r="B17" s="65">
        <v>61900</v>
      </c>
      <c r="C17" s="85">
        <v>7.0000000000000007E-2</v>
      </c>
      <c r="D17" s="85">
        <v>0.1212</v>
      </c>
      <c r="E17" s="86">
        <f t="shared" si="0"/>
        <v>1.0629361412645504E-3</v>
      </c>
      <c r="F17" s="86">
        <f t="shared" si="1"/>
        <v>7.4405529888518538E-5</v>
      </c>
      <c r="G17" s="86">
        <f t="shared" si="2"/>
        <v>1.2882786032126351E-4</v>
      </c>
    </row>
    <row r="18" spans="1:7" ht="22.5" customHeight="1" x14ac:dyDescent="0.2">
      <c r="A18" s="65">
        <v>867500</v>
      </c>
      <c r="B18" s="65">
        <v>134000</v>
      </c>
      <c r="C18" s="85">
        <v>0.03</v>
      </c>
      <c r="D18" s="85">
        <v>0.1545</v>
      </c>
      <c r="E18" s="86">
        <f t="shared" si="0"/>
        <v>1.8056613910098448E-3</v>
      </c>
      <c r="F18" s="86">
        <f t="shared" si="1"/>
        <v>5.4169841730295344E-5</v>
      </c>
      <c r="G18" s="86">
        <f t="shared" si="2"/>
        <v>2.7897468491102099E-4</v>
      </c>
    </row>
    <row r="19" spans="1:7" ht="22.5" customHeight="1" x14ac:dyDescent="0.2">
      <c r="A19" s="65">
        <v>305879.25</v>
      </c>
      <c r="B19" s="65">
        <v>13400</v>
      </c>
      <c r="C19" s="85">
        <v>1.4999999999999999E-2</v>
      </c>
      <c r="D19" s="85">
        <v>4.3799999999999999E-2</v>
      </c>
      <c r="E19" s="86">
        <f t="shared" si="0"/>
        <v>6.3667360465250497E-4</v>
      </c>
      <c r="F19" s="86">
        <f t="shared" si="1"/>
        <v>9.5501040697875743E-6</v>
      </c>
      <c r="G19" s="86">
        <f t="shared" si="2"/>
        <v>2.7886303883779716E-5</v>
      </c>
    </row>
    <row r="20" spans="1:7" ht="22.5" customHeight="1" x14ac:dyDescent="0.2">
      <c r="A20" s="65">
        <v>3790063</v>
      </c>
      <c r="B20" s="65">
        <v>352050</v>
      </c>
      <c r="C20" s="85">
        <v>0.09</v>
      </c>
      <c r="D20" s="85">
        <v>9.2899999999999996E-2</v>
      </c>
      <c r="E20" s="86">
        <f t="shared" si="0"/>
        <v>7.8888419926166527E-3</v>
      </c>
      <c r="F20" s="86">
        <f t="shared" si="1"/>
        <v>7.0999577933549874E-4</v>
      </c>
      <c r="G20" s="86">
        <f t="shared" si="2"/>
        <v>7.3287342111408706E-4</v>
      </c>
    </row>
    <row r="21" spans="1:7" ht="22.5" customHeight="1" x14ac:dyDescent="0.2">
      <c r="A21" s="84">
        <v>6205668.3499999996</v>
      </c>
      <c r="B21" s="65">
        <v>192097.51</v>
      </c>
      <c r="C21" s="85">
        <v>0.06</v>
      </c>
      <c r="D21" s="85">
        <v>3.1E-2</v>
      </c>
      <c r="E21" s="86">
        <f t="shared" si="0"/>
        <v>1.2916813538912702E-2</v>
      </c>
      <c r="F21" s="86">
        <f t="shared" si="1"/>
        <v>7.7500881233476206E-4</v>
      </c>
      <c r="G21" s="86">
        <f t="shared" si="2"/>
        <v>4.0042121970629377E-4</v>
      </c>
    </row>
    <row r="22" spans="1:7" ht="22.5" customHeight="1" x14ac:dyDescent="0.2">
      <c r="A22" s="65">
        <v>13234105.960000001</v>
      </c>
      <c r="B22" s="84">
        <v>434778.24</v>
      </c>
      <c r="C22" s="85">
        <v>0.06</v>
      </c>
      <c r="D22" s="85">
        <v>3.2899999999999999E-2</v>
      </c>
      <c r="E22" s="86">
        <f t="shared" si="0"/>
        <v>2.7546183488766893E-2</v>
      </c>
      <c r="F22" s="86">
        <f t="shared" si="1"/>
        <v>1.6527710093260136E-3</v>
      </c>
      <c r="G22" s="86">
        <f t="shared" si="2"/>
        <v>9.0626943678043075E-4</v>
      </c>
    </row>
    <row r="23" spans="1:7" ht="22.5" customHeight="1" x14ac:dyDescent="0.2">
      <c r="A23" s="84">
        <v>3942721.83</v>
      </c>
      <c r="B23" s="65">
        <v>259871.52</v>
      </c>
      <c r="C23" s="85">
        <v>0.06</v>
      </c>
      <c r="D23" s="85">
        <v>6.59E-2</v>
      </c>
      <c r="E23" s="86">
        <f t="shared" si="0"/>
        <v>8.2065943330520818E-3</v>
      </c>
      <c r="F23" s="86">
        <f t="shared" si="1"/>
        <v>4.9239565998312486E-4</v>
      </c>
      <c r="G23" s="86">
        <f t="shared" si="2"/>
        <v>5.4081456654813222E-4</v>
      </c>
    </row>
    <row r="24" spans="1:7" ht="22.5" customHeight="1" x14ac:dyDescent="0.2">
      <c r="A24" s="84">
        <v>4138386.8</v>
      </c>
      <c r="B24" s="84">
        <v>332729.99</v>
      </c>
      <c r="C24" s="85">
        <v>0.06</v>
      </c>
      <c r="D24" s="85">
        <v>8.0399999999999999E-2</v>
      </c>
      <c r="E24" s="86">
        <f t="shared" si="0"/>
        <v>8.6138619778960007E-3</v>
      </c>
      <c r="F24" s="86">
        <f t="shared" si="1"/>
        <v>5.1683171867375997E-4</v>
      </c>
      <c r="G24" s="86">
        <f t="shared" si="2"/>
        <v>6.925545030228384E-4</v>
      </c>
    </row>
    <row r="25" spans="1:7" ht="22.5" customHeight="1" x14ac:dyDescent="0.2">
      <c r="A25" s="65">
        <v>2557399.0099999998</v>
      </c>
      <c r="B25" s="65">
        <v>272309.68</v>
      </c>
      <c r="C25" s="85">
        <v>0.06</v>
      </c>
      <c r="D25" s="85">
        <v>0.1065</v>
      </c>
      <c r="E25" s="86">
        <f t="shared" si="0"/>
        <v>5.3231085345980403E-3</v>
      </c>
      <c r="F25" s="86">
        <f t="shared" si="1"/>
        <v>3.1938651207588241E-4</v>
      </c>
      <c r="G25" s="86">
        <f t="shared" si="2"/>
        <v>5.6691105893469124E-4</v>
      </c>
    </row>
    <row r="26" spans="1:7" ht="22.5" customHeight="1" x14ac:dyDescent="0.2">
      <c r="A26" s="65">
        <v>2017500.63</v>
      </c>
      <c r="B26" s="65">
        <v>158536.63</v>
      </c>
      <c r="C26" s="85">
        <v>0.06</v>
      </c>
      <c r="D26" s="85">
        <v>7.8600000000000003E-2</v>
      </c>
      <c r="E26" s="86">
        <f t="shared" si="0"/>
        <v>4.1993348633187757E-3</v>
      </c>
      <c r="F26" s="86">
        <f t="shared" si="1"/>
        <v>2.5196009179912653E-4</v>
      </c>
      <c r="G26" s="86">
        <f t="shared" si="2"/>
        <v>3.3006772025685581E-4</v>
      </c>
    </row>
    <row r="27" spans="1:7" ht="22.5" customHeight="1" x14ac:dyDescent="0.2">
      <c r="A27" s="65">
        <v>1416798.7</v>
      </c>
      <c r="B27" s="84">
        <v>78419.02</v>
      </c>
      <c r="C27" s="85">
        <v>0.06</v>
      </c>
      <c r="D27" s="85">
        <v>5.5300000000000002E-2</v>
      </c>
      <c r="E27" s="86">
        <f t="shared" si="0"/>
        <v>2.9490013964529565E-3</v>
      </c>
      <c r="F27" s="86">
        <f t="shared" si="1"/>
        <v>1.7694008378717739E-4</v>
      </c>
      <c r="G27" s="86">
        <f t="shared" si="2"/>
        <v>1.6307977722384851E-4</v>
      </c>
    </row>
    <row r="28" spans="1:7" ht="22.5" customHeight="1" x14ac:dyDescent="0.2">
      <c r="A28" s="65">
        <v>1575554.67</v>
      </c>
      <c r="B28" s="65">
        <v>66198.84</v>
      </c>
      <c r="C28" s="85">
        <v>0.06</v>
      </c>
      <c r="D28" s="85">
        <v>4.2000000000000003E-2</v>
      </c>
      <c r="E28" s="86">
        <f t="shared" si="0"/>
        <v>3.2794446536533223E-3</v>
      </c>
      <c r="F28" s="86">
        <f t="shared" si="1"/>
        <v>1.9676667921919932E-4</v>
      </c>
      <c r="G28" s="86">
        <f t="shared" si="2"/>
        <v>1.3773667545343956E-4</v>
      </c>
    </row>
    <row r="29" spans="1:7" ht="22.5" customHeight="1" x14ac:dyDescent="0.2">
      <c r="A29" s="84">
        <v>631460</v>
      </c>
      <c r="B29" s="84">
        <v>58300</v>
      </c>
      <c r="C29" s="85">
        <v>0.08</v>
      </c>
      <c r="D29" s="85">
        <v>9.2299999999999993E-2</v>
      </c>
      <c r="E29" s="86">
        <f t="shared" si="0"/>
        <v>1.3143549763309241E-3</v>
      </c>
      <c r="F29" s="86">
        <f t="shared" si="1"/>
        <v>1.0514839810647392E-4</v>
      </c>
      <c r="G29" s="86">
        <f t="shared" si="2"/>
        <v>1.2131496431534429E-4</v>
      </c>
    </row>
    <row r="30" spans="1:7" ht="22.5" customHeight="1" x14ac:dyDescent="0.2">
      <c r="A30" s="65">
        <v>2018865</v>
      </c>
      <c r="B30" s="65">
        <v>143307</v>
      </c>
      <c r="C30" s="85">
        <v>0.08</v>
      </c>
      <c r="D30" s="85">
        <v>7.0999999999999994E-2</v>
      </c>
      <c r="E30" s="86">
        <f t="shared" si="0"/>
        <v>4.2021747367851185E-3</v>
      </c>
      <c r="F30" s="86">
        <f t="shared" si="1"/>
        <v>3.3617397894280951E-4</v>
      </c>
      <c r="G30" s="86">
        <f t="shared" si="2"/>
        <v>2.9835440631174339E-4</v>
      </c>
    </row>
    <row r="31" spans="1:7" ht="22.5" customHeight="1" x14ac:dyDescent="0.2">
      <c r="A31" s="65">
        <v>1677350</v>
      </c>
      <c r="B31" s="65">
        <v>117860</v>
      </c>
      <c r="C31" s="85">
        <v>7.0000000000000007E-2</v>
      </c>
      <c r="D31" s="85">
        <v>7.0300000000000001E-2</v>
      </c>
      <c r="E31" s="86">
        <f t="shared" si="0"/>
        <v>3.4913269558620903E-3</v>
      </c>
      <c r="F31" s="86">
        <f t="shared" si="1"/>
        <v>2.4439288691034634E-4</v>
      </c>
      <c r="G31" s="86">
        <f t="shared" si="2"/>
        <v>2.4544028499710494E-4</v>
      </c>
    </row>
    <row r="32" spans="1:7" ht="22.5" customHeight="1" x14ac:dyDescent="0.2">
      <c r="A32" s="84">
        <v>750291</v>
      </c>
      <c r="B32" s="65">
        <v>62196</v>
      </c>
      <c r="C32" s="85">
        <v>2.5000000000000001E-2</v>
      </c>
      <c r="D32" s="85">
        <v>8.2900000000000001E-2</v>
      </c>
      <c r="E32" s="86">
        <f t="shared" si="0"/>
        <v>1.5616962429073978E-3</v>
      </c>
      <c r="F32" s="86">
        <f t="shared" si="1"/>
        <v>3.9042406072684948E-5</v>
      </c>
      <c r="G32" s="86">
        <f t="shared" si="2"/>
        <v>1.2946461853702328E-4</v>
      </c>
    </row>
    <row r="33" spans="1:7" ht="22.5" customHeight="1" x14ac:dyDescent="0.2">
      <c r="A33" s="65">
        <v>601671</v>
      </c>
      <c r="B33" s="65">
        <v>92376</v>
      </c>
      <c r="C33" s="85">
        <v>2.5000000000000001E-2</v>
      </c>
      <c r="D33" s="85">
        <v>0.1535</v>
      </c>
      <c r="E33" s="86">
        <f t="shared" si="0"/>
        <v>1.2523505415449965E-3</v>
      </c>
      <c r="F33" s="86">
        <f t="shared" si="1"/>
        <v>3.1308763538624917E-5</v>
      </c>
      <c r="G33" s="86">
        <f t="shared" si="2"/>
        <v>1.9223580812715695E-4</v>
      </c>
    </row>
    <row r="34" spans="1:7" ht="22.5" customHeight="1" x14ac:dyDescent="0.2">
      <c r="A34" s="65">
        <v>1347878</v>
      </c>
      <c r="B34" s="65">
        <v>254583</v>
      </c>
      <c r="C34" s="85">
        <v>7.0000000000000007E-2</v>
      </c>
      <c r="D34" s="85">
        <v>0.18890000000000001</v>
      </c>
      <c r="E34" s="86">
        <f t="shared" si="0"/>
        <v>2.8055461260997898E-3</v>
      </c>
      <c r="F34" s="86">
        <f t="shared" si="1"/>
        <v>1.963882288269853E-4</v>
      </c>
      <c r="G34" s="86">
        <f t="shared" si="2"/>
        <v>5.2996766322025031E-4</v>
      </c>
    </row>
    <row r="35" spans="1:7" ht="22.5" customHeight="1" x14ac:dyDescent="0.2">
      <c r="A35" s="65">
        <v>1334790</v>
      </c>
      <c r="B35" s="65">
        <v>543050</v>
      </c>
      <c r="C35" s="64">
        <v>0.04</v>
      </c>
      <c r="D35" s="64">
        <v>0.40679999999999999</v>
      </c>
      <c r="E35" s="86">
        <f t="shared" si="0"/>
        <v>2.7783040554536379E-3</v>
      </c>
      <c r="F35" s="86">
        <f t="shared" si="1"/>
        <v>1.1113216221814551E-4</v>
      </c>
      <c r="G35" s="86">
        <f t="shared" si="2"/>
        <v>1.1302140897585398E-3</v>
      </c>
    </row>
    <row r="36" spans="1:7" ht="22.5" customHeight="1" x14ac:dyDescent="0.2">
      <c r="A36" s="65">
        <v>440276</v>
      </c>
      <c r="B36" s="65">
        <v>35350</v>
      </c>
      <c r="C36" s="64">
        <v>0.08</v>
      </c>
      <c r="D36" s="64">
        <v>8.0299999999999996E-2</v>
      </c>
      <c r="E36" s="86">
        <f t="shared" si="0"/>
        <v>9.1641426465504381E-4</v>
      </c>
      <c r="F36" s="86">
        <f t="shared" si="1"/>
        <v>7.33131411724035E-5</v>
      </c>
      <c r="G36" s="86">
        <f t="shared" si="2"/>
        <v>7.3588065451800014E-5</v>
      </c>
    </row>
    <row r="37" spans="1:7" ht="22.5" customHeight="1" x14ac:dyDescent="0.2">
      <c r="A37" s="65">
        <v>1401195</v>
      </c>
      <c r="B37" s="65">
        <v>135200</v>
      </c>
      <c r="C37" s="64">
        <v>0.08</v>
      </c>
      <c r="D37" s="64">
        <v>9.6500000000000002E-2</v>
      </c>
      <c r="E37" s="86">
        <f t="shared" si="0"/>
        <v>2.9165230118455786E-3</v>
      </c>
      <c r="F37" s="86">
        <f t="shared" si="1"/>
        <v>2.333218409476463E-4</v>
      </c>
      <c r="G37" s="86">
        <f t="shared" si="2"/>
        <v>2.8144447064309833E-4</v>
      </c>
    </row>
    <row r="38" spans="1:7" ht="22.5" customHeight="1" x14ac:dyDescent="0.2">
      <c r="A38" s="65">
        <v>1328890</v>
      </c>
      <c r="B38" s="65">
        <v>115340</v>
      </c>
      <c r="C38" s="64">
        <v>0.06</v>
      </c>
      <c r="D38" s="64">
        <v>8.6800000000000002E-2</v>
      </c>
      <c r="E38" s="86">
        <f t="shared" si="0"/>
        <v>2.7660234765407177E-3</v>
      </c>
      <c r="F38" s="86">
        <f t="shared" si="1"/>
        <v>1.6596140859244306E-4</v>
      </c>
      <c r="G38" s="86">
        <f t="shared" si="2"/>
        <v>2.4009083776373429E-4</v>
      </c>
    </row>
    <row r="39" spans="1:7" ht="22.5" customHeight="1" x14ac:dyDescent="0.2">
      <c r="A39" s="65">
        <v>1144132</v>
      </c>
      <c r="B39" s="65">
        <v>79291</v>
      </c>
      <c r="C39" s="64">
        <v>0.04</v>
      </c>
      <c r="D39" s="64">
        <v>6.93E-2</v>
      </c>
      <c r="E39" s="86">
        <f t="shared" si="0"/>
        <v>2.3814581886096552E-3</v>
      </c>
      <c r="F39" s="86">
        <f t="shared" si="1"/>
        <v>9.5258327544386215E-5</v>
      </c>
      <c r="G39" s="86">
        <f t="shared" si="2"/>
        <v>1.6503505247064912E-4</v>
      </c>
    </row>
    <row r="40" spans="1:7" ht="22.5" customHeight="1" x14ac:dyDescent="0.2">
      <c r="A40" s="65">
        <v>274436</v>
      </c>
      <c r="B40" s="65">
        <v>44226</v>
      </c>
      <c r="C40" s="64">
        <v>0.08</v>
      </c>
      <c r="D40" s="64">
        <v>0.16120000000000001</v>
      </c>
      <c r="E40" s="86">
        <f t="shared" si="0"/>
        <v>5.7122592449934044E-4</v>
      </c>
      <c r="F40" s="86">
        <f t="shared" si="1"/>
        <v>4.5698073959947238E-5</v>
      </c>
      <c r="G40" s="86">
        <f t="shared" si="2"/>
        <v>9.2081619029293687E-5</v>
      </c>
    </row>
    <row r="41" spans="1:7" ht="22.5" customHeight="1" x14ac:dyDescent="0.2">
      <c r="A41" s="65">
        <v>619978</v>
      </c>
      <c r="B41" s="65">
        <v>184925</v>
      </c>
      <c r="C41" s="64">
        <v>7.0000000000000007E-2</v>
      </c>
      <c r="D41" s="64">
        <v>0.29830000000000001</v>
      </c>
      <c r="E41" s="86">
        <f t="shared" si="0"/>
        <v>1.29045572089395E-3</v>
      </c>
      <c r="F41" s="86">
        <f t="shared" si="1"/>
        <v>9.0331900462576505E-5</v>
      </c>
      <c r="G41" s="86">
        <f t="shared" si="2"/>
        <v>3.8494294154266533E-4</v>
      </c>
    </row>
    <row r="42" spans="1:7" ht="22.5" customHeight="1" x14ac:dyDescent="0.2">
      <c r="A42" s="65">
        <v>935540</v>
      </c>
      <c r="B42" s="65">
        <v>72500</v>
      </c>
      <c r="C42" s="64">
        <v>0.04</v>
      </c>
      <c r="D42" s="64">
        <v>7.7499999999999999E-2</v>
      </c>
      <c r="E42" s="86">
        <f t="shared" si="0"/>
        <v>1.9472835247785019E-3</v>
      </c>
      <c r="F42" s="86">
        <f t="shared" si="1"/>
        <v>7.7891340991140072E-5</v>
      </c>
      <c r="G42" s="86">
        <f t="shared" si="2"/>
        <v>1.509144731703339E-4</v>
      </c>
    </row>
    <row r="43" spans="1:7" ht="22.5" customHeight="1" x14ac:dyDescent="0.2">
      <c r="A43" s="65">
        <v>659570</v>
      </c>
      <c r="B43" s="65">
        <v>313830</v>
      </c>
      <c r="C43" s="64">
        <v>0.08</v>
      </c>
      <c r="D43" s="64">
        <v>0.4758</v>
      </c>
      <c r="E43" s="86">
        <f t="shared" si="0"/>
        <v>1.3728646497618022E-3</v>
      </c>
      <c r="F43" s="86">
        <f t="shared" si="1"/>
        <v>1.0982917198094418E-4</v>
      </c>
      <c r="G43" s="86">
        <f t="shared" si="2"/>
        <v>6.5320900035666552E-4</v>
      </c>
    </row>
    <row r="44" spans="1:7" ht="22.5" customHeight="1" x14ac:dyDescent="0.2">
      <c r="A44" s="65">
        <v>1674428</v>
      </c>
      <c r="B44" s="65">
        <v>35100</v>
      </c>
      <c r="C44" s="64">
        <v>0.03</v>
      </c>
      <c r="D44" s="64">
        <v>2.1000000000000001E-2</v>
      </c>
      <c r="E44" s="86">
        <f t="shared" si="0"/>
        <v>3.4852449471191155E-3</v>
      </c>
      <c r="F44" s="86">
        <f t="shared" si="1"/>
        <v>1.0455734841357346E-4</v>
      </c>
      <c r="G44" s="86">
        <f t="shared" si="2"/>
        <v>7.3190143889501424E-5</v>
      </c>
    </row>
    <row r="45" spans="1:7" ht="22.5" customHeight="1" x14ac:dyDescent="0.2">
      <c r="A45" s="65">
        <v>1467829</v>
      </c>
      <c r="B45" s="65">
        <v>207584</v>
      </c>
      <c r="C45" s="64">
        <v>7.0000000000000007E-2</v>
      </c>
      <c r="D45" s="64">
        <v>0.1414</v>
      </c>
      <c r="E45" s="86">
        <f t="shared" si="0"/>
        <v>3.0552186212156654E-3</v>
      </c>
      <c r="F45" s="86">
        <f t="shared" si="1"/>
        <v>2.138653034850966E-4</v>
      </c>
      <c r="G45" s="86">
        <f t="shared" si="2"/>
        <v>4.3200791303989509E-4</v>
      </c>
    </row>
    <row r="46" spans="1:7" ht="22.5" customHeight="1" x14ac:dyDescent="0.2">
      <c r="A46" s="65">
        <v>819167</v>
      </c>
      <c r="B46" s="65">
        <v>76827</v>
      </c>
      <c r="C46" s="64">
        <v>0.05</v>
      </c>
      <c r="D46" s="64">
        <v>9.3799999999999994E-2</v>
      </c>
      <c r="E46" s="86">
        <f t="shared" si="0"/>
        <v>1.7050584722643938E-3</v>
      </c>
      <c r="F46" s="86">
        <f t="shared" si="1"/>
        <v>8.5252923613219695E-5</v>
      </c>
      <c r="G46" s="86">
        <f t="shared" si="2"/>
        <v>1.5993448469840013E-4</v>
      </c>
    </row>
    <row r="47" spans="1:7" ht="22.5" customHeight="1" x14ac:dyDescent="0.2">
      <c r="A47" s="65">
        <v>671038</v>
      </c>
      <c r="B47" s="65">
        <v>62148</v>
      </c>
      <c r="C47" s="64">
        <v>0.05</v>
      </c>
      <c r="D47" s="64">
        <v>9.2600000000000002E-2</v>
      </c>
      <c r="E47" s="86">
        <f t="shared" si="0"/>
        <v>1.3967347648420338E-3</v>
      </c>
      <c r="F47" s="86">
        <f t="shared" si="1"/>
        <v>6.98367382421017E-5</v>
      </c>
      <c r="G47" s="86">
        <f t="shared" si="2"/>
        <v>1.2933763922437234E-4</v>
      </c>
    </row>
    <row r="48" spans="1:7" ht="22.5" customHeight="1" x14ac:dyDescent="0.2">
      <c r="A48" s="65">
        <v>829585</v>
      </c>
      <c r="B48" s="65">
        <v>65500</v>
      </c>
      <c r="C48" s="64">
        <v>0.06</v>
      </c>
      <c r="D48" s="64">
        <v>7.9000000000000001E-2</v>
      </c>
      <c r="E48" s="86">
        <f t="shared" si="0"/>
        <v>1.7267430605889362E-3</v>
      </c>
      <c r="F48" s="86">
        <f t="shared" si="1"/>
        <v>1.0360458363533617E-4</v>
      </c>
      <c r="G48" s="86">
        <f t="shared" si="2"/>
        <v>1.3641270178652595E-4</v>
      </c>
    </row>
    <row r="49" spans="1:7" ht="22.5" customHeight="1" x14ac:dyDescent="0.2">
      <c r="A49" s="65">
        <v>6589115</v>
      </c>
      <c r="B49" s="65">
        <v>249880</v>
      </c>
      <c r="C49" s="64">
        <v>3.5000000000000003E-2</v>
      </c>
      <c r="D49" s="64">
        <v>3.7900000000000003E-2</v>
      </c>
      <c r="E49" s="86">
        <f t="shared" si="0"/>
        <v>1.3714940122678772E-2</v>
      </c>
      <c r="F49" s="86">
        <f t="shared" si="1"/>
        <v>4.8002290429375704E-4</v>
      </c>
      <c r="G49" s="86">
        <f t="shared" si="2"/>
        <v>5.1979623064952552E-4</v>
      </c>
    </row>
    <row r="50" spans="1:7" ht="22.5" customHeight="1" x14ac:dyDescent="0.2">
      <c r="A50" s="65">
        <v>3533751</v>
      </c>
      <c r="B50" s="65">
        <v>784451</v>
      </c>
      <c r="C50" s="64">
        <v>3.5000000000000003E-2</v>
      </c>
      <c r="D50" s="64">
        <v>0.222</v>
      </c>
      <c r="E50" s="86">
        <f t="shared" si="0"/>
        <v>7.3553403413745598E-3</v>
      </c>
      <c r="F50" s="86">
        <f t="shared" si="1"/>
        <v>2.5743691194810963E-4</v>
      </c>
      <c r="G50" s="86">
        <f t="shared" si="2"/>
        <v>1.6328855557851522E-3</v>
      </c>
    </row>
    <row r="51" spans="1:7" ht="22.5" customHeight="1" x14ac:dyDescent="0.2">
      <c r="A51" s="65">
        <v>1573615</v>
      </c>
      <c r="B51" s="65">
        <v>143880</v>
      </c>
      <c r="C51" s="64">
        <v>3.5000000000000003E-2</v>
      </c>
      <c r="D51" s="64">
        <v>9.1399999999999995E-2</v>
      </c>
      <c r="E51" s="86">
        <f t="shared" si="0"/>
        <v>3.2754073196702674E-3</v>
      </c>
      <c r="F51" s="86">
        <f t="shared" si="1"/>
        <v>1.1463925618845937E-4</v>
      </c>
      <c r="G51" s="86">
        <f t="shared" si="2"/>
        <v>2.9937222901786241E-4</v>
      </c>
    </row>
    <row r="52" spans="1:7" ht="22.5" customHeight="1" x14ac:dyDescent="0.2">
      <c r="A52" s="65">
        <v>1527739</v>
      </c>
      <c r="B52" s="65">
        <v>136932</v>
      </c>
      <c r="C52" s="64">
        <v>0.06</v>
      </c>
      <c r="D52" s="64">
        <v>8.9599999999999999E-2</v>
      </c>
      <c r="E52" s="86">
        <f t="shared" si="0"/>
        <v>3.179918533533129E-3</v>
      </c>
      <c r="F52" s="86">
        <f t="shared" si="1"/>
        <v>1.9079511201198774E-4</v>
      </c>
      <c r="G52" s="86">
        <f t="shared" si="2"/>
        <v>2.8492070060456837E-4</v>
      </c>
    </row>
    <row r="53" spans="1:7" ht="22.5" customHeight="1" x14ac:dyDescent="0.2">
      <c r="A53" s="65">
        <v>1211995.21</v>
      </c>
      <c r="B53" s="65">
        <v>58990</v>
      </c>
      <c r="C53" s="64">
        <v>0.1</v>
      </c>
      <c r="D53" s="64">
        <v>4.87E-2</v>
      </c>
      <c r="E53" s="86">
        <f t="shared" si="0"/>
        <v>2.5227123421162757E-3</v>
      </c>
      <c r="F53" s="86">
        <f t="shared" si="1"/>
        <v>2.5227123421162756E-4</v>
      </c>
      <c r="G53" s="86">
        <f t="shared" si="2"/>
        <v>1.2285609106106263E-4</v>
      </c>
    </row>
    <row r="54" spans="1:7" ht="22.5" customHeight="1" x14ac:dyDescent="0.2">
      <c r="A54" s="65">
        <v>614482</v>
      </c>
      <c r="B54" s="65">
        <v>58902</v>
      </c>
      <c r="C54" s="64">
        <v>0.11</v>
      </c>
      <c r="D54" s="64">
        <v>9.5899999999999999E-2</v>
      </c>
      <c r="E54" s="86">
        <f t="shared" si="0"/>
        <v>1.279016049418457E-3</v>
      </c>
      <c r="F54" s="86">
        <f t="shared" si="1"/>
        <v>1.4069176543603026E-4</v>
      </c>
      <c r="G54" s="86">
        <f t="shared" si="2"/>
        <v>1.2265763913923001E-4</v>
      </c>
    </row>
    <row r="55" spans="1:7" ht="22.5" customHeight="1" x14ac:dyDescent="0.2">
      <c r="A55" s="65">
        <v>915909</v>
      </c>
      <c r="B55" s="65">
        <v>101600</v>
      </c>
      <c r="C55" s="64">
        <v>0.08</v>
      </c>
      <c r="D55" s="64">
        <v>0.1109</v>
      </c>
      <c r="E55" s="86">
        <f t="shared" si="0"/>
        <v>1.9064225002633269E-3</v>
      </c>
      <c r="F55" s="86">
        <f t="shared" si="1"/>
        <v>1.5251380002106617E-4</v>
      </c>
      <c r="G55" s="86">
        <f t="shared" si="2"/>
        <v>2.1142225527920295E-4</v>
      </c>
    </row>
    <row r="56" spans="1:7" ht="22.5" customHeight="1" x14ac:dyDescent="0.2">
      <c r="A56" s="65">
        <v>493500</v>
      </c>
      <c r="B56" s="65">
        <v>37500</v>
      </c>
      <c r="C56" s="64">
        <v>7.0000000000000007E-2</v>
      </c>
      <c r="D56" s="64">
        <v>7.5999999999999998E-2</v>
      </c>
      <c r="E56" s="86">
        <f t="shared" si="0"/>
        <v>1.0271975751739001E-3</v>
      </c>
      <c r="F56" s="86">
        <f t="shared" si="1"/>
        <v>7.1903830262173011E-5</v>
      </c>
      <c r="G56" s="86">
        <f t="shared" si="2"/>
        <v>7.806701571321641E-5</v>
      </c>
    </row>
    <row r="57" spans="1:7" ht="22.5" customHeight="1" x14ac:dyDescent="0.2">
      <c r="A57" s="65">
        <v>4669050.43</v>
      </c>
      <c r="B57" s="65">
        <v>115528.78</v>
      </c>
      <c r="C57" s="64">
        <v>0.06</v>
      </c>
      <c r="D57" s="64">
        <v>2.47E-2</v>
      </c>
      <c r="E57" s="86">
        <f t="shared" si="0"/>
        <v>9.718413941358979E-3</v>
      </c>
      <c r="F57" s="86">
        <f t="shared" si="1"/>
        <v>5.8310483648153875E-4</v>
      </c>
      <c r="G57" s="86">
        <f t="shared" si="2"/>
        <v>2.4004482435156677E-4</v>
      </c>
    </row>
    <row r="58" spans="1:7" ht="22.5" customHeight="1" x14ac:dyDescent="0.2">
      <c r="A58" s="65">
        <v>2778684.03</v>
      </c>
      <c r="B58" s="65">
        <v>725357.91</v>
      </c>
      <c r="C58" s="64">
        <v>0.06</v>
      </c>
      <c r="D58" s="64">
        <v>0.26100000000000001</v>
      </c>
      <c r="E58" s="86">
        <f t="shared" si="0"/>
        <v>5.7837031363534765E-3</v>
      </c>
      <c r="F58" s="86">
        <f t="shared" si="1"/>
        <v>3.4702218818120857E-4</v>
      </c>
      <c r="G58" s="86">
        <f t="shared" si="2"/>
        <v>1.5095465185882575E-3</v>
      </c>
    </row>
    <row r="59" spans="1:7" ht="22.5" customHeight="1" x14ac:dyDescent="0.2">
      <c r="A59" s="65">
        <v>2820996.92</v>
      </c>
      <c r="B59" s="65">
        <v>119973</v>
      </c>
      <c r="C59" s="64">
        <v>0.06</v>
      </c>
      <c r="D59" s="64">
        <v>4.2500000000000003E-2</v>
      </c>
      <c r="E59" s="86">
        <f t="shared" si="0"/>
        <v>5.8717754727396982E-3</v>
      </c>
      <c r="F59" s="86">
        <f t="shared" si="1"/>
        <v>3.5230652836438185E-4</v>
      </c>
      <c r="G59" s="86">
        <f t="shared" si="2"/>
        <v>2.495504575914372E-4</v>
      </c>
    </row>
    <row r="60" spans="1:7" ht="22.5" customHeight="1" x14ac:dyDescent="0.2">
      <c r="A60" s="65">
        <v>453584.25</v>
      </c>
      <c r="B60" s="65">
        <v>23365.52</v>
      </c>
      <c r="C60" s="64">
        <v>0.06</v>
      </c>
      <c r="D60" s="64">
        <v>5.1499999999999997E-2</v>
      </c>
      <c r="E60" s="86">
        <f t="shared" si="0"/>
        <v>9.4411477555637717E-4</v>
      </c>
      <c r="F60" s="86">
        <f t="shared" si="1"/>
        <v>5.6646886533382627E-5</v>
      </c>
      <c r="G60" s="86">
        <f t="shared" si="2"/>
        <v>4.8621910941153422E-5</v>
      </c>
    </row>
    <row r="61" spans="1:7" ht="22.5" customHeight="1" x14ac:dyDescent="0.2">
      <c r="A61" s="65">
        <v>705900</v>
      </c>
      <c r="B61" s="65">
        <v>67900</v>
      </c>
      <c r="C61" s="64">
        <v>7.0000000000000007E-2</v>
      </c>
      <c r="D61" s="64">
        <v>9.6199999999999994E-2</v>
      </c>
      <c r="E61" s="86">
        <f t="shared" si="0"/>
        <v>1.4692984160390196E-3</v>
      </c>
      <c r="F61" s="86">
        <f t="shared" si="1"/>
        <v>1.0285088912273138E-4</v>
      </c>
      <c r="G61" s="86">
        <f t="shared" si="2"/>
        <v>1.4134650762295367E-4</v>
      </c>
    </row>
    <row r="62" spans="1:7" ht="22.5" customHeight="1" x14ac:dyDescent="0.2">
      <c r="A62" s="65">
        <v>2341548.4900000002</v>
      </c>
      <c r="B62" s="65">
        <v>336127.49</v>
      </c>
      <c r="C62" s="64">
        <v>0.1</v>
      </c>
      <c r="D62" s="64">
        <v>0.14349999999999999</v>
      </c>
      <c r="E62" s="86">
        <f t="shared" si="0"/>
        <v>4.8738255948938356E-3</v>
      </c>
      <c r="F62" s="86">
        <f t="shared" si="1"/>
        <v>4.873825594893836E-4</v>
      </c>
      <c r="G62" s="86">
        <f t="shared" si="2"/>
        <v>6.9939397286726535E-4</v>
      </c>
    </row>
    <row r="63" spans="1:7" ht="22.5" customHeight="1" x14ac:dyDescent="0.2">
      <c r="A63" s="65">
        <v>942680</v>
      </c>
      <c r="B63" s="65">
        <v>267600</v>
      </c>
      <c r="C63" s="64">
        <v>7.0000000000000007E-2</v>
      </c>
      <c r="D63" s="64">
        <v>0.28389999999999999</v>
      </c>
      <c r="E63" s="86">
        <f t="shared" si="0"/>
        <v>1.9621451067171878E-3</v>
      </c>
      <c r="F63" s="86">
        <f t="shared" si="1"/>
        <v>1.3735015747020317E-4</v>
      </c>
      <c r="G63" s="86">
        <f t="shared" si="2"/>
        <v>5.5705299579700957E-4</v>
      </c>
    </row>
    <row r="64" spans="1:7" ht="22.5" customHeight="1" x14ac:dyDescent="0.2">
      <c r="A64" s="65">
        <v>593326.25</v>
      </c>
      <c r="B64" s="65">
        <v>75600</v>
      </c>
      <c r="C64" s="64">
        <v>0.04</v>
      </c>
      <c r="D64" s="64">
        <v>0.12740000000000001</v>
      </c>
      <c r="E64" s="86">
        <f t="shared" si="0"/>
        <v>1.2349813278359136E-3</v>
      </c>
      <c r="F64" s="86">
        <f t="shared" si="1"/>
        <v>4.9399253113436548E-5</v>
      </c>
      <c r="G64" s="86">
        <f t="shared" si="2"/>
        <v>1.573366211662954E-4</v>
      </c>
    </row>
    <row r="65" spans="1:7" ht="22.5" customHeight="1" x14ac:dyDescent="0.2">
      <c r="A65" s="65">
        <v>542500</v>
      </c>
      <c r="B65" s="65">
        <v>17000</v>
      </c>
      <c r="C65" s="64">
        <v>0.02</v>
      </c>
      <c r="D65" s="64">
        <v>3.1300000000000001E-2</v>
      </c>
      <c r="E65" s="86">
        <f t="shared" si="0"/>
        <v>1.1291888237727273E-3</v>
      </c>
      <c r="F65" s="86">
        <f t="shared" si="1"/>
        <v>2.2583776475454545E-5</v>
      </c>
      <c r="G65" s="86">
        <f t="shared" si="2"/>
        <v>3.5343610184086367E-5</v>
      </c>
    </row>
    <row r="66" spans="1:7" ht="22.5" customHeight="1" x14ac:dyDescent="0.2">
      <c r="A66" s="65">
        <v>479900</v>
      </c>
      <c r="B66" s="65">
        <v>47500</v>
      </c>
      <c r="C66" s="64">
        <v>0.03</v>
      </c>
      <c r="D66" s="64">
        <v>9.9000000000000005E-2</v>
      </c>
      <c r="E66" s="86">
        <f t="shared" si="0"/>
        <v>9.9888980005259317E-4</v>
      </c>
      <c r="F66" s="86">
        <f t="shared" si="1"/>
        <v>2.9966694001577795E-5</v>
      </c>
      <c r="G66" s="86">
        <f t="shared" si="2"/>
        <v>9.8890090205206731E-5</v>
      </c>
    </row>
    <row r="67" spans="1:7" ht="22.5" customHeight="1" x14ac:dyDescent="0.2">
      <c r="A67" s="65">
        <v>1355476.5</v>
      </c>
      <c r="B67" s="65">
        <v>188025</v>
      </c>
      <c r="C67" s="64">
        <v>0.08</v>
      </c>
      <c r="D67" s="64">
        <v>0.13869999999999999</v>
      </c>
      <c r="E67" s="86">
        <f t="shared" si="0"/>
        <v>2.8213620547217935E-3</v>
      </c>
      <c r="F67" s="86">
        <f t="shared" si="1"/>
        <v>2.2570896437774349E-4</v>
      </c>
      <c r="G67" s="86">
        <f t="shared" si="2"/>
        <v>3.9132291698991271E-4</v>
      </c>
    </row>
    <row r="68" spans="1:7" ht="22.5" customHeight="1" x14ac:dyDescent="0.2">
      <c r="A68" s="65">
        <v>271200</v>
      </c>
      <c r="B68" s="65">
        <v>58600</v>
      </c>
      <c r="C68" s="64">
        <v>0.03</v>
      </c>
      <c r="D68" s="64">
        <v>0.21609999999999999</v>
      </c>
      <c r="E68" s="86">
        <f t="shared" si="0"/>
        <v>5.6449033918371178E-4</v>
      </c>
      <c r="F68" s="86">
        <f t="shared" si="1"/>
        <v>1.6934710175511352E-5</v>
      </c>
      <c r="G68" s="86">
        <f t="shared" si="2"/>
        <v>1.219863622976001E-4</v>
      </c>
    </row>
    <row r="69" spans="1:7" ht="22.5" customHeight="1" x14ac:dyDescent="0.2">
      <c r="A69" s="65">
        <v>703690</v>
      </c>
      <c r="B69" s="65">
        <v>474490</v>
      </c>
      <c r="C69" s="64">
        <v>0.06</v>
      </c>
      <c r="D69" s="64">
        <v>0.67430000000000001</v>
      </c>
      <c r="E69" s="86">
        <f t="shared" si="0"/>
        <v>1.4646984025818073E-3</v>
      </c>
      <c r="F69" s="86">
        <f t="shared" si="1"/>
        <v>8.7881904154908435E-5</v>
      </c>
      <c r="G69" s="86">
        <f t="shared" si="2"/>
        <v>9.876461328609126E-4</v>
      </c>
    </row>
    <row r="70" spans="1:7" ht="22.5" customHeight="1" x14ac:dyDescent="0.2">
      <c r="A70" s="65">
        <v>632465</v>
      </c>
      <c r="B70" s="65">
        <v>104400</v>
      </c>
      <c r="C70" s="64">
        <v>0.05</v>
      </c>
      <c r="D70" s="64">
        <v>0.1651</v>
      </c>
      <c r="E70" s="86">
        <f t="shared" si="0"/>
        <v>1.3164468376542266E-3</v>
      </c>
      <c r="F70" s="86">
        <f t="shared" si="1"/>
        <v>6.5822341882711331E-5</v>
      </c>
      <c r="G70" s="86">
        <f t="shared" si="2"/>
        <v>2.173453728967128E-4</v>
      </c>
    </row>
    <row r="71" spans="1:7" ht="22.5" customHeight="1" x14ac:dyDescent="0.2">
      <c r="A71" s="65">
        <v>574772</v>
      </c>
      <c r="B71" s="65">
        <v>57300</v>
      </c>
      <c r="C71" s="64">
        <v>0.09</v>
      </c>
      <c r="D71" s="64">
        <v>9.9699999999999997E-2</v>
      </c>
      <c r="E71" s="86">
        <f t="shared" si="0"/>
        <v>1.1963615089723464E-3</v>
      </c>
      <c r="F71" s="86">
        <f t="shared" si="1"/>
        <v>1.0767253580751117E-4</v>
      </c>
      <c r="G71" s="86">
        <f t="shared" si="2"/>
        <v>1.1927724244454293E-4</v>
      </c>
    </row>
    <row r="72" spans="1:7" ht="22.5" customHeight="1" x14ac:dyDescent="0.2">
      <c r="A72" s="65">
        <v>292457</v>
      </c>
      <c r="B72" s="65">
        <v>57180</v>
      </c>
      <c r="C72" s="64">
        <v>0.02</v>
      </c>
      <c r="D72" s="64">
        <v>0.19550000000000001</v>
      </c>
      <c r="E72" s="86">
        <f t="shared" si="0"/>
        <v>6.0873580798912526E-4</v>
      </c>
      <c r="F72" s="86">
        <f t="shared" si="1"/>
        <v>1.2174716159782505E-5</v>
      </c>
      <c r="G72" s="86">
        <f t="shared" si="2"/>
        <v>1.1900785046187399E-4</v>
      </c>
    </row>
    <row r="73" spans="1:7" ht="22.5" customHeight="1" x14ac:dyDescent="0.2">
      <c r="A73" s="65">
        <v>213560</v>
      </c>
      <c r="B73" s="65">
        <v>75400</v>
      </c>
      <c r="C73" s="64">
        <v>0.02</v>
      </c>
      <c r="D73" s="64">
        <v>0.35310000000000002</v>
      </c>
      <c r="E73" s="86">
        <f t="shared" si="0"/>
        <v>4.4451532756664263E-4</v>
      </c>
      <c r="F73" s="86">
        <f t="shared" si="1"/>
        <v>8.8903065513328526E-6</v>
      </c>
      <c r="G73" s="86">
        <f t="shared" si="2"/>
        <v>1.5695836216378153E-4</v>
      </c>
    </row>
    <row r="74" spans="1:7" ht="22.5" customHeight="1" x14ac:dyDescent="0.2">
      <c r="A74" s="65">
        <v>519335</v>
      </c>
      <c r="B74" s="65">
        <v>36529</v>
      </c>
      <c r="C74" s="64">
        <v>7.0000000000000007E-2</v>
      </c>
      <c r="D74" s="64">
        <v>7.0300000000000001E-2</v>
      </c>
      <c r="E74" s="86">
        <f t="shared" si="0"/>
        <v>1.0809719406341186E-3</v>
      </c>
      <c r="F74" s="86">
        <f t="shared" si="1"/>
        <v>7.5668035844388311E-5</v>
      </c>
      <c r="G74" s="86">
        <f t="shared" si="2"/>
        <v>7.599232742657854E-5</v>
      </c>
    </row>
    <row r="75" spans="1:7" ht="22.5" customHeight="1" x14ac:dyDescent="0.2">
      <c r="A75" s="65">
        <v>575680</v>
      </c>
      <c r="B75" s="65">
        <v>29860</v>
      </c>
      <c r="C75" s="64">
        <v>0.04</v>
      </c>
      <c r="D75" s="64">
        <v>5.1900000000000002E-2</v>
      </c>
      <c r="E75" s="86">
        <f t="shared" si="0"/>
        <v>1.1982514692525043E-3</v>
      </c>
      <c r="F75" s="86">
        <f t="shared" si="1"/>
        <v>4.7930058770100172E-5</v>
      </c>
      <c r="G75" s="86">
        <f t="shared" si="2"/>
        <v>6.2189251254204979E-5</v>
      </c>
    </row>
    <row r="76" spans="1:7" ht="22.5" customHeight="1" x14ac:dyDescent="0.2">
      <c r="A76" s="65">
        <v>478902.04</v>
      </c>
      <c r="B76" s="65">
        <v>59900</v>
      </c>
      <c r="C76" s="64">
        <v>0.02</v>
      </c>
      <c r="D76" s="64">
        <v>0.12509999999999999</v>
      </c>
      <c r="E76" s="86">
        <f t="shared" si="0"/>
        <v>9.968125921658241E-4</v>
      </c>
      <c r="F76" s="86">
        <f t="shared" si="1"/>
        <v>1.9936251843316482E-5</v>
      </c>
      <c r="G76" s="86">
        <f t="shared" si="2"/>
        <v>1.2470125527994457E-4</v>
      </c>
    </row>
    <row r="77" spans="1:7" ht="22.5" customHeight="1" x14ac:dyDescent="0.2">
      <c r="A77" s="65">
        <v>548500</v>
      </c>
      <c r="B77" s="65">
        <v>72300</v>
      </c>
      <c r="C77" s="64">
        <v>7.0000000000000007E-2</v>
      </c>
      <c r="D77" s="64">
        <v>0.1318</v>
      </c>
      <c r="E77" s="86">
        <f t="shared" si="0"/>
        <v>1.1416775480909509E-3</v>
      </c>
      <c r="F77" s="86">
        <f t="shared" si="1"/>
        <v>7.9917428366366576E-5</v>
      </c>
      <c r="G77" s="86">
        <f t="shared" si="2"/>
        <v>1.5047310083838732E-4</v>
      </c>
    </row>
    <row r="78" spans="1:7" ht="22.5" customHeight="1" x14ac:dyDescent="0.2">
      <c r="A78" s="65">
        <v>859089</v>
      </c>
      <c r="B78" s="65">
        <v>24000</v>
      </c>
      <c r="C78" s="64">
        <v>0.05</v>
      </c>
      <c r="D78" s="64">
        <v>2.7900000000000001E-2</v>
      </c>
      <c r="E78" s="86">
        <f t="shared" si="0"/>
        <v>1.7881542809697483E-3</v>
      </c>
      <c r="F78" s="86">
        <f t="shared" si="1"/>
        <v>8.9407714048487418E-5</v>
      </c>
      <c r="G78" s="86">
        <f t="shared" si="2"/>
        <v>4.9889504439055979E-5</v>
      </c>
    </row>
    <row r="79" spans="1:7" ht="22.5" customHeight="1" x14ac:dyDescent="0.2">
      <c r="A79" s="65">
        <v>956735</v>
      </c>
      <c r="B79" s="65">
        <v>76540</v>
      </c>
      <c r="C79" s="64">
        <v>0.08</v>
      </c>
      <c r="D79" s="64">
        <v>0.08</v>
      </c>
      <c r="E79" s="86">
        <f t="shared" si="0"/>
        <v>1.9913999434326272E-3</v>
      </c>
      <c r="F79" s="86">
        <f t="shared" si="1"/>
        <v>1.5931199547461017E-4</v>
      </c>
      <c r="G79" s="86">
        <f t="shared" si="2"/>
        <v>1.5931199547461017E-4</v>
      </c>
    </row>
    <row r="80" spans="1:7" ht="22.5" customHeight="1" x14ac:dyDescent="0.2">
      <c r="A80" s="65">
        <v>227375</v>
      </c>
      <c r="B80" s="65">
        <v>15740</v>
      </c>
      <c r="C80" s="64">
        <v>0.06</v>
      </c>
      <c r="D80" s="64">
        <v>6.9199999999999998E-2</v>
      </c>
      <c r="E80" s="86">
        <f t="shared" si="0"/>
        <v>4.732706153093527E-4</v>
      </c>
      <c r="F80" s="86">
        <f t="shared" si="1"/>
        <v>2.8396236918561162E-5</v>
      </c>
      <c r="G80" s="86">
        <f t="shared" si="2"/>
        <v>3.2750326579407204E-5</v>
      </c>
    </row>
    <row r="81" spans="1:7" ht="22.5" customHeight="1" x14ac:dyDescent="0.2">
      <c r="A81" s="65">
        <v>473484.5</v>
      </c>
      <c r="B81" s="65">
        <v>96194.5</v>
      </c>
      <c r="C81" s="64">
        <v>0.02</v>
      </c>
      <c r="D81" s="64">
        <v>0.20319999999999999</v>
      </c>
      <c r="E81" s="86">
        <f t="shared" si="0"/>
        <v>9.8553623157533244E-4</v>
      </c>
      <c r="F81" s="86">
        <f t="shared" si="1"/>
        <v>1.971072463150665E-5</v>
      </c>
      <c r="G81" s="86">
        <f t="shared" si="2"/>
        <v>2.0026096225610754E-4</v>
      </c>
    </row>
    <row r="82" spans="1:7" ht="22.5" customHeight="1" x14ac:dyDescent="0.2">
      <c r="A82" s="65">
        <v>540200</v>
      </c>
      <c r="B82" s="65">
        <v>28200</v>
      </c>
      <c r="C82" s="64">
        <v>0.03</v>
      </c>
      <c r="D82" s="64">
        <v>5.2200000000000003E-2</v>
      </c>
      <c r="E82" s="86">
        <f t="shared" si="0"/>
        <v>1.1244014794507414E-3</v>
      </c>
      <c r="F82" s="86">
        <f t="shared" si="1"/>
        <v>3.3732044383522243E-5</v>
      </c>
      <c r="G82" s="86">
        <f t="shared" si="2"/>
        <v>5.8693757227328708E-5</v>
      </c>
    </row>
    <row r="83" spans="1:7" ht="22.5" customHeight="1" x14ac:dyDescent="0.2">
      <c r="A83" s="65">
        <v>291115</v>
      </c>
      <c r="B83" s="65">
        <v>22800</v>
      </c>
      <c r="C83" s="64">
        <v>0.05</v>
      </c>
      <c r="D83" s="64">
        <v>7.8299999999999995E-2</v>
      </c>
      <c r="E83" s="86">
        <f t="shared" si="0"/>
        <v>6.059424966499493E-4</v>
      </c>
      <c r="F83" s="86">
        <f t="shared" si="1"/>
        <v>3.0297124832497466E-5</v>
      </c>
      <c r="G83" s="86">
        <f t="shared" si="2"/>
        <v>4.7445297487691027E-5</v>
      </c>
    </row>
    <row r="84" spans="1:7" ht="22.5" customHeight="1" x14ac:dyDescent="0.2">
      <c r="A84" s="65">
        <v>663540</v>
      </c>
      <c r="B84" s="65">
        <v>116050</v>
      </c>
      <c r="C84" s="64">
        <v>0.06</v>
      </c>
      <c r="D84" s="64">
        <v>0.1749</v>
      </c>
      <c r="E84" s="86">
        <f t="shared" si="0"/>
        <v>1.3811280223523601E-3</v>
      </c>
      <c r="F84" s="86">
        <f t="shared" si="1"/>
        <v>8.2867681341141606E-5</v>
      </c>
      <c r="G84" s="86">
        <f t="shared" si="2"/>
        <v>2.4155929110942779E-4</v>
      </c>
    </row>
    <row r="85" spans="1:7" ht="22.5" customHeight="1" x14ac:dyDescent="0.2">
      <c r="A85" s="65">
        <v>597800</v>
      </c>
      <c r="B85" s="65">
        <v>128600</v>
      </c>
      <c r="C85" s="64">
        <v>0.02</v>
      </c>
      <c r="D85" s="64">
        <v>0.21510000000000001</v>
      </c>
      <c r="E85" s="86">
        <f t="shared" si="0"/>
        <v>1.2442932329056891E-3</v>
      </c>
      <c r="F85" s="86">
        <f t="shared" si="1"/>
        <v>2.4885864658113785E-5</v>
      </c>
      <c r="G85" s="86">
        <f t="shared" si="2"/>
        <v>2.6764747439801375E-4</v>
      </c>
    </row>
    <row r="86" spans="1:7" ht="22.5" customHeight="1" x14ac:dyDescent="0.2">
      <c r="A86" s="65">
        <v>125600</v>
      </c>
      <c r="B86" s="65">
        <v>29900</v>
      </c>
      <c r="C86" s="64">
        <v>0.02</v>
      </c>
      <c r="D86" s="64">
        <v>0.23810000000000001</v>
      </c>
      <c r="E86" s="86">
        <f t="shared" si="0"/>
        <v>2.6143062906148302E-4</v>
      </c>
      <c r="F86" s="86">
        <f t="shared" si="1"/>
        <v>5.2286125812296603E-6</v>
      </c>
      <c r="G86" s="86">
        <f t="shared" si="2"/>
        <v>6.2246632779539108E-5</v>
      </c>
    </row>
    <row r="87" spans="1:7" ht="22.5" customHeight="1" x14ac:dyDescent="0.2">
      <c r="A87" s="65">
        <v>451400</v>
      </c>
      <c r="B87" s="65">
        <v>88800</v>
      </c>
      <c r="C87" s="64">
        <v>7.0000000000000007E-2</v>
      </c>
      <c r="D87" s="64">
        <v>0.19670000000000001</v>
      </c>
      <c r="E87" s="86">
        <f t="shared" si="0"/>
        <v>9.3956835954103052E-4</v>
      </c>
      <c r="F87" s="86">
        <f t="shared" si="1"/>
        <v>6.5769785167872139E-5</v>
      </c>
      <c r="G87" s="86">
        <f t="shared" si="2"/>
        <v>1.8481309632172071E-4</v>
      </c>
    </row>
    <row r="88" spans="1:7" ht="22.5" customHeight="1" x14ac:dyDescent="0.2">
      <c r="A88" s="65">
        <v>828275</v>
      </c>
      <c r="B88" s="65">
        <v>134800</v>
      </c>
      <c r="C88" s="64">
        <v>7.0000000000000007E-2</v>
      </c>
      <c r="D88" s="64">
        <v>0.16270000000000001</v>
      </c>
      <c r="E88" s="86">
        <f t="shared" si="0"/>
        <v>1.7240163557794574E-3</v>
      </c>
      <c r="F88" s="86">
        <f t="shared" si="1"/>
        <v>1.2068114490456203E-4</v>
      </c>
      <c r="G88" s="86">
        <f t="shared" si="2"/>
        <v>2.8049746108531776E-4</v>
      </c>
    </row>
    <row r="89" spans="1:7" ht="22.5" customHeight="1" x14ac:dyDescent="0.2">
      <c r="A89" s="65">
        <v>700400</v>
      </c>
      <c r="B89" s="65">
        <v>32000</v>
      </c>
      <c r="C89" s="64">
        <v>0.04</v>
      </c>
      <c r="D89" s="64">
        <v>4.5699999999999998E-2</v>
      </c>
      <c r="E89" s="86">
        <f t="shared" si="0"/>
        <v>1.4578504187473145E-3</v>
      </c>
      <c r="F89" s="86">
        <f t="shared" si="1"/>
        <v>5.8314016749892581E-5</v>
      </c>
      <c r="G89" s="86">
        <f t="shared" si="2"/>
        <v>6.6623764136752276E-5</v>
      </c>
    </row>
    <row r="90" spans="1:7" ht="22.5" customHeight="1" x14ac:dyDescent="0.2">
      <c r="A90" s="65">
        <v>460335</v>
      </c>
      <c r="B90" s="65">
        <v>112200</v>
      </c>
      <c r="C90" s="64">
        <v>0.02</v>
      </c>
      <c r="D90" s="64">
        <v>0.2437</v>
      </c>
      <c r="E90" s="86">
        <f t="shared" si="0"/>
        <v>9.5816615150491862E-4</v>
      </c>
      <c r="F90" s="86">
        <f t="shared" si="1"/>
        <v>1.9163323030098373E-5</v>
      </c>
      <c r="G90" s="86">
        <f t="shared" si="2"/>
        <v>2.3350509112174866E-4</v>
      </c>
    </row>
    <row r="91" spans="1:7" ht="22.5" customHeight="1" x14ac:dyDescent="0.2">
      <c r="A91" s="65">
        <v>772900</v>
      </c>
      <c r="B91" s="65">
        <v>67220</v>
      </c>
      <c r="C91" s="64">
        <v>0.02</v>
      </c>
      <c r="D91" s="64">
        <v>8.6999999999999994E-2</v>
      </c>
      <c r="E91" s="86">
        <f t="shared" si="0"/>
        <v>1.6087558375925178E-3</v>
      </c>
      <c r="F91" s="86">
        <f t="shared" si="1"/>
        <v>3.2175116751850357E-5</v>
      </c>
      <c r="G91" s="86">
        <f t="shared" si="2"/>
        <v>1.3996175787054903E-4</v>
      </c>
    </row>
    <row r="92" spans="1:7" ht="22.5" customHeight="1" x14ac:dyDescent="0.2">
      <c r="A92" s="65">
        <v>548910</v>
      </c>
      <c r="B92" s="65">
        <v>50300</v>
      </c>
      <c r="C92" s="64">
        <v>0.02</v>
      </c>
      <c r="D92" s="64">
        <v>9.1600000000000001E-2</v>
      </c>
      <c r="E92" s="86">
        <f t="shared" si="0"/>
        <v>1.1425309442526961E-3</v>
      </c>
      <c r="F92" s="86">
        <f t="shared" si="1"/>
        <v>2.2850618885053922E-5</v>
      </c>
      <c r="G92" s="86">
        <f t="shared" si="2"/>
        <v>1.0465583449354697E-4</v>
      </c>
    </row>
    <row r="93" spans="1:7" ht="22.5" customHeight="1" x14ac:dyDescent="0.2">
      <c r="A93" s="65">
        <v>1026995</v>
      </c>
      <c r="B93" s="65">
        <v>31500</v>
      </c>
      <c r="C93" s="64">
        <v>0.03</v>
      </c>
      <c r="D93" s="64">
        <v>3.0700000000000002E-2</v>
      </c>
      <c r="E93" s="86">
        <f t="shared" si="0"/>
        <v>2.1376429051990268E-3</v>
      </c>
      <c r="F93" s="86">
        <f t="shared" si="1"/>
        <v>6.4129287155970804E-5</v>
      </c>
      <c r="G93" s="86">
        <f t="shared" si="2"/>
        <v>6.5625637189610126E-5</v>
      </c>
    </row>
    <row r="94" spans="1:7" ht="22.5" customHeight="1" x14ac:dyDescent="0.2">
      <c r="A94" s="65">
        <v>3538938</v>
      </c>
      <c r="B94" s="65">
        <v>341619</v>
      </c>
      <c r="C94" s="64">
        <v>0.02</v>
      </c>
      <c r="D94" s="64">
        <v>9.6500000000000002E-2</v>
      </c>
      <c r="E94" s="86">
        <f t="shared" si="0"/>
        <v>7.3661368435476637E-3</v>
      </c>
      <c r="F94" s="86">
        <f t="shared" si="1"/>
        <v>1.4732273687095328E-4</v>
      </c>
      <c r="G94" s="86">
        <f t="shared" si="2"/>
        <v>7.1083220540234953E-4</v>
      </c>
    </row>
    <row r="95" spans="1:7" ht="22.5" customHeight="1" x14ac:dyDescent="0.2">
      <c r="A95" s="65">
        <v>429600</v>
      </c>
      <c r="B95" s="65">
        <v>25100</v>
      </c>
      <c r="C95" s="64">
        <v>0.03</v>
      </c>
      <c r="D95" s="64">
        <v>5.8400000000000001E-2</v>
      </c>
      <c r="E95" s="86">
        <f t="shared" si="0"/>
        <v>8.9419266118481776E-4</v>
      </c>
      <c r="F95" s="86">
        <f t="shared" si="1"/>
        <v>2.6825779835544533E-5</v>
      </c>
      <c r="G95" s="86">
        <f t="shared" si="2"/>
        <v>5.2220851413193357E-5</v>
      </c>
    </row>
    <row r="96" spans="1:7" ht="22.5" customHeight="1" x14ac:dyDescent="0.2">
      <c r="A96" s="65">
        <v>472000</v>
      </c>
      <c r="B96" s="65">
        <v>197500</v>
      </c>
      <c r="C96" s="64">
        <v>0.03</v>
      </c>
      <c r="D96" s="64">
        <v>0.41839999999999999</v>
      </c>
      <c r="E96" s="86">
        <f t="shared" si="0"/>
        <v>9.8244631303359871E-4</v>
      </c>
      <c r="F96" s="86">
        <f t="shared" si="1"/>
        <v>2.947338939100796E-5</v>
      </c>
      <c r="G96" s="86">
        <f t="shared" si="2"/>
        <v>4.1105553737325767E-4</v>
      </c>
    </row>
    <row r="97" spans="1:7" ht="22.5" customHeight="1" x14ac:dyDescent="0.2">
      <c r="A97" s="65">
        <v>554505</v>
      </c>
      <c r="B97" s="65">
        <v>54620</v>
      </c>
      <c r="C97" s="64">
        <v>0.03</v>
      </c>
      <c r="D97" s="64">
        <v>9.8500000000000004E-2</v>
      </c>
      <c r="E97" s="86">
        <f t="shared" si="0"/>
        <v>1.1541766796794397E-3</v>
      </c>
      <c r="F97" s="86">
        <f t="shared" si="1"/>
        <v>3.462530039038319E-5</v>
      </c>
      <c r="G97" s="86">
        <f t="shared" si="2"/>
        <v>1.1368640294842481E-4</v>
      </c>
    </row>
    <row r="98" spans="1:7" ht="22.5" customHeight="1" x14ac:dyDescent="0.2">
      <c r="A98" s="65">
        <v>2142970</v>
      </c>
      <c r="B98" s="65">
        <v>262820</v>
      </c>
      <c r="C98" s="64">
        <v>0.03</v>
      </c>
      <c r="D98" s="64">
        <v>0.1226</v>
      </c>
      <c r="E98" s="86">
        <f t="shared" si="0"/>
        <v>4.4604935920373109E-3</v>
      </c>
      <c r="F98" s="86">
        <f t="shared" si="1"/>
        <v>1.3381480776111933E-4</v>
      </c>
      <c r="G98" s="86">
        <f t="shared" si="2"/>
        <v>5.4685651438377437E-4</v>
      </c>
    </row>
    <row r="99" spans="1:7" ht="22.5" customHeight="1" x14ac:dyDescent="0.2">
      <c r="A99" s="65">
        <v>773125</v>
      </c>
      <c r="B99" s="65">
        <v>201200</v>
      </c>
      <c r="C99" s="64">
        <v>0.03</v>
      </c>
      <c r="D99" s="64">
        <v>0.26019999999999999</v>
      </c>
      <c r="E99" s="86">
        <f t="shared" si="0"/>
        <v>1.609224164754451E-3</v>
      </c>
      <c r="F99" s="86">
        <f t="shared" si="1"/>
        <v>4.8276724942633528E-5</v>
      </c>
      <c r="G99" s="86">
        <f t="shared" si="2"/>
        <v>4.1872012766910812E-4</v>
      </c>
    </row>
    <row r="100" spans="1:7" ht="22.5" customHeight="1" x14ac:dyDescent="0.2">
      <c r="A100" s="65">
        <v>557518</v>
      </c>
      <c r="B100" s="65">
        <v>52100</v>
      </c>
      <c r="C100" s="64">
        <v>0.02</v>
      </c>
      <c r="D100" s="64">
        <v>9.3399999999999997E-2</v>
      </c>
      <c r="E100" s="86">
        <f t="shared" si="0"/>
        <v>1.1604481007412412E-3</v>
      </c>
      <c r="F100" s="86">
        <f t="shared" si="1"/>
        <v>2.3208962014824825E-5</v>
      </c>
      <c r="G100" s="86">
        <f t="shared" si="2"/>
        <v>1.0838585260923193E-4</v>
      </c>
    </row>
    <row r="101" spans="1:7" ht="22.5" customHeight="1" x14ac:dyDescent="0.2">
      <c r="A101" s="65">
        <v>1227300</v>
      </c>
      <c r="B101" s="65">
        <v>151600</v>
      </c>
      <c r="C101" s="64">
        <v>0.03</v>
      </c>
      <c r="D101" s="64">
        <v>0.1235</v>
      </c>
      <c r="E101" s="86">
        <f t="shared" si="0"/>
        <v>2.55456855929266E-3</v>
      </c>
      <c r="F101" s="86">
        <f t="shared" si="1"/>
        <v>7.6637056778779803E-5</v>
      </c>
      <c r="G101" s="86">
        <f t="shared" si="2"/>
        <v>3.1548921707264351E-4</v>
      </c>
    </row>
    <row r="102" spans="1:7" ht="22.5" customHeight="1" x14ac:dyDescent="0.2">
      <c r="A102" s="65">
        <v>1491639</v>
      </c>
      <c r="B102" s="65">
        <v>113900</v>
      </c>
      <c r="C102" s="64">
        <v>0.03</v>
      </c>
      <c r="D102" s="64">
        <v>7.6399999999999996E-2</v>
      </c>
      <c r="E102" s="86">
        <f t="shared" si="0"/>
        <v>3.1047780422184829E-3</v>
      </c>
      <c r="F102" s="86">
        <f t="shared" si="1"/>
        <v>9.3143341266554484E-5</v>
      </c>
      <c r="G102" s="86">
        <f t="shared" si="2"/>
        <v>2.3720504242549209E-4</v>
      </c>
    </row>
    <row r="103" spans="1:7" ht="22.5" customHeight="1" x14ac:dyDescent="0.2">
      <c r="A103" s="65">
        <v>1653485</v>
      </c>
      <c r="B103" s="65">
        <v>54650</v>
      </c>
      <c r="C103" s="64">
        <v>0.03</v>
      </c>
      <c r="D103" s="64">
        <v>3.3099999999999997E-2</v>
      </c>
      <c r="E103" s="86">
        <f t="shared" si="0"/>
        <v>3.4416530548863557E-3</v>
      </c>
      <c r="F103" s="86">
        <f t="shared" si="1"/>
        <v>1.0324959164659066E-4</v>
      </c>
      <c r="G103" s="86">
        <f t="shared" si="2"/>
        <v>1.1391871611673837E-4</v>
      </c>
    </row>
    <row r="104" spans="1:7" ht="22.5" customHeight="1" x14ac:dyDescent="0.2">
      <c r="A104" s="65">
        <v>349862</v>
      </c>
      <c r="B104" s="65">
        <v>42000</v>
      </c>
      <c r="C104" s="64">
        <v>0.01</v>
      </c>
      <c r="D104" s="64">
        <v>0.12</v>
      </c>
      <c r="E104" s="86">
        <f t="shared" si="0"/>
        <v>7.2822167790373069E-4</v>
      </c>
      <c r="F104" s="86">
        <f t="shared" si="1"/>
        <v>7.282216779037307E-6</v>
      </c>
      <c r="G104" s="86">
        <f t="shared" si="2"/>
        <v>8.7386601348447674E-5</v>
      </c>
    </row>
    <row r="105" spans="1:7" ht="22.5" customHeight="1" x14ac:dyDescent="0.2">
      <c r="A105" s="65">
        <v>378945</v>
      </c>
      <c r="B105" s="65">
        <v>35800</v>
      </c>
      <c r="C105" s="64">
        <v>0.03</v>
      </c>
      <c r="D105" s="64">
        <v>9.4500000000000001E-2</v>
      </c>
      <c r="E105" s="86">
        <f t="shared" si="0"/>
        <v>7.8875660612821408E-4</v>
      </c>
      <c r="F105" s="86">
        <f t="shared" si="1"/>
        <v>2.3662698183846422E-5</v>
      </c>
      <c r="G105" s="86">
        <f t="shared" si="2"/>
        <v>7.4537499279116228E-5</v>
      </c>
    </row>
    <row r="106" spans="1:7" ht="22.5" customHeight="1" x14ac:dyDescent="0.2">
      <c r="A106" s="65">
        <v>227998</v>
      </c>
      <c r="B106" s="65">
        <v>6000</v>
      </c>
      <c r="C106" s="64">
        <v>0.02</v>
      </c>
      <c r="D106" s="64">
        <v>2.63E-2</v>
      </c>
      <c r="E106" s="86">
        <f t="shared" si="0"/>
        <v>4.7456736118439496E-4</v>
      </c>
      <c r="F106" s="86">
        <f t="shared" si="1"/>
        <v>9.4913472236879E-6</v>
      </c>
      <c r="G106" s="86">
        <f t="shared" si="2"/>
        <v>1.2481121599149588E-5</v>
      </c>
    </row>
    <row r="107" spans="1:7" ht="22.5" customHeight="1" x14ac:dyDescent="0.2">
      <c r="A107" s="65">
        <v>649325</v>
      </c>
      <c r="B107" s="65">
        <v>87243</v>
      </c>
      <c r="C107" s="64">
        <v>0.01</v>
      </c>
      <c r="D107" s="64">
        <v>0.13439999999999999</v>
      </c>
      <c r="E107" s="86">
        <f t="shared" si="0"/>
        <v>1.3515401529884351E-3</v>
      </c>
      <c r="F107" s="86">
        <f t="shared" si="1"/>
        <v>1.3515401529884351E-5</v>
      </c>
      <c r="G107" s="86">
        <f t="shared" si="2"/>
        <v>1.8164699656164567E-4</v>
      </c>
    </row>
    <row r="108" spans="1:7" ht="22.5" customHeight="1" x14ac:dyDescent="0.2">
      <c r="A108" s="65">
        <v>326700</v>
      </c>
      <c r="B108" s="65">
        <v>29200</v>
      </c>
      <c r="C108" s="64">
        <v>0.03</v>
      </c>
      <c r="D108" s="64">
        <v>8.9399999999999993E-2</v>
      </c>
      <c r="E108" s="86">
        <f t="shared" si="0"/>
        <v>6.8001103912728106E-4</v>
      </c>
      <c r="F108" s="86">
        <f t="shared" si="1"/>
        <v>2.0400331173818432E-5</v>
      </c>
      <c r="G108" s="86">
        <f t="shared" si="2"/>
        <v>6.0792986897978924E-5</v>
      </c>
    </row>
    <row r="109" spans="1:7" ht="22.5" customHeight="1" x14ac:dyDescent="0.2">
      <c r="A109" s="65">
        <v>637229</v>
      </c>
      <c r="B109" s="65">
        <v>138250</v>
      </c>
      <c r="C109" s="64">
        <v>0.03</v>
      </c>
      <c r="D109" s="64">
        <v>0.217</v>
      </c>
      <c r="E109" s="86">
        <f t="shared" si="0"/>
        <v>1.3263628847628962E-3</v>
      </c>
      <c r="F109" s="86">
        <f t="shared" si="1"/>
        <v>3.9790886542886883E-5</v>
      </c>
      <c r="G109" s="86">
        <f t="shared" si="2"/>
        <v>2.8782074599354845E-4</v>
      </c>
    </row>
    <row r="110" spans="1:7" ht="22.5" customHeight="1" x14ac:dyDescent="0.2">
      <c r="A110" s="65">
        <v>395675</v>
      </c>
      <c r="B110" s="65">
        <v>20800</v>
      </c>
      <c r="C110" s="64">
        <v>0.02</v>
      </c>
      <c r="D110" s="64">
        <v>5.2600000000000001E-2</v>
      </c>
      <c r="E110" s="86">
        <f t="shared" si="0"/>
        <v>8.2357933243552785E-4</v>
      </c>
      <c r="F110" s="86">
        <f t="shared" si="1"/>
        <v>1.6471586648710559E-5</v>
      </c>
      <c r="G110" s="86">
        <f t="shared" si="2"/>
        <v>4.3320272886108769E-5</v>
      </c>
    </row>
    <row r="111" spans="1:7" ht="22.5" customHeight="1" x14ac:dyDescent="0.2">
      <c r="A111" s="65">
        <v>779900</v>
      </c>
      <c r="B111" s="65">
        <v>285000</v>
      </c>
      <c r="C111" s="64">
        <v>0.04</v>
      </c>
      <c r="D111" s="64">
        <v>0.3654</v>
      </c>
      <c r="E111" s="86">
        <f t="shared" si="0"/>
        <v>1.6233260159637787E-3</v>
      </c>
      <c r="F111" s="86">
        <f t="shared" si="1"/>
        <v>6.4933040638551155E-5</v>
      </c>
      <c r="G111" s="86">
        <f t="shared" si="2"/>
        <v>5.9316332623316479E-4</v>
      </c>
    </row>
    <row r="112" spans="1:7" ht="22.5" customHeight="1" x14ac:dyDescent="0.2">
      <c r="A112" s="65">
        <v>785713</v>
      </c>
      <c r="B112" s="65">
        <v>72930</v>
      </c>
      <c r="C112" s="64">
        <v>0.03</v>
      </c>
      <c r="D112" s="64">
        <v>9.2799999999999994E-2</v>
      </c>
      <c r="E112" s="86">
        <f t="shared" si="0"/>
        <v>1.6354255083740844E-3</v>
      </c>
      <c r="F112" s="86">
        <f t="shared" si="1"/>
        <v>4.906276525122253E-5</v>
      </c>
      <c r="G112" s="86">
        <f t="shared" si="2"/>
        <v>1.5176748717711503E-4</v>
      </c>
    </row>
    <row r="113" spans="1:7" ht="22.5" customHeight="1" x14ac:dyDescent="0.2">
      <c r="A113" s="65">
        <v>650740</v>
      </c>
      <c r="B113" s="65">
        <v>34000</v>
      </c>
      <c r="C113" s="64">
        <v>0.03</v>
      </c>
      <c r="D113" s="64">
        <v>5.2200000000000003E-2</v>
      </c>
      <c r="E113" s="86">
        <f t="shared" si="0"/>
        <v>1.354485410473483E-3</v>
      </c>
      <c r="F113" s="86">
        <f t="shared" si="1"/>
        <v>4.0634562314204488E-5</v>
      </c>
      <c r="G113" s="86">
        <f t="shared" si="2"/>
        <v>7.0704138426715815E-5</v>
      </c>
    </row>
    <row r="114" spans="1:7" ht="22.5" customHeight="1" x14ac:dyDescent="0.2">
      <c r="A114" s="65">
        <v>1166590</v>
      </c>
      <c r="B114" s="65">
        <v>229900</v>
      </c>
      <c r="C114" s="64">
        <v>0.03</v>
      </c>
      <c r="D114" s="64">
        <v>0.1971</v>
      </c>
      <c r="E114" s="86">
        <f t="shared" si="0"/>
        <v>2.4282034837327664E-3</v>
      </c>
      <c r="F114" s="86">
        <f t="shared" si="1"/>
        <v>7.2846104511982985E-5</v>
      </c>
      <c r="G114" s="86">
        <f t="shared" si="2"/>
        <v>4.7859890664372825E-4</v>
      </c>
    </row>
    <row r="115" spans="1:7" ht="22.5" customHeight="1" x14ac:dyDescent="0.2">
      <c r="A115" s="65">
        <v>611380</v>
      </c>
      <c r="B115" s="65">
        <v>72180</v>
      </c>
      <c r="C115" s="64">
        <v>0.02</v>
      </c>
      <c r="D115" s="64">
        <v>0.1181</v>
      </c>
      <c r="E115" s="86">
        <f t="shared" si="0"/>
        <v>1.2725593789459353E-3</v>
      </c>
      <c r="F115" s="86">
        <f t="shared" si="1"/>
        <v>2.5451187578918707E-5</v>
      </c>
      <c r="G115" s="86">
        <f t="shared" si="2"/>
        <v>1.5028926265351497E-4</v>
      </c>
    </row>
    <row r="116" spans="1:7" ht="22.5" customHeight="1" x14ac:dyDescent="0.2">
      <c r="A116" s="65">
        <v>1161360</v>
      </c>
      <c r="B116" s="65">
        <v>309760</v>
      </c>
      <c r="C116" s="64">
        <v>0.03</v>
      </c>
      <c r="D116" s="64">
        <v>0.26669999999999999</v>
      </c>
      <c r="E116" s="86">
        <f t="shared" si="0"/>
        <v>2.4173174790353817E-3</v>
      </c>
      <c r="F116" s="86">
        <f t="shared" si="1"/>
        <v>7.2519524371061453E-5</v>
      </c>
      <c r="G116" s="86">
        <f t="shared" si="2"/>
        <v>6.4469857165873627E-4</v>
      </c>
    </row>
    <row r="117" spans="1:7" ht="22.5" customHeight="1" x14ac:dyDescent="0.2">
      <c r="A117" s="65">
        <v>735670</v>
      </c>
      <c r="B117" s="65">
        <v>80400</v>
      </c>
      <c r="C117" s="64">
        <v>0.03</v>
      </c>
      <c r="D117" s="64">
        <v>0.10929999999999999</v>
      </c>
      <c r="E117" s="86">
        <f t="shared" si="0"/>
        <v>1.5312633031979396E-3</v>
      </c>
      <c r="F117" s="86">
        <f t="shared" si="1"/>
        <v>4.5937899095938187E-5</v>
      </c>
      <c r="G117" s="86">
        <f t="shared" si="2"/>
        <v>1.6736707903953479E-4</v>
      </c>
    </row>
    <row r="118" spans="1:7" ht="22.5" customHeight="1" x14ac:dyDescent="0.2">
      <c r="A118" s="65">
        <v>663450</v>
      </c>
      <c r="B118" s="65">
        <v>68880</v>
      </c>
      <c r="C118" s="64">
        <v>0.03</v>
      </c>
      <c r="D118" s="64">
        <v>0.1038</v>
      </c>
      <c r="E118" s="86">
        <f t="shared" si="0"/>
        <v>1.3809406914875868E-3</v>
      </c>
      <c r="F118" s="86">
        <f t="shared" si="1"/>
        <v>4.1428220744627605E-5</v>
      </c>
      <c r="G118" s="86">
        <f t="shared" si="2"/>
        <v>1.433416437764115E-4</v>
      </c>
    </row>
    <row r="119" spans="1:7" ht="22.5" customHeight="1" x14ac:dyDescent="0.2">
      <c r="A119" s="65">
        <v>452910</v>
      </c>
      <c r="B119" s="65">
        <v>74750</v>
      </c>
      <c r="C119" s="64">
        <v>0.02</v>
      </c>
      <c r="D119" s="64">
        <v>0.16500000000000001</v>
      </c>
      <c r="E119" s="86">
        <f t="shared" si="0"/>
        <v>9.4271135516111682E-4</v>
      </c>
      <c r="F119" s="86">
        <f t="shared" si="1"/>
        <v>1.8854227103222336E-5</v>
      </c>
      <c r="G119" s="86">
        <f t="shared" si="2"/>
        <v>1.5554737360158429E-4</v>
      </c>
    </row>
    <row r="120" spans="1:7" ht="22.5" customHeight="1" x14ac:dyDescent="0.2">
      <c r="A120" s="65">
        <v>330235</v>
      </c>
      <c r="B120" s="65">
        <v>40000</v>
      </c>
      <c r="C120" s="64">
        <v>0.06</v>
      </c>
      <c r="D120" s="64">
        <v>0.1211</v>
      </c>
      <c r="E120" s="86">
        <f t="shared" si="0"/>
        <v>6.8736897920476788E-4</v>
      </c>
      <c r="F120" s="86">
        <f t="shared" si="1"/>
        <v>4.1242138752286071E-5</v>
      </c>
      <c r="G120" s="86">
        <f t="shared" si="2"/>
        <v>8.3240383381697397E-5</v>
      </c>
    </row>
    <row r="121" spans="1:7" ht="22.5" customHeight="1" x14ac:dyDescent="0.2">
      <c r="A121" s="65">
        <v>248245</v>
      </c>
      <c r="B121" s="65">
        <v>64000</v>
      </c>
      <c r="C121" s="64">
        <v>0.06</v>
      </c>
      <c r="D121" s="64">
        <v>0.25779999999999997</v>
      </c>
      <c r="E121" s="86">
        <f t="shared" si="0"/>
        <v>5.1671056139624089E-4</v>
      </c>
      <c r="F121" s="86">
        <f t="shared" si="1"/>
        <v>3.1002633683774452E-5</v>
      </c>
      <c r="G121" s="86">
        <f t="shared" si="2"/>
        <v>1.332079827279509E-4</v>
      </c>
    </row>
    <row r="122" spans="1:7" ht="22.5" customHeight="1" x14ac:dyDescent="0.2">
      <c r="A122" s="65">
        <v>3622681.65</v>
      </c>
      <c r="B122" s="65">
        <v>263381.67</v>
      </c>
      <c r="C122" s="64">
        <v>0.06</v>
      </c>
      <c r="D122" s="64">
        <v>7.2700000000000001E-2</v>
      </c>
      <c r="E122" s="86">
        <f t="shared" si="0"/>
        <v>7.5404454032562997E-3</v>
      </c>
      <c r="F122" s="86">
        <f t="shared" si="1"/>
        <v>4.5242672419537795E-4</v>
      </c>
      <c r="G122" s="86">
        <f t="shared" si="2"/>
        <v>5.4819038081673301E-4</v>
      </c>
    </row>
    <row r="123" spans="1:7" ht="22.5" customHeight="1" x14ac:dyDescent="0.2">
      <c r="A123" s="65">
        <v>8736943.3399999999</v>
      </c>
      <c r="B123" s="65">
        <v>466053.51</v>
      </c>
      <c r="C123" s="64">
        <v>0.06</v>
      </c>
      <c r="D123" s="64">
        <v>5.33E-2</v>
      </c>
      <c r="E123" s="86">
        <f t="shared" si="0"/>
        <v>1.8185546126200117E-2</v>
      </c>
      <c r="F123" s="86">
        <f t="shared" si="1"/>
        <v>1.0911327675720069E-3</v>
      </c>
      <c r="G123" s="86">
        <f t="shared" si="2"/>
        <v>9.6928960852646622E-4</v>
      </c>
    </row>
    <row r="124" spans="1:7" ht="22.5" customHeight="1" x14ac:dyDescent="0.2">
      <c r="A124" s="65">
        <v>2228430.35</v>
      </c>
      <c r="B124" s="65">
        <v>137747.85</v>
      </c>
      <c r="C124" s="64">
        <v>0.06</v>
      </c>
      <c r="D124" s="64">
        <v>6.1800000000000001E-2</v>
      </c>
      <c r="E124" s="86">
        <f t="shared" si="0"/>
        <v>4.6383753839187962E-3</v>
      </c>
      <c r="F124" s="86">
        <f t="shared" si="1"/>
        <v>2.7830252303512776E-4</v>
      </c>
      <c r="G124" s="86">
        <f t="shared" si="2"/>
        <v>2.8665159872618161E-4</v>
      </c>
    </row>
    <row r="125" spans="1:7" ht="22.5" customHeight="1" x14ac:dyDescent="0.2">
      <c r="A125" s="65">
        <v>5632955.4100000001</v>
      </c>
      <c r="B125" s="65">
        <v>233026.92</v>
      </c>
      <c r="C125" s="64">
        <v>0.06</v>
      </c>
      <c r="D125" s="64">
        <v>4.1399999999999999E-2</v>
      </c>
      <c r="E125" s="86">
        <f t="shared" si="0"/>
        <v>1.1724737868722803E-2</v>
      </c>
      <c r="F125" s="86">
        <f t="shared" si="1"/>
        <v>7.034842721233681E-4</v>
      </c>
      <c r="G125" s="86">
        <f t="shared" si="2"/>
        <v>4.8540414776512402E-4</v>
      </c>
    </row>
    <row r="126" spans="1:7" ht="22.5" customHeight="1" x14ac:dyDescent="0.2">
      <c r="A126" s="65">
        <v>1211300.6499999999</v>
      </c>
      <c r="B126" s="65">
        <v>177588.25</v>
      </c>
      <c r="C126" s="64">
        <v>0.06</v>
      </c>
      <c r="D126" s="64">
        <v>0.14660000000000001</v>
      </c>
      <c r="E126" s="86">
        <f t="shared" si="0"/>
        <v>2.5212666473891977E-3</v>
      </c>
      <c r="F126" s="86">
        <f t="shared" si="1"/>
        <v>1.5127599884335186E-4</v>
      </c>
      <c r="G126" s="86">
        <f t="shared" si="2"/>
        <v>3.6961769050725639E-4</v>
      </c>
    </row>
    <row r="127" spans="1:7" ht="22.5" customHeight="1" x14ac:dyDescent="0.2">
      <c r="A127" s="65">
        <v>2061664.68</v>
      </c>
      <c r="B127" s="65">
        <v>289818.40000000002</v>
      </c>
      <c r="C127" s="64">
        <v>0.06</v>
      </c>
      <c r="D127" s="64">
        <v>0.1406</v>
      </c>
      <c r="E127" s="86">
        <f t="shared" si="0"/>
        <v>4.2912603041898173E-3</v>
      </c>
      <c r="F127" s="86">
        <f t="shared" si="1"/>
        <v>2.5747561825138901E-4</v>
      </c>
      <c r="G127" s="86">
        <f t="shared" si="2"/>
        <v>6.0335119876908834E-4</v>
      </c>
    </row>
    <row r="128" spans="1:7" ht="22.5" customHeight="1" x14ac:dyDescent="0.2">
      <c r="A128" s="65">
        <v>1393911.57</v>
      </c>
      <c r="B128" s="65">
        <v>61703.25</v>
      </c>
      <c r="C128" s="64">
        <v>0.06</v>
      </c>
      <c r="D128" s="64">
        <v>4.4299999999999999E-2</v>
      </c>
      <c r="E128" s="86">
        <f t="shared" si="0"/>
        <v>2.9013628869520654E-3</v>
      </c>
      <c r="F128" s="86">
        <f t="shared" si="1"/>
        <v>1.7408177321712393E-4</v>
      </c>
      <c r="G128" s="86">
        <f t="shared" si="2"/>
        <v>1.285303758919765E-4</v>
      </c>
    </row>
    <row r="129" spans="1:7" ht="22.5" customHeight="1" x14ac:dyDescent="0.2">
      <c r="A129" s="65">
        <v>5428844.6100000003</v>
      </c>
      <c r="B129" s="65">
        <v>798559.62</v>
      </c>
      <c r="C129" s="64">
        <v>0.06</v>
      </c>
      <c r="D129" s="64">
        <v>0.14710000000000001</v>
      </c>
      <c r="E129" s="86">
        <f t="shared" si="0"/>
        <v>1.1299890616794121E-2</v>
      </c>
      <c r="F129" s="86">
        <f t="shared" si="1"/>
        <v>6.7799343700764719E-4</v>
      </c>
      <c r="G129" s="86">
        <f t="shared" si="2"/>
        <v>1.6622139097304152E-3</v>
      </c>
    </row>
    <row r="130" spans="1:7" ht="22.5" customHeight="1" x14ac:dyDescent="0.2">
      <c r="A130" s="65">
        <v>738709</v>
      </c>
      <c r="B130" s="65">
        <v>105510</v>
      </c>
      <c r="C130" s="64">
        <v>0.08</v>
      </c>
      <c r="D130" s="64">
        <v>0.14280000000000001</v>
      </c>
      <c r="E130" s="86">
        <f t="shared" si="0"/>
        <v>1.53758884206512E-3</v>
      </c>
      <c r="F130" s="86">
        <f t="shared" si="1"/>
        <v>1.2300710736520961E-4</v>
      </c>
      <c r="G130" s="86">
        <f t="shared" si="2"/>
        <v>2.1956768664689916E-4</v>
      </c>
    </row>
    <row r="131" spans="1:7" ht="22.5" customHeight="1" x14ac:dyDescent="0.2">
      <c r="A131" s="65">
        <v>356390</v>
      </c>
      <c r="B131" s="65">
        <v>115828</v>
      </c>
      <c r="C131" s="64">
        <v>0.02</v>
      </c>
      <c r="D131" s="64">
        <v>0.32500000000000001</v>
      </c>
      <c r="E131" s="86">
        <f t="shared" si="0"/>
        <v>7.4180940996195811E-4</v>
      </c>
      <c r="F131" s="86">
        <f t="shared" si="1"/>
        <v>1.4836188199239162E-5</v>
      </c>
      <c r="G131" s="86">
        <f t="shared" si="2"/>
        <v>2.410880582376364E-4</v>
      </c>
    </row>
    <row r="132" spans="1:7" ht="22.5" customHeight="1" x14ac:dyDescent="0.2">
      <c r="A132" s="65">
        <v>1050920</v>
      </c>
      <c r="B132" s="65">
        <v>110800</v>
      </c>
      <c r="C132" s="64">
        <v>0.04</v>
      </c>
      <c r="D132" s="64">
        <v>0.10539999999999999</v>
      </c>
      <c r="E132" s="86">
        <f t="shared" si="0"/>
        <v>2.1874416934179438E-3</v>
      </c>
      <c r="F132" s="86">
        <f t="shared" si="1"/>
        <v>8.7497667736717759E-5</v>
      </c>
      <c r="G132" s="86">
        <f t="shared" si="2"/>
        <v>2.3055635448625126E-4</v>
      </c>
    </row>
    <row r="133" spans="1:7" ht="22.5" customHeight="1" x14ac:dyDescent="0.2">
      <c r="A133" s="65">
        <v>869100</v>
      </c>
      <c r="B133" s="65">
        <v>95500</v>
      </c>
      <c r="C133" s="64">
        <v>0.04</v>
      </c>
      <c r="D133" s="64">
        <v>0.1099</v>
      </c>
      <c r="E133" s="86">
        <f t="shared" si="0"/>
        <v>1.8089917174947045E-3</v>
      </c>
      <c r="F133" s="86">
        <f t="shared" si="1"/>
        <v>7.2359668699788186E-5</v>
      </c>
      <c r="G133" s="86">
        <f t="shared" si="2"/>
        <v>1.9880818975266803E-4</v>
      </c>
    </row>
    <row r="134" spans="1:7" ht="22.5" customHeight="1" x14ac:dyDescent="0.2">
      <c r="A134" s="65">
        <v>2033259</v>
      </c>
      <c r="B134" s="65">
        <v>639629</v>
      </c>
      <c r="C134" s="64">
        <v>0.04</v>
      </c>
      <c r="D134" s="64">
        <v>0.31459999999999999</v>
      </c>
      <c r="E134" s="86">
        <f t="shared" si="0"/>
        <v>4.2321351864245378E-3</v>
      </c>
      <c r="F134" s="86">
        <f t="shared" si="1"/>
        <v>1.6928540745698152E-4</v>
      </c>
      <c r="G134" s="86">
        <f t="shared" si="2"/>
        <v>1.3314297296491595E-3</v>
      </c>
    </row>
    <row r="135" spans="1:7" ht="22.5" customHeight="1" x14ac:dyDescent="0.2">
      <c r="A135" s="65">
        <v>1816038</v>
      </c>
      <c r="B135" s="65">
        <v>221300</v>
      </c>
      <c r="C135" s="64">
        <v>0.04</v>
      </c>
      <c r="D135" s="64">
        <v>0.12189999999999999</v>
      </c>
      <c r="E135" s="86">
        <f t="shared" si="0"/>
        <v>3.7799996555697253E-3</v>
      </c>
      <c r="F135" s="86">
        <f t="shared" si="1"/>
        <v>1.5119998622278901E-4</v>
      </c>
      <c r="G135" s="86">
        <f t="shared" si="2"/>
        <v>4.6078195801394948E-4</v>
      </c>
    </row>
    <row r="136" spans="1:7" ht="22.5" customHeight="1" x14ac:dyDescent="0.2">
      <c r="A136" s="65">
        <v>436273</v>
      </c>
      <c r="B136" s="65">
        <v>66160</v>
      </c>
      <c r="C136" s="64">
        <v>0.02</v>
      </c>
      <c r="D136" s="64">
        <v>0.15160000000000001</v>
      </c>
      <c r="E136" s="86">
        <f t="shared" si="0"/>
        <v>9.0808220408073554E-4</v>
      </c>
      <c r="F136" s="86">
        <f t="shared" si="1"/>
        <v>1.816164408161471E-5</v>
      </c>
      <c r="G136" s="86">
        <f t="shared" si="2"/>
        <v>1.3766526213863952E-4</v>
      </c>
    </row>
    <row r="137" spans="1:7" ht="22.5" customHeight="1" x14ac:dyDescent="0.2">
      <c r="A137" s="65">
        <v>733782</v>
      </c>
      <c r="B137" s="65">
        <v>55650</v>
      </c>
      <c r="C137" s="64">
        <v>0.04</v>
      </c>
      <c r="D137" s="64">
        <v>7.5800000000000006E-2</v>
      </c>
      <c r="E137" s="86">
        <f t="shared" si="0"/>
        <v>1.5273335179458052E-3</v>
      </c>
      <c r="F137" s="86">
        <f t="shared" si="1"/>
        <v>6.1093340717832209E-5</v>
      </c>
      <c r="G137" s="86">
        <f t="shared" si="2"/>
        <v>1.1577188066029205E-4</v>
      </c>
    </row>
    <row r="138" spans="1:7" ht="22.5" customHeight="1" x14ac:dyDescent="0.2">
      <c r="A138" s="65">
        <v>900980</v>
      </c>
      <c r="B138" s="65">
        <v>175375</v>
      </c>
      <c r="C138" s="64">
        <v>0.04</v>
      </c>
      <c r="D138" s="64">
        <v>0.1946</v>
      </c>
      <c r="E138" s="86">
        <f t="shared" si="0"/>
        <v>1.8753484727055331E-3</v>
      </c>
      <c r="F138" s="86">
        <f t="shared" si="1"/>
        <v>7.5013938908221321E-5</v>
      </c>
      <c r="G138" s="86">
        <f t="shared" si="2"/>
        <v>3.6494281278849676E-4</v>
      </c>
    </row>
    <row r="139" spans="1:7" ht="22.5" customHeight="1" x14ac:dyDescent="0.2">
      <c r="A139" s="65">
        <v>693290</v>
      </c>
      <c r="B139" s="65">
        <v>60980</v>
      </c>
      <c r="C139" s="64">
        <v>0.06</v>
      </c>
      <c r="D139" s="64">
        <v>8.7999999999999995E-2</v>
      </c>
      <c r="E139" s="86">
        <f t="shared" si="0"/>
        <v>1.4430512804302195E-3</v>
      </c>
      <c r="F139" s="86">
        <f t="shared" si="1"/>
        <v>8.6583076825813161E-5</v>
      </c>
      <c r="G139" s="86">
        <f t="shared" si="2"/>
        <v>1.2698851267785931E-4</v>
      </c>
    </row>
    <row r="140" spans="1:7" ht="22.5" customHeight="1" x14ac:dyDescent="0.2">
      <c r="A140" s="65">
        <v>1516350</v>
      </c>
      <c r="B140" s="65">
        <v>156800</v>
      </c>
      <c r="C140" s="64">
        <v>0.06</v>
      </c>
      <c r="D140" s="64">
        <v>0.10340000000000001</v>
      </c>
      <c r="E140" s="86">
        <f t="shared" si="0"/>
        <v>3.1562128533230874E-3</v>
      </c>
      <c r="F140" s="86">
        <f t="shared" si="1"/>
        <v>1.8937277119938524E-4</v>
      </c>
      <c r="G140" s="86">
        <f t="shared" si="2"/>
        <v>3.2635240903360725E-4</v>
      </c>
    </row>
    <row r="141" spans="1:7" ht="22.5" customHeight="1" x14ac:dyDescent="0.2">
      <c r="A141" s="65">
        <v>1393100</v>
      </c>
      <c r="B141" s="65">
        <v>322500</v>
      </c>
      <c r="C141" s="64">
        <v>0.08</v>
      </c>
      <c r="D141" s="64">
        <v>0.23150000000000001</v>
      </c>
      <c r="E141" s="86">
        <f t="shared" si="0"/>
        <v>2.8996736412862422E-3</v>
      </c>
      <c r="F141" s="86">
        <f t="shared" si="1"/>
        <v>2.3197389130289939E-4</v>
      </c>
      <c r="G141" s="86">
        <f t="shared" si="2"/>
        <v>6.7127444795776509E-4</v>
      </c>
    </row>
    <row r="142" spans="1:7" ht="22.5" customHeight="1" x14ac:dyDescent="0.2">
      <c r="A142" s="65">
        <v>380350</v>
      </c>
      <c r="B142" s="65">
        <v>64450</v>
      </c>
      <c r="C142" s="64">
        <v>0.11</v>
      </c>
      <c r="D142" s="64">
        <v>0.1694</v>
      </c>
      <c r="E142" s="86">
        <f t="shared" si="0"/>
        <v>7.9168104907273136E-4</v>
      </c>
      <c r="F142" s="86">
        <f t="shared" si="1"/>
        <v>8.7084915398000451E-5</v>
      </c>
      <c r="G142" s="86">
        <f t="shared" si="2"/>
        <v>1.3411076971292068E-4</v>
      </c>
    </row>
    <row r="143" spans="1:7" ht="22.5" customHeight="1" x14ac:dyDescent="0.2">
      <c r="A143" s="65">
        <v>607795</v>
      </c>
      <c r="B143" s="65">
        <v>93285</v>
      </c>
      <c r="C143" s="64">
        <v>0.05</v>
      </c>
      <c r="D143" s="64">
        <v>0.1535</v>
      </c>
      <c r="E143" s="86">
        <f t="shared" si="0"/>
        <v>1.2650973661657967E-3</v>
      </c>
      <c r="F143" s="86">
        <f t="shared" si="1"/>
        <v>6.3254868308289841E-5</v>
      </c>
      <c r="G143" s="86">
        <f t="shared" si="2"/>
        <v>1.9419244570644979E-4</v>
      </c>
    </row>
    <row r="144" spans="1:7" ht="22.5" customHeight="1" x14ac:dyDescent="0.2">
      <c r="A144" s="65">
        <v>701419</v>
      </c>
      <c r="B144" s="65">
        <v>33600</v>
      </c>
      <c r="C144" s="64">
        <v>0.04</v>
      </c>
      <c r="D144" s="64">
        <v>4.7899999999999998E-2</v>
      </c>
      <c r="E144" s="86">
        <f t="shared" si="0"/>
        <v>1.4599714204273596E-3</v>
      </c>
      <c r="F144" s="86">
        <f t="shared" si="1"/>
        <v>5.8398856817094385E-5</v>
      </c>
      <c r="G144" s="86">
        <f t="shared" si="2"/>
        <v>6.9932631038470522E-5</v>
      </c>
    </row>
    <row r="145" spans="1:7" ht="22.5" customHeight="1" x14ac:dyDescent="0.2">
      <c r="A145" s="65">
        <v>577909</v>
      </c>
      <c r="B145" s="65">
        <v>33832</v>
      </c>
      <c r="C145" s="64">
        <v>0.04</v>
      </c>
      <c r="D145" s="64">
        <v>5.8500000000000003E-2</v>
      </c>
      <c r="E145" s="86">
        <f t="shared" si="0"/>
        <v>1.2028910303367244E-3</v>
      </c>
      <c r="F145" s="86">
        <f t="shared" si="1"/>
        <v>4.8115641213468982E-5</v>
      </c>
      <c r="G145" s="86">
        <f t="shared" si="2"/>
        <v>7.0369125274698387E-5</v>
      </c>
    </row>
    <row r="146" spans="1:7" ht="22.5" customHeight="1" x14ac:dyDescent="0.2">
      <c r="A146" s="65">
        <v>786745</v>
      </c>
      <c r="B146" s="65">
        <v>88174</v>
      </c>
      <c r="C146" s="64">
        <v>0.08</v>
      </c>
      <c r="D146" s="64">
        <v>0.11210000000000001</v>
      </c>
      <c r="E146" s="86">
        <f t="shared" si="0"/>
        <v>1.637573568956819E-3</v>
      </c>
      <c r="F146" s="86">
        <f t="shared" si="1"/>
        <v>1.3100588551654552E-4</v>
      </c>
      <c r="G146" s="86">
        <f t="shared" si="2"/>
        <v>1.8357199708005941E-4</v>
      </c>
    </row>
    <row r="147" spans="1:7" ht="22.5" customHeight="1" x14ac:dyDescent="0.2">
      <c r="A147" s="65">
        <v>1094493</v>
      </c>
      <c r="B147" s="65">
        <v>141400</v>
      </c>
      <c r="C147" s="64">
        <v>0.1</v>
      </c>
      <c r="D147" s="64">
        <v>0.12920000000000001</v>
      </c>
      <c r="E147" s="86">
        <f t="shared" si="0"/>
        <v>2.2781368908709374E-3</v>
      </c>
      <c r="F147" s="86">
        <f t="shared" si="1"/>
        <v>2.2781368908709375E-4</v>
      </c>
      <c r="G147" s="86">
        <f t="shared" si="2"/>
        <v>2.9433528630052512E-4</v>
      </c>
    </row>
    <row r="148" spans="1:7" ht="22.5" customHeight="1" x14ac:dyDescent="0.2">
      <c r="A148" s="65">
        <v>654650</v>
      </c>
      <c r="B148" s="65">
        <v>23100</v>
      </c>
      <c r="C148" s="64">
        <v>0.1</v>
      </c>
      <c r="D148" s="64">
        <v>3.5299999999999998E-2</v>
      </c>
      <c r="E148" s="86">
        <f t="shared" si="0"/>
        <v>1.3626238958208588E-3</v>
      </c>
      <c r="F148" s="86">
        <f t="shared" si="1"/>
        <v>1.3626238958208589E-4</v>
      </c>
      <c r="G148" s="86">
        <f t="shared" si="2"/>
        <v>4.810062352247631E-5</v>
      </c>
    </row>
    <row r="149" spans="1:7" ht="22.5" customHeight="1" x14ac:dyDescent="0.2">
      <c r="A149" s="65">
        <v>905000</v>
      </c>
      <c r="B149" s="65">
        <v>62100</v>
      </c>
      <c r="C149" s="64">
        <v>0.06</v>
      </c>
      <c r="D149" s="64">
        <v>6.8599999999999994E-2</v>
      </c>
      <c r="E149" s="86">
        <f t="shared" si="0"/>
        <v>1.883715917998743E-3</v>
      </c>
      <c r="F149" s="86">
        <f t="shared" si="1"/>
        <v>1.1302295507992457E-4</v>
      </c>
      <c r="G149" s="86">
        <f t="shared" si="2"/>
        <v>1.2922291197471375E-4</v>
      </c>
    </row>
    <row r="150" spans="1:7" ht="22.5" customHeight="1" x14ac:dyDescent="0.2">
      <c r="A150" s="65">
        <v>1089300</v>
      </c>
      <c r="B150" s="65">
        <v>129650</v>
      </c>
      <c r="C150" s="64">
        <v>0.05</v>
      </c>
      <c r="D150" s="64">
        <v>0.11899999999999999</v>
      </c>
      <c r="E150" s="86">
        <f t="shared" si="0"/>
        <v>2.267327899973515E-3</v>
      </c>
      <c r="F150" s="86">
        <f t="shared" si="1"/>
        <v>1.1336639499867575E-4</v>
      </c>
      <c r="G150" s="86">
        <f t="shared" si="2"/>
        <v>2.6981202009684826E-4</v>
      </c>
    </row>
    <row r="151" spans="1:7" ht="22.5" customHeight="1" x14ac:dyDescent="0.2">
      <c r="A151" s="65">
        <v>826545</v>
      </c>
      <c r="B151" s="65">
        <v>64200</v>
      </c>
      <c r="C151" s="64">
        <v>0.05</v>
      </c>
      <c r="D151" s="64">
        <v>7.7700000000000005E-2</v>
      </c>
      <c r="E151" s="86">
        <f t="shared" si="0"/>
        <v>1.7204154402677028E-3</v>
      </c>
      <c r="F151" s="86">
        <f t="shared" si="1"/>
        <v>8.6020772013385152E-5</v>
      </c>
      <c r="G151" s="86">
        <f t="shared" si="2"/>
        <v>1.3367627970880053E-4</v>
      </c>
    </row>
    <row r="152" spans="1:7" ht="22.5" customHeight="1" x14ac:dyDescent="0.2">
      <c r="A152" s="65">
        <v>731386</v>
      </c>
      <c r="B152" s="65">
        <v>70451</v>
      </c>
      <c r="C152" s="64">
        <v>0.1</v>
      </c>
      <c r="D152" s="64">
        <v>9.6299999999999997E-2</v>
      </c>
      <c r="E152" s="86">
        <f t="shared" si="0"/>
        <v>1.5223463540347279E-3</v>
      </c>
      <c r="F152" s="86">
        <f t="shared" si="1"/>
        <v>1.5223463540347279E-4</v>
      </c>
      <c r="G152" s="86">
        <f t="shared" si="2"/>
        <v>1.4660195389354429E-4</v>
      </c>
    </row>
    <row r="153" spans="1:7" ht="22.5" customHeight="1" x14ac:dyDescent="0.2">
      <c r="A153" s="65">
        <v>1130164</v>
      </c>
      <c r="B153" s="65">
        <v>153934</v>
      </c>
      <c r="C153" s="64">
        <v>0.1</v>
      </c>
      <c r="D153" s="64">
        <v>0.13619999999999999</v>
      </c>
      <c r="E153" s="86">
        <f t="shared" si="0"/>
        <v>2.3523844383968305E-3</v>
      </c>
      <c r="F153" s="86">
        <f t="shared" si="1"/>
        <v>2.3523844383968305E-4</v>
      </c>
      <c r="G153" s="86">
        <f t="shared" si="2"/>
        <v>3.2039476050964825E-4</v>
      </c>
    </row>
    <row r="154" spans="1:7" ht="22.5" customHeight="1" x14ac:dyDescent="0.2">
      <c r="A154" s="65">
        <v>767385</v>
      </c>
      <c r="B154" s="65">
        <v>97361</v>
      </c>
      <c r="C154" s="64">
        <v>0.05</v>
      </c>
      <c r="D154" s="64">
        <v>0.12690000000000001</v>
      </c>
      <c r="E154" s="86">
        <f t="shared" si="0"/>
        <v>1.5972766184900171E-3</v>
      </c>
      <c r="F154" s="86">
        <f t="shared" si="1"/>
        <v>7.9863830924500868E-5</v>
      </c>
      <c r="G154" s="86">
        <f t="shared" si="2"/>
        <v>2.026944028863832E-4</v>
      </c>
    </row>
    <row r="155" spans="1:7" ht="22.5" customHeight="1" x14ac:dyDescent="0.2">
      <c r="A155" s="65">
        <v>1035893</v>
      </c>
      <c r="B155" s="65">
        <v>113700</v>
      </c>
      <c r="C155" s="64">
        <v>0.08</v>
      </c>
      <c r="D155" s="64">
        <v>0.10979999999999999</v>
      </c>
      <c r="E155" s="86">
        <f t="shared" si="0"/>
        <v>2.1561636833629526E-3</v>
      </c>
      <c r="F155" s="86">
        <f t="shared" si="1"/>
        <v>1.7249309466903622E-4</v>
      </c>
      <c r="G155" s="86">
        <f t="shared" si="2"/>
        <v>2.3674677243325218E-4</v>
      </c>
    </row>
    <row r="156" spans="1:7" ht="22.5" customHeight="1" x14ac:dyDescent="0.2">
      <c r="A156" s="65">
        <v>492301</v>
      </c>
      <c r="B156" s="65">
        <v>200388</v>
      </c>
      <c r="C156" s="64">
        <v>0.08</v>
      </c>
      <c r="D156" s="64">
        <v>0.40699999999999997</v>
      </c>
      <c r="E156" s="86">
        <f t="shared" si="0"/>
        <v>1.0247019117643086E-3</v>
      </c>
      <c r="F156" s="86">
        <f t="shared" si="1"/>
        <v>8.1976152941144696E-5</v>
      </c>
      <c r="G156" s="86">
        <f t="shared" si="2"/>
        <v>4.1705367808807356E-4</v>
      </c>
    </row>
    <row r="157" spans="1:7" ht="22.5" customHeight="1" x14ac:dyDescent="0.2">
      <c r="A157" s="65">
        <v>178555</v>
      </c>
      <c r="B157" s="65">
        <v>49810</v>
      </c>
      <c r="C157" s="64">
        <v>0.06</v>
      </c>
      <c r="D157" s="64">
        <v>0.27900000000000003</v>
      </c>
      <c r="E157" s="86">
        <f t="shared" si="0"/>
        <v>3.7165402844007247E-4</v>
      </c>
      <c r="F157" s="86">
        <f t="shared" si="1"/>
        <v>2.2299241706404347E-5</v>
      </c>
      <c r="G157" s="86">
        <f t="shared" si="2"/>
        <v>1.0369147393478024E-4</v>
      </c>
    </row>
    <row r="158" spans="1:7" ht="22.5" customHeight="1" x14ac:dyDescent="0.2">
      <c r="A158" s="65">
        <v>240700</v>
      </c>
      <c r="B158" s="65">
        <v>95100</v>
      </c>
      <c r="C158" s="64">
        <v>0.08</v>
      </c>
      <c r="D158" s="64">
        <v>0.39510000000000001</v>
      </c>
      <c r="E158" s="86">
        <f t="shared" si="0"/>
        <v>5.0100599056607459E-4</v>
      </c>
      <c r="F158" s="86">
        <f t="shared" si="1"/>
        <v>4.0080479245285969E-5</v>
      </c>
      <c r="G158" s="86">
        <f t="shared" si="2"/>
        <v>1.9794746687265606E-4</v>
      </c>
    </row>
    <row r="159" spans="1:7" ht="22.5" customHeight="1" x14ac:dyDescent="0.2">
      <c r="A159" s="65">
        <v>244875</v>
      </c>
      <c r="B159" s="65">
        <v>82700</v>
      </c>
      <c r="C159" s="64">
        <v>0.08</v>
      </c>
      <c r="D159" s="64">
        <v>0.3377</v>
      </c>
      <c r="E159" s="86">
        <f t="shared" si="0"/>
        <v>5.0969606123750521E-4</v>
      </c>
      <c r="F159" s="86">
        <f t="shared" si="1"/>
        <v>4.0775684899000417E-5</v>
      </c>
      <c r="G159" s="86">
        <f t="shared" si="2"/>
        <v>1.7212435987990551E-4</v>
      </c>
    </row>
    <row r="160" spans="1:7" ht="22.5" customHeight="1" x14ac:dyDescent="0.2">
      <c r="A160" s="65">
        <v>196680</v>
      </c>
      <c r="B160" s="65">
        <v>56680</v>
      </c>
      <c r="C160" s="64">
        <v>0.08</v>
      </c>
      <c r="D160" s="64">
        <v>0.28820000000000001</v>
      </c>
      <c r="E160" s="86">
        <f t="shared" si="0"/>
        <v>4.0938038315137325E-4</v>
      </c>
      <c r="F160" s="86">
        <f t="shared" si="1"/>
        <v>3.2750430652109862E-5</v>
      </c>
      <c r="G160" s="86">
        <f t="shared" si="2"/>
        <v>1.1798342642422578E-4</v>
      </c>
    </row>
    <row r="161" spans="1:7" ht="22.5" customHeight="1" x14ac:dyDescent="0.2">
      <c r="A161" s="65">
        <v>263800</v>
      </c>
      <c r="B161" s="65">
        <v>61900</v>
      </c>
      <c r="C161" s="64">
        <v>0.08</v>
      </c>
      <c r="D161" s="64">
        <v>0.2346</v>
      </c>
      <c r="E161" s="86">
        <f t="shared" si="0"/>
        <v>5.4908757919123585E-4</v>
      </c>
      <c r="F161" s="86">
        <f t="shared" si="1"/>
        <v>4.3927006335298871E-5</v>
      </c>
      <c r="G161" s="86">
        <f t="shared" si="2"/>
        <v>1.2881594607826394E-4</v>
      </c>
    </row>
    <row r="162" spans="1:7" ht="22.5" customHeight="1" x14ac:dyDescent="0.2">
      <c r="A162" s="65">
        <v>3549785</v>
      </c>
      <c r="B162" s="65">
        <v>549770</v>
      </c>
      <c r="C162" s="64">
        <v>0.12</v>
      </c>
      <c r="D162" s="64">
        <v>0.15490000000000001</v>
      </c>
      <c r="E162" s="86">
        <f t="shared" si="0"/>
        <v>7.3887143756609592E-3</v>
      </c>
      <c r="F162" s="86">
        <f t="shared" si="1"/>
        <v>8.8664572507931509E-4</v>
      </c>
      <c r="G162" s="86">
        <f t="shared" si="2"/>
        <v>1.1445118567898827E-3</v>
      </c>
    </row>
    <row r="163" spans="1:7" ht="22.5" customHeight="1" x14ac:dyDescent="0.2">
      <c r="A163" s="65">
        <v>8112248.2400000002</v>
      </c>
      <c r="B163" s="65">
        <v>262047.76</v>
      </c>
      <c r="C163" s="64">
        <v>0.06</v>
      </c>
      <c r="D163" s="64">
        <v>3.2300000000000002E-2</v>
      </c>
      <c r="E163" s="86">
        <f t="shared" si="0"/>
        <v>1.6885271978392583E-2</v>
      </c>
      <c r="F163" s="86">
        <f t="shared" si="1"/>
        <v>1.013116318703555E-3</v>
      </c>
      <c r="G163" s="86">
        <f t="shared" si="2"/>
        <v>5.4539428490208049E-4</v>
      </c>
    </row>
    <row r="164" spans="1:7" ht="22.5" customHeight="1" x14ac:dyDescent="0.2">
      <c r="A164" s="65">
        <v>5573030.6299999999</v>
      </c>
      <c r="B164" s="65">
        <v>673076.26</v>
      </c>
      <c r="C164" s="64">
        <v>0.06</v>
      </c>
      <c r="D164" s="64">
        <v>0.1208</v>
      </c>
      <c r="E164" s="86">
        <f t="shared" si="0"/>
        <v>1.1600007192514434E-2</v>
      </c>
      <c r="F164" s="86">
        <f t="shared" si="1"/>
        <v>6.9600043155086601E-4</v>
      </c>
      <c r="G164" s="86">
        <f t="shared" si="2"/>
        <v>1.4012808688557436E-3</v>
      </c>
    </row>
    <row r="165" spans="1:7" ht="22.5" customHeight="1" x14ac:dyDescent="0.2">
      <c r="A165" s="65">
        <v>6303186.7800000003</v>
      </c>
      <c r="B165" s="65">
        <v>1220571.19</v>
      </c>
      <c r="C165" s="64">
        <v>0.06</v>
      </c>
      <c r="D165" s="64">
        <v>0.19359999999999999</v>
      </c>
      <c r="E165" s="86">
        <f t="shared" si="0"/>
        <v>1.3119793670282036E-2</v>
      </c>
      <c r="F165" s="86">
        <f t="shared" si="1"/>
        <v>7.8718762021692216E-4</v>
      </c>
      <c r="G165" s="86">
        <f t="shared" si="2"/>
        <v>2.5399920545666021E-3</v>
      </c>
    </row>
    <row r="166" spans="1:7" ht="22.5" customHeight="1" x14ac:dyDescent="0.2">
      <c r="A166" s="65">
        <v>2032376.29</v>
      </c>
      <c r="B166" s="65">
        <v>164492.37</v>
      </c>
      <c r="C166" s="64">
        <v>0.06</v>
      </c>
      <c r="D166" s="64">
        <v>8.09E-2</v>
      </c>
      <c r="E166" s="86">
        <f t="shared" si="0"/>
        <v>4.230297866117381E-3</v>
      </c>
      <c r="F166" s="86">
        <f t="shared" si="1"/>
        <v>2.5381787196704283E-4</v>
      </c>
      <c r="G166" s="86">
        <f t="shared" si="2"/>
        <v>3.4223109736889612E-4</v>
      </c>
    </row>
    <row r="167" spans="1:7" ht="22.5" customHeight="1" x14ac:dyDescent="0.2">
      <c r="A167" s="65">
        <v>820335</v>
      </c>
      <c r="B167" s="65">
        <v>158650</v>
      </c>
      <c r="C167" s="64">
        <v>0.1</v>
      </c>
      <c r="D167" s="64">
        <v>0.19339999999999999</v>
      </c>
      <c r="E167" s="86">
        <f t="shared" si="0"/>
        <v>1.7074896105983414E-3</v>
      </c>
      <c r="F167" s="86">
        <f t="shared" si="1"/>
        <v>1.7074896105983414E-4</v>
      </c>
      <c r="G167" s="86">
        <f t="shared" si="2"/>
        <v>3.3022849068971923E-4</v>
      </c>
    </row>
    <row r="168" spans="1:7" ht="22.5" customHeight="1" x14ac:dyDescent="0.2">
      <c r="A168" s="65">
        <v>1122970</v>
      </c>
      <c r="B168" s="65">
        <v>219600</v>
      </c>
      <c r="C168" s="64">
        <v>7.0000000000000007E-2</v>
      </c>
      <c r="D168" s="64">
        <v>0.1956</v>
      </c>
      <c r="E168" s="86">
        <f t="shared" si="0"/>
        <v>2.3374104579392801E-3</v>
      </c>
      <c r="F168" s="86">
        <f t="shared" si="1"/>
        <v>1.6361873205574963E-4</v>
      </c>
      <c r="G168" s="86">
        <f t="shared" si="2"/>
        <v>4.5719748557292319E-4</v>
      </c>
    </row>
    <row r="169" spans="1:7" ht="22.5" customHeight="1" x14ac:dyDescent="0.2">
      <c r="A169" s="65">
        <v>1865795</v>
      </c>
      <c r="B169" s="65">
        <v>429340</v>
      </c>
      <c r="C169" s="64">
        <v>0.12</v>
      </c>
      <c r="D169" s="64">
        <v>0.2301</v>
      </c>
      <c r="E169" s="86">
        <f t="shared" si="0"/>
        <v>3.8835665648867014E-3</v>
      </c>
      <c r="F169" s="86">
        <f t="shared" si="1"/>
        <v>4.6602798778640415E-4</v>
      </c>
      <c r="G169" s="86">
        <f t="shared" si="2"/>
        <v>8.9360866658043001E-4</v>
      </c>
    </row>
    <row r="170" spans="1:7" ht="22.5" customHeight="1" x14ac:dyDescent="0.2">
      <c r="A170" s="65">
        <v>143660</v>
      </c>
      <c r="B170" s="65">
        <v>121330</v>
      </c>
      <c r="C170" s="64">
        <v>0.06</v>
      </c>
      <c r="D170" s="64">
        <v>0.84460000000000002</v>
      </c>
      <c r="E170" s="86">
        <f t="shared" si="0"/>
        <v>2.9902168925933641E-4</v>
      </c>
      <c r="F170" s="86">
        <f t="shared" si="1"/>
        <v>1.7941301355560182E-5</v>
      </c>
      <c r="G170" s="86">
        <f t="shared" si="2"/>
        <v>2.5255371874843553E-4</v>
      </c>
    </row>
    <row r="171" spans="1:7" ht="22.5" customHeight="1" x14ac:dyDescent="0.2">
      <c r="A171" s="65">
        <v>1026000</v>
      </c>
      <c r="B171" s="65">
        <v>30800</v>
      </c>
      <c r="C171" s="64">
        <v>0.03</v>
      </c>
      <c r="D171" s="64">
        <v>0.03</v>
      </c>
      <c r="E171" s="86">
        <f t="shared" si="0"/>
        <v>2.1355718584162545E-3</v>
      </c>
      <c r="F171" s="86">
        <f t="shared" si="1"/>
        <v>6.406715575248763E-5</v>
      </c>
      <c r="G171" s="86">
        <f t="shared" si="2"/>
        <v>6.406715575248763E-5</v>
      </c>
    </row>
    <row r="172" spans="1:7" ht="22.5" customHeight="1" x14ac:dyDescent="0.2">
      <c r="A172" s="65">
        <v>847130</v>
      </c>
      <c r="B172" s="65">
        <v>27700</v>
      </c>
      <c r="C172" s="64">
        <v>0.03</v>
      </c>
      <c r="D172" s="64">
        <v>3.27E-2</v>
      </c>
      <c r="E172" s="86">
        <f t="shared" si="0"/>
        <v>1.7632621719494753E-3</v>
      </c>
      <c r="F172" s="86">
        <f t="shared" si="1"/>
        <v>5.289786515848426E-5</v>
      </c>
      <c r="G172" s="86">
        <f t="shared" si="2"/>
        <v>5.7658673022747839E-5</v>
      </c>
    </row>
    <row r="173" spans="1:7" ht="22.5" customHeight="1" x14ac:dyDescent="0.2">
      <c r="A173" s="65">
        <v>666390</v>
      </c>
      <c r="B173" s="65">
        <v>81510</v>
      </c>
      <c r="C173" s="64">
        <v>0.04</v>
      </c>
      <c r="D173" s="64">
        <v>0.12230000000000001</v>
      </c>
      <c r="E173" s="86">
        <f t="shared" si="0"/>
        <v>1.3870601664035165E-3</v>
      </c>
      <c r="F173" s="86">
        <f t="shared" si="1"/>
        <v>5.5482406656140661E-5</v>
      </c>
      <c r="G173" s="86">
        <f t="shared" si="2"/>
        <v>1.6963745835115007E-4</v>
      </c>
    </row>
    <row r="174" spans="1:7" ht="22.5" customHeight="1" x14ac:dyDescent="0.2">
      <c r="A174" s="65">
        <v>569395</v>
      </c>
      <c r="B174" s="65">
        <v>63500</v>
      </c>
      <c r="C174" s="64">
        <v>0.04</v>
      </c>
      <c r="D174" s="64">
        <v>0.1115</v>
      </c>
      <c r="E174" s="86">
        <f t="shared" si="0"/>
        <v>1.1851695305291649E-3</v>
      </c>
      <c r="F174" s="86">
        <f t="shared" si="1"/>
        <v>4.7406781221166594E-5</v>
      </c>
      <c r="G174" s="86">
        <f t="shared" si="2"/>
        <v>1.3214640265400189E-4</v>
      </c>
    </row>
    <row r="175" spans="1:7" ht="22.5" customHeight="1" x14ac:dyDescent="0.2">
      <c r="A175" s="65">
        <v>366340</v>
      </c>
      <c r="B175" s="65">
        <v>25850</v>
      </c>
      <c r="C175" s="64">
        <v>0.05</v>
      </c>
      <c r="D175" s="64">
        <v>7.0599999999999996E-2</v>
      </c>
      <c r="E175" s="86">
        <f t="shared" si="0"/>
        <v>7.6251987778967907E-4</v>
      </c>
      <c r="F175" s="86">
        <f t="shared" si="1"/>
        <v>3.8125993889483956E-5</v>
      </c>
      <c r="G175" s="86">
        <f t="shared" si="2"/>
        <v>5.3833903371951338E-5</v>
      </c>
    </row>
    <row r="176" spans="1:7" ht="22.5" customHeight="1" x14ac:dyDescent="0.2">
      <c r="A176" s="65">
        <v>1494905</v>
      </c>
      <c r="B176" s="65">
        <v>62525</v>
      </c>
      <c r="C176" s="64">
        <v>0.04</v>
      </c>
      <c r="D176" s="64">
        <v>4.1799999999999997E-2</v>
      </c>
      <c r="E176" s="86">
        <f t="shared" si="0"/>
        <v>3.1115760711557029E-3</v>
      </c>
      <c r="F176" s="86">
        <f t="shared" si="1"/>
        <v>1.2446304284622812E-4</v>
      </c>
      <c r="G176" s="86">
        <f t="shared" si="2"/>
        <v>1.3006387977430837E-4</v>
      </c>
    </row>
    <row r="177" spans="1:7" ht="22.5" customHeight="1" x14ac:dyDescent="0.2">
      <c r="A177" s="65">
        <v>881100</v>
      </c>
      <c r="B177" s="65">
        <v>61610</v>
      </c>
      <c r="C177" s="64">
        <v>0.06</v>
      </c>
      <c r="D177" s="64">
        <v>6.9900000000000004E-2</v>
      </c>
      <c r="E177" s="86">
        <f t="shared" si="0"/>
        <v>1.833969166131152E-3</v>
      </c>
      <c r="F177" s="86">
        <f t="shared" si="1"/>
        <v>1.1003814996786912E-4</v>
      </c>
      <c r="G177" s="86">
        <f t="shared" si="2"/>
        <v>1.2819444471256754E-4</v>
      </c>
    </row>
    <row r="178" spans="1:7" ht="22.5" customHeight="1" x14ac:dyDescent="0.2">
      <c r="A178" s="65">
        <v>1083144</v>
      </c>
      <c r="B178" s="65">
        <v>51650</v>
      </c>
      <c r="C178" s="64">
        <v>0.04</v>
      </c>
      <c r="D178" s="64">
        <v>4.7699999999999999E-2</v>
      </c>
      <c r="E178" s="86">
        <f t="shared" si="0"/>
        <v>2.2545144688230173E-3</v>
      </c>
      <c r="F178" s="86">
        <f t="shared" si="1"/>
        <v>9.018057875292069E-5</v>
      </c>
      <c r="G178" s="86">
        <f t="shared" si="2"/>
        <v>1.0754034016285793E-4</v>
      </c>
    </row>
    <row r="179" spans="1:7" ht="22.5" customHeight="1" x14ac:dyDescent="0.2">
      <c r="A179" s="65">
        <v>836974</v>
      </c>
      <c r="B179" s="65">
        <v>108844</v>
      </c>
      <c r="C179" s="64">
        <v>0.06</v>
      </c>
      <c r="D179" s="64">
        <v>0.13</v>
      </c>
      <c r="E179" s="86">
        <f t="shared" si="0"/>
        <v>1.7421229245868288E-3</v>
      </c>
      <c r="F179" s="86">
        <f t="shared" si="1"/>
        <v>1.0452737547520972E-4</v>
      </c>
      <c r="G179" s="86">
        <f t="shared" si="2"/>
        <v>2.2647598019628776E-4</v>
      </c>
    </row>
    <row r="180" spans="1:7" ht="22.5" customHeight="1" x14ac:dyDescent="0.2">
      <c r="A180" s="65">
        <v>1185170</v>
      </c>
      <c r="B180" s="65">
        <v>140370</v>
      </c>
      <c r="C180" s="64">
        <v>0.06</v>
      </c>
      <c r="D180" s="64">
        <v>0.11840000000000001</v>
      </c>
      <c r="E180" s="86">
        <f t="shared" si="0"/>
        <v>2.4668769000381991E-3</v>
      </c>
      <c r="F180" s="86">
        <f t="shared" si="1"/>
        <v>1.4801261400229195E-4</v>
      </c>
      <c r="G180" s="86">
        <f t="shared" si="2"/>
        <v>2.9207822496452279E-4</v>
      </c>
    </row>
    <row r="181" spans="1:7" ht="22.5" customHeight="1" x14ac:dyDescent="0.2">
      <c r="A181" s="65">
        <v>1003180</v>
      </c>
      <c r="B181" s="65">
        <v>145780</v>
      </c>
      <c r="C181" s="64">
        <v>0.1</v>
      </c>
      <c r="D181" s="64">
        <v>0.14530000000000001</v>
      </c>
      <c r="E181" s="86">
        <f t="shared" si="0"/>
        <v>2.0880730769259437E-3</v>
      </c>
      <c r="F181" s="86">
        <f t="shared" si="1"/>
        <v>2.0880730769259437E-4</v>
      </c>
      <c r="G181" s="86">
        <f t="shared" si="2"/>
        <v>3.0339701807733966E-4</v>
      </c>
    </row>
    <row r="182" spans="1:7" ht="22.5" customHeight="1" x14ac:dyDescent="0.2">
      <c r="A182" s="65">
        <v>1336640</v>
      </c>
      <c r="B182" s="65">
        <v>546740</v>
      </c>
      <c r="C182" s="64">
        <v>0.1</v>
      </c>
      <c r="D182" s="64">
        <v>0.40899999999999997</v>
      </c>
      <c r="E182" s="86">
        <f t="shared" si="0"/>
        <v>2.782154745451757E-3</v>
      </c>
      <c r="F182" s="86">
        <f t="shared" si="1"/>
        <v>2.7821547454517573E-4</v>
      </c>
      <c r="G182" s="86">
        <f t="shared" si="2"/>
        <v>1.1379012908897686E-3</v>
      </c>
    </row>
    <row r="183" spans="1:7" ht="22.5" customHeight="1" x14ac:dyDescent="0.2">
      <c r="A183" s="65">
        <v>1250420</v>
      </c>
      <c r="B183" s="65">
        <v>394200</v>
      </c>
      <c r="C183" s="64">
        <v>0.1</v>
      </c>
      <c r="D183" s="64">
        <v>0.31530000000000002</v>
      </c>
      <c r="E183" s="86">
        <f t="shared" si="0"/>
        <v>2.6026917769988822E-3</v>
      </c>
      <c r="F183" s="86">
        <f t="shared" si="1"/>
        <v>2.6026917769988821E-4</v>
      </c>
      <c r="G183" s="86">
        <f t="shared" si="2"/>
        <v>8.2062871728774765E-4</v>
      </c>
    </row>
    <row r="184" spans="1:7" ht="22.5" customHeight="1" x14ac:dyDescent="0.2">
      <c r="A184" s="65">
        <v>1538425</v>
      </c>
      <c r="B184" s="65">
        <v>395220</v>
      </c>
      <c r="C184" s="64">
        <v>0.04</v>
      </c>
      <c r="D184" s="64">
        <v>0.25690000000000002</v>
      </c>
      <c r="E184" s="86">
        <f t="shared" si="0"/>
        <v>3.2021609515438853E-3</v>
      </c>
      <c r="F184" s="86">
        <f t="shared" si="1"/>
        <v>1.280864380617554E-4</v>
      </c>
      <c r="G184" s="86">
        <f t="shared" si="2"/>
        <v>8.226351484516242E-4</v>
      </c>
    </row>
    <row r="185" spans="1:7" ht="22.5" customHeight="1" x14ac:dyDescent="0.2">
      <c r="A185" s="65">
        <v>375274</v>
      </c>
      <c r="B185" s="65">
        <v>48800</v>
      </c>
      <c r="C185" s="64">
        <v>0.02</v>
      </c>
      <c r="D185" s="64">
        <v>0.13</v>
      </c>
      <c r="E185" s="86">
        <f t="shared" si="0"/>
        <v>7.8111558829951412E-4</v>
      </c>
      <c r="F185" s="86">
        <f t="shared" si="1"/>
        <v>1.5622311765990283E-5</v>
      </c>
      <c r="G185" s="86">
        <f t="shared" si="2"/>
        <v>1.0154502647893683E-4</v>
      </c>
    </row>
    <row r="186" spans="1:7" ht="22.5" customHeight="1" x14ac:dyDescent="0.2">
      <c r="A186" s="65">
        <v>862400</v>
      </c>
      <c r="B186" s="65">
        <v>271000</v>
      </c>
      <c r="C186" s="64">
        <v>0.06</v>
      </c>
      <c r="D186" s="64">
        <v>0.31419999999999998</v>
      </c>
      <c r="E186" s="86">
        <f t="shared" si="0"/>
        <v>1.7950459753393547E-3</v>
      </c>
      <c r="F186" s="86">
        <f t="shared" si="1"/>
        <v>1.0770275852036127E-4</v>
      </c>
      <c r="G186" s="86">
        <f t="shared" si="2"/>
        <v>5.6400344545162523E-4</v>
      </c>
    </row>
    <row r="187" spans="1:7" ht="22.5" customHeight="1" x14ac:dyDescent="0.2">
      <c r="A187" s="65">
        <v>1198110</v>
      </c>
      <c r="B187" s="65">
        <v>428900</v>
      </c>
      <c r="C187" s="64">
        <v>0.08</v>
      </c>
      <c r="D187" s="64">
        <v>0.35799999999999998</v>
      </c>
      <c r="E187" s="86">
        <f t="shared" si="0"/>
        <v>2.493810915484502E-3</v>
      </c>
      <c r="F187" s="86">
        <f t="shared" si="1"/>
        <v>1.9950487323876017E-4</v>
      </c>
      <c r="G187" s="86">
        <f t="shared" si="2"/>
        <v>8.9278430774345169E-4</v>
      </c>
    </row>
    <row r="188" spans="1:7" ht="22.5" customHeight="1" x14ac:dyDescent="0.2">
      <c r="A188" s="65">
        <v>443020</v>
      </c>
      <c r="B188" s="65">
        <v>129000</v>
      </c>
      <c r="C188" s="64">
        <v>0.06</v>
      </c>
      <c r="D188" s="64">
        <v>0.29120000000000001</v>
      </c>
      <c r="E188" s="86">
        <f t="shared" si="0"/>
        <v>9.221257745765781E-4</v>
      </c>
      <c r="F188" s="86">
        <f t="shared" si="1"/>
        <v>5.5327546474594682E-5</v>
      </c>
      <c r="G188" s="86">
        <f t="shared" si="2"/>
        <v>2.6852302555669956E-4</v>
      </c>
    </row>
    <row r="189" spans="1:7" ht="22.5" customHeight="1" x14ac:dyDescent="0.2">
      <c r="A189" s="65">
        <v>786600</v>
      </c>
      <c r="B189" s="65">
        <v>164900</v>
      </c>
      <c r="C189" s="64">
        <v>0.08</v>
      </c>
      <c r="D189" s="64">
        <v>0.20960000000000001</v>
      </c>
      <c r="E189" s="86">
        <f t="shared" si="0"/>
        <v>1.6372717581191285E-3</v>
      </c>
      <c r="F189" s="86">
        <f t="shared" si="1"/>
        <v>1.3098174064953027E-4</v>
      </c>
      <c r="G189" s="86">
        <f t="shared" si="2"/>
        <v>3.4317216050176936E-4</v>
      </c>
    </row>
    <row r="190" spans="1:7" ht="22.5" customHeight="1" x14ac:dyDescent="0.2">
      <c r="A190" s="65">
        <v>2622700</v>
      </c>
      <c r="B190" s="65">
        <v>160625</v>
      </c>
      <c r="C190" s="64">
        <v>0.04</v>
      </c>
      <c r="D190" s="64">
        <v>6.1199999999999997E-2</v>
      </c>
      <c r="E190" s="86">
        <f t="shared" si="0"/>
        <v>5.4590295449008881E-3</v>
      </c>
      <c r="F190" s="86">
        <f t="shared" si="1"/>
        <v>2.1836118179603553E-4</v>
      </c>
      <c r="G190" s="86">
        <f t="shared" si="2"/>
        <v>3.3409260814793433E-4</v>
      </c>
    </row>
    <row r="191" spans="1:7" ht="22.5" customHeight="1" x14ac:dyDescent="0.2">
      <c r="A191" s="65">
        <v>788571</v>
      </c>
      <c r="B191" s="65">
        <v>672000</v>
      </c>
      <c r="C191" s="64">
        <v>0.06</v>
      </c>
      <c r="D191" s="64">
        <v>0.85219999999999996</v>
      </c>
      <c r="E191" s="86">
        <f t="shared" si="0"/>
        <v>1.641374304057665E-3</v>
      </c>
      <c r="F191" s="86">
        <f t="shared" si="1"/>
        <v>9.8482458243459898E-5</v>
      </c>
      <c r="G191" s="86">
        <f t="shared" si="2"/>
        <v>1.398779181917942E-3</v>
      </c>
    </row>
    <row r="192" spans="1:7" ht="22.5" customHeight="1" x14ac:dyDescent="0.2">
      <c r="A192" s="65">
        <v>1618465</v>
      </c>
      <c r="B192" s="65">
        <v>40600</v>
      </c>
      <c r="C192" s="64">
        <v>0.04</v>
      </c>
      <c r="D192" s="64">
        <v>2.5100000000000001E-2</v>
      </c>
      <c r="E192" s="86">
        <f t="shared" si="0"/>
        <v>3.3687605339489898E-3</v>
      </c>
      <c r="F192" s="86">
        <f t="shared" si="1"/>
        <v>1.3475042135795959E-4</v>
      </c>
      <c r="G192" s="86">
        <f t="shared" si="2"/>
        <v>8.455588940211964E-5</v>
      </c>
    </row>
    <row r="193" spans="1:7" ht="22.5" customHeight="1" x14ac:dyDescent="0.2">
      <c r="A193" s="65">
        <v>1043500</v>
      </c>
      <c r="B193" s="65">
        <v>1035500</v>
      </c>
      <c r="C193" s="64">
        <v>0.04</v>
      </c>
      <c r="D193" s="64">
        <v>0.99229999999999996</v>
      </c>
      <c r="E193" s="86">
        <f t="shared" si="0"/>
        <v>2.171997304344407E-3</v>
      </c>
      <c r="F193" s="86">
        <f t="shared" si="1"/>
        <v>8.6879892173776283E-5</v>
      </c>
      <c r="G193" s="86">
        <f t="shared" si="2"/>
        <v>2.1552729251009552E-3</v>
      </c>
    </row>
    <row r="194" spans="1:7" ht="22.5" customHeight="1" x14ac:dyDescent="0.2">
      <c r="A194" s="65">
        <v>1315093</v>
      </c>
      <c r="B194" s="65">
        <v>116317</v>
      </c>
      <c r="C194" s="64">
        <v>0.05</v>
      </c>
      <c r="D194" s="64">
        <v>8.8400000000000006E-2</v>
      </c>
      <c r="E194" s="86">
        <f t="shared" si="0"/>
        <v>2.7373056549709627E-3</v>
      </c>
      <c r="F194" s="86">
        <f t="shared" si="1"/>
        <v>1.3686528274854814E-4</v>
      </c>
      <c r="G194" s="86">
        <f t="shared" si="2"/>
        <v>2.4197781989943311E-4</v>
      </c>
    </row>
    <row r="195" spans="1:7" ht="22.5" customHeight="1" x14ac:dyDescent="0.2">
      <c r="A195" s="65">
        <v>976547</v>
      </c>
      <c r="B195" s="65">
        <v>59450</v>
      </c>
      <c r="C195" s="64">
        <v>0.05</v>
      </c>
      <c r="D195" s="64">
        <v>6.0900000000000003E-2</v>
      </c>
      <c r="E195" s="86">
        <f t="shared" si="0"/>
        <v>2.0326377111314019E-3</v>
      </c>
      <c r="F195" s="86">
        <f t="shared" si="1"/>
        <v>1.0163188555657011E-4</v>
      </c>
      <c r="G195" s="86">
        <f t="shared" si="2"/>
        <v>1.2378763660790239E-4</v>
      </c>
    </row>
    <row r="196" spans="1:7" ht="22.5" customHeight="1" x14ac:dyDescent="0.2">
      <c r="A196" s="65">
        <v>745770</v>
      </c>
      <c r="B196" s="65">
        <v>257000</v>
      </c>
      <c r="C196" s="64">
        <v>0.05</v>
      </c>
      <c r="D196" s="64">
        <v>0.34360000000000002</v>
      </c>
      <c r="E196" s="86">
        <f t="shared" si="0"/>
        <v>1.5522859891336162E-3</v>
      </c>
      <c r="F196" s="86">
        <f t="shared" si="1"/>
        <v>7.7614299456680813E-5</v>
      </c>
      <c r="G196" s="86">
        <f t="shared" si="2"/>
        <v>5.3336546586631053E-4</v>
      </c>
    </row>
    <row r="197" spans="1:7" ht="22.5" customHeight="1" x14ac:dyDescent="0.2">
      <c r="A197" s="65">
        <v>762176</v>
      </c>
      <c r="B197" s="65">
        <v>305246</v>
      </c>
      <c r="C197" s="64">
        <v>0.08</v>
      </c>
      <c r="D197" s="64">
        <v>0.40050000000000002</v>
      </c>
      <c r="E197" s="86">
        <f t="shared" si="0"/>
        <v>1.5864343243277459E-3</v>
      </c>
      <c r="F197" s="86">
        <f t="shared" si="1"/>
        <v>1.2691474594621967E-4</v>
      </c>
      <c r="G197" s="86">
        <f t="shared" si="2"/>
        <v>6.3536694689326231E-4</v>
      </c>
    </row>
    <row r="198" spans="1:7" ht="22.5" customHeight="1" x14ac:dyDescent="0.2">
      <c r="A198" s="65">
        <v>216200</v>
      </c>
      <c r="B198" s="65">
        <v>216200</v>
      </c>
      <c r="C198" s="64">
        <v>0.05</v>
      </c>
      <c r="D198" s="64">
        <v>1</v>
      </c>
      <c r="E198" s="86">
        <f t="shared" si="0"/>
        <v>4.5001036626666108E-4</v>
      </c>
      <c r="F198" s="86">
        <f t="shared" si="1"/>
        <v>2.2500518313333054E-5</v>
      </c>
      <c r="G198" s="86">
        <f t="shared" si="2"/>
        <v>4.5001036626666108E-4</v>
      </c>
    </row>
    <row r="199" spans="1:7" ht="22.5" customHeight="1" x14ac:dyDescent="0.2">
      <c r="A199" s="65">
        <v>738360</v>
      </c>
      <c r="B199" s="65">
        <v>394860</v>
      </c>
      <c r="C199" s="64">
        <v>0.09</v>
      </c>
      <c r="D199" s="64">
        <v>0.53480000000000005</v>
      </c>
      <c r="E199" s="86">
        <f t="shared" si="0"/>
        <v>1.5368624146006099E-3</v>
      </c>
      <c r="F199" s="86">
        <f t="shared" si="1"/>
        <v>1.3831761731405488E-4</v>
      </c>
      <c r="G199" s="86">
        <f t="shared" si="2"/>
        <v>8.2191401932840626E-4</v>
      </c>
    </row>
    <row r="200" spans="1:7" ht="22.5" customHeight="1" x14ac:dyDescent="0.2">
      <c r="A200" s="65">
        <v>1838000</v>
      </c>
      <c r="B200" s="65">
        <v>337000</v>
      </c>
      <c r="C200" s="64">
        <v>0.09</v>
      </c>
      <c r="D200" s="64">
        <v>0.18340000000000001</v>
      </c>
      <c r="E200" s="86">
        <f t="shared" si="0"/>
        <v>3.82571254948253E-3</v>
      </c>
      <c r="F200" s="86">
        <f t="shared" si="1"/>
        <v>3.4431412945342771E-4</v>
      </c>
      <c r="G200" s="86">
        <f t="shared" si="2"/>
        <v>7.0163568157509599E-4</v>
      </c>
    </row>
    <row r="201" spans="1:7" ht="22.5" customHeight="1" x14ac:dyDescent="0.2">
      <c r="A201" s="65">
        <v>1068900</v>
      </c>
      <c r="B201" s="65">
        <v>101900</v>
      </c>
      <c r="C201" s="64">
        <v>0.09</v>
      </c>
      <c r="D201" s="64">
        <v>9.5299999999999996E-2</v>
      </c>
      <c r="E201" s="86">
        <f t="shared" si="0"/>
        <v>2.2248662372915543E-3</v>
      </c>
      <c r="F201" s="86">
        <f t="shared" si="1"/>
        <v>2.0023796135623987E-4</v>
      </c>
      <c r="G201" s="86">
        <f t="shared" si="2"/>
        <v>2.120297524138851E-4</v>
      </c>
    </row>
    <row r="202" spans="1:7" ht="22.5" customHeight="1" x14ac:dyDescent="0.2">
      <c r="A202" s="65">
        <v>428645</v>
      </c>
      <c r="B202" s="65">
        <v>135045</v>
      </c>
      <c r="C202" s="64">
        <v>0.09</v>
      </c>
      <c r="D202" s="64">
        <v>0.31509999999999999</v>
      </c>
      <c r="E202" s="86">
        <f t="shared" si="0"/>
        <v>8.9220487256416714E-4</v>
      </c>
      <c r="F202" s="86">
        <f t="shared" si="1"/>
        <v>8.0298438530775044E-5</v>
      </c>
      <c r="G202" s="86">
        <f t="shared" si="2"/>
        <v>2.8113375534496906E-4</v>
      </c>
    </row>
    <row r="203" spans="1:7" ht="22.5" customHeight="1" x14ac:dyDescent="0.2">
      <c r="A203" s="65">
        <v>1092700</v>
      </c>
      <c r="B203" s="65">
        <v>101600</v>
      </c>
      <c r="C203" s="64">
        <v>7.0000000000000007E-2</v>
      </c>
      <c r="D203" s="64">
        <v>9.2999999999999999E-2</v>
      </c>
      <c r="E203" s="86">
        <f t="shared" si="0"/>
        <v>2.2744048437538414E-3</v>
      </c>
      <c r="F203" s="86">
        <f t="shared" si="1"/>
        <v>1.5920833906276892E-4</v>
      </c>
      <c r="G203" s="86">
        <f t="shared" si="2"/>
        <v>2.1151965046910725E-4</v>
      </c>
    </row>
    <row r="204" spans="1:7" ht="22.5" customHeight="1" x14ac:dyDescent="0.2">
      <c r="A204" s="65">
        <v>420840</v>
      </c>
      <c r="B204" s="65">
        <v>47940</v>
      </c>
      <c r="C204" s="64">
        <v>7.0000000000000007E-2</v>
      </c>
      <c r="D204" s="64">
        <v>0.1139</v>
      </c>
      <c r="E204" s="86">
        <f t="shared" si="0"/>
        <v>8.7595912368021109E-4</v>
      </c>
      <c r="F204" s="86">
        <f t="shared" si="1"/>
        <v>6.1317138657614778E-5</v>
      </c>
      <c r="G204" s="86">
        <f t="shared" si="2"/>
        <v>9.9771744187176039E-5</v>
      </c>
    </row>
    <row r="205" spans="1:7" ht="22.5" customHeight="1" x14ac:dyDescent="0.2">
      <c r="A205" s="65">
        <v>387773</v>
      </c>
      <c r="B205" s="65">
        <v>106273</v>
      </c>
      <c r="C205" s="64">
        <v>7.0000000000000007E-2</v>
      </c>
      <c r="D205" s="64">
        <v>0.27410000000000001</v>
      </c>
      <c r="E205" s="86">
        <f t="shared" si="0"/>
        <v>8.0713168250842716E-4</v>
      </c>
      <c r="F205" s="86">
        <f t="shared" si="1"/>
        <v>5.6499217775589909E-5</v>
      </c>
      <c r="G205" s="86">
        <f t="shared" si="2"/>
        <v>2.212347941755599E-4</v>
      </c>
    </row>
    <row r="206" spans="1:7" ht="22.5" customHeight="1" x14ac:dyDescent="0.2">
      <c r="A206" s="65">
        <v>479973</v>
      </c>
      <c r="B206" s="65">
        <v>149073</v>
      </c>
      <c r="C206" s="64">
        <v>7.0000000000000007E-2</v>
      </c>
      <c r="D206" s="64">
        <v>0.31059999999999999</v>
      </c>
      <c r="E206" s="86">
        <f t="shared" si="0"/>
        <v>9.9904174619846477E-4</v>
      </c>
      <c r="F206" s="86">
        <f t="shared" si="1"/>
        <v>6.9932922233892545E-5</v>
      </c>
      <c r="G206" s="86">
        <f t="shared" si="2"/>
        <v>3.1030236636924314E-4</v>
      </c>
    </row>
    <row r="207" spans="1:7" ht="22.5" customHeight="1" x14ac:dyDescent="0.2">
      <c r="A207" s="65">
        <v>437300</v>
      </c>
      <c r="B207" s="65">
        <v>167500</v>
      </c>
      <c r="C207" s="64">
        <v>7.0000000000000007E-2</v>
      </c>
      <c r="D207" s="64">
        <v>0.38300000000000001</v>
      </c>
      <c r="E207" s="86">
        <f t="shared" si="0"/>
        <v>9.1021985739320481E-4</v>
      </c>
      <c r="F207" s="86">
        <f t="shared" si="1"/>
        <v>6.3715390017524349E-5</v>
      </c>
      <c r="G207" s="86">
        <f t="shared" si="2"/>
        <v>3.4861420538159744E-4</v>
      </c>
    </row>
    <row r="208" spans="1:7" ht="22.5" customHeight="1" x14ac:dyDescent="0.2">
      <c r="A208" s="65">
        <v>310161.84999999998</v>
      </c>
      <c r="B208" s="65">
        <v>102333.95</v>
      </c>
      <c r="C208" s="64">
        <v>7.0000000000000007E-2</v>
      </c>
      <c r="D208" s="64">
        <v>0.32990000000000003</v>
      </c>
      <c r="E208" s="86">
        <f t="shared" si="0"/>
        <v>6.455876397800424E-4</v>
      </c>
      <c r="F208" s="86">
        <f t="shared" si="1"/>
        <v>4.5191134784602975E-5</v>
      </c>
      <c r="G208" s="86">
        <f t="shared" si="2"/>
        <v>2.1297936236343602E-4</v>
      </c>
    </row>
    <row r="209" spans="1:7" ht="22.5" customHeight="1" x14ac:dyDescent="0.2">
      <c r="A209" s="65">
        <v>864265</v>
      </c>
      <c r="B209" s="65">
        <v>139600</v>
      </c>
      <c r="C209" s="64">
        <v>0.09</v>
      </c>
      <c r="D209" s="64">
        <v>0.1615</v>
      </c>
      <c r="E209" s="86">
        <f t="shared" si="0"/>
        <v>1.7989278871482692E-3</v>
      </c>
      <c r="F209" s="86">
        <f t="shared" si="1"/>
        <v>1.6190350984334422E-4</v>
      </c>
      <c r="G209" s="86">
        <f t="shared" si="2"/>
        <v>2.905268537744455E-4</v>
      </c>
    </row>
    <row r="210" spans="1:7" ht="22.5" customHeight="1" x14ac:dyDescent="0.2">
      <c r="A210" s="65">
        <v>589900</v>
      </c>
      <c r="B210" s="65">
        <v>34300</v>
      </c>
      <c r="C210" s="64">
        <v>0.04</v>
      </c>
      <c r="D210" s="64">
        <v>5.8099999999999999E-2</v>
      </c>
      <c r="E210" s="86">
        <f t="shared" si="0"/>
        <v>1.2278497458866945E-3</v>
      </c>
      <c r="F210" s="86">
        <f t="shared" si="1"/>
        <v>4.9113989835467777E-5</v>
      </c>
      <c r="G210" s="86">
        <f t="shared" si="2"/>
        <v>7.133807023601694E-5</v>
      </c>
    </row>
    <row r="211" spans="1:7" ht="22.5" customHeight="1" x14ac:dyDescent="0.2">
      <c r="A211" s="65">
        <v>743425</v>
      </c>
      <c r="B211" s="65">
        <v>33100</v>
      </c>
      <c r="C211" s="64">
        <v>0.1</v>
      </c>
      <c r="D211" s="64">
        <v>4.4499999999999998E-2</v>
      </c>
      <c r="E211" s="86">
        <f t="shared" si="0"/>
        <v>1.5474049793792438E-3</v>
      </c>
      <c r="F211" s="86">
        <f t="shared" si="1"/>
        <v>1.547404979379244E-4</v>
      </c>
      <c r="G211" s="86">
        <f t="shared" si="2"/>
        <v>6.8859521582376342E-5</v>
      </c>
    </row>
    <row r="212" spans="1:7" ht="22.5" customHeight="1" x14ac:dyDescent="0.2">
      <c r="A212" s="65">
        <v>1255150</v>
      </c>
      <c r="B212" s="65">
        <v>367600</v>
      </c>
      <c r="C212" s="64">
        <v>0.11</v>
      </c>
      <c r="D212" s="64">
        <v>0.29289999999999999</v>
      </c>
      <c r="E212" s="86">
        <f t="shared" si="0"/>
        <v>2.6125370546697486E-3</v>
      </c>
      <c r="F212" s="86">
        <f t="shared" si="1"/>
        <v>2.8737907601367234E-4</v>
      </c>
      <c r="G212" s="86">
        <f t="shared" si="2"/>
        <v>7.652121033127694E-4</v>
      </c>
    </row>
    <row r="213" spans="1:7" ht="22.5" customHeight="1" x14ac:dyDescent="0.2">
      <c r="A213" s="65">
        <v>1624377</v>
      </c>
      <c r="B213" s="65">
        <v>438127</v>
      </c>
      <c r="C213" s="64">
        <v>0.11</v>
      </c>
      <c r="D213" s="64">
        <v>0.2697</v>
      </c>
      <c r="E213" s="86">
        <f t="shared" si="0"/>
        <v>3.3810660903105462E-3</v>
      </c>
      <c r="F213" s="86">
        <f t="shared" si="1"/>
        <v>3.7191726993416008E-4</v>
      </c>
      <c r="G213" s="86">
        <f t="shared" si="2"/>
        <v>9.1187352455675426E-4</v>
      </c>
    </row>
    <row r="214" spans="1:7" ht="22.5" customHeight="1" x14ac:dyDescent="0.2">
      <c r="A214" s="65">
        <v>2012612</v>
      </c>
      <c r="B214" s="65">
        <v>302037</v>
      </c>
      <c r="C214" s="64">
        <v>0.04</v>
      </c>
      <c r="D214" s="64">
        <v>0.15010000000000001</v>
      </c>
      <c r="E214" s="86">
        <f t="shared" si="0"/>
        <v>4.1891594045914762E-3</v>
      </c>
      <c r="F214" s="86">
        <f t="shared" si="1"/>
        <v>1.6756637618365905E-4</v>
      </c>
      <c r="G214" s="86">
        <f t="shared" si="2"/>
        <v>6.2879282662918067E-4</v>
      </c>
    </row>
    <row r="215" spans="1:7" ht="22.5" customHeight="1" x14ac:dyDescent="0.2">
      <c r="A215" s="65">
        <v>427442.3</v>
      </c>
      <c r="B215" s="65">
        <v>31000</v>
      </c>
      <c r="C215" s="64">
        <v>0.03</v>
      </c>
      <c r="D215" s="64">
        <v>7.2499999999999995E-2</v>
      </c>
      <c r="E215" s="86">
        <f t="shared" si="0"/>
        <v>8.8970150777457912E-4</v>
      </c>
      <c r="F215" s="86">
        <f t="shared" si="1"/>
        <v>2.6691045233237372E-5</v>
      </c>
      <c r="G215" s="86">
        <f t="shared" si="2"/>
        <v>6.4503359313656982E-5</v>
      </c>
    </row>
    <row r="216" spans="1:7" ht="22.5" customHeight="1" x14ac:dyDescent="0.2">
      <c r="A216" s="65">
        <v>817943</v>
      </c>
      <c r="B216" s="65">
        <v>590443</v>
      </c>
      <c r="C216" s="64">
        <v>0.08</v>
      </c>
      <c r="D216" s="64">
        <v>0.72189999999999999</v>
      </c>
      <c r="E216" s="86">
        <f t="shared" si="0"/>
        <v>1.7025107725034761E-3</v>
      </c>
      <c r="F216" s="86">
        <f t="shared" si="1"/>
        <v>1.3620086180027809E-4</v>
      </c>
      <c r="G216" s="86">
        <f t="shared" si="2"/>
        <v>1.2290425266702593E-3</v>
      </c>
    </row>
    <row r="217" spans="1:7" ht="22.5" customHeight="1" x14ac:dyDescent="0.2">
      <c r="A217" s="65">
        <v>419877</v>
      </c>
      <c r="B217" s="65">
        <v>65677</v>
      </c>
      <c r="C217" s="64">
        <v>0.08</v>
      </c>
      <c r="D217" s="64">
        <v>0.15640000000000001</v>
      </c>
      <c r="E217" s="86">
        <f t="shared" si="0"/>
        <v>8.739546834271362E-4</v>
      </c>
      <c r="F217" s="86">
        <f t="shared" si="1"/>
        <v>6.9916374674170893E-5</v>
      </c>
      <c r="G217" s="86">
        <f t="shared" si="2"/>
        <v>1.3668651248800411E-4</v>
      </c>
    </row>
    <row r="218" spans="1:7" ht="22.5" customHeight="1" x14ac:dyDescent="0.2">
      <c r="A218" s="65">
        <v>995000</v>
      </c>
      <c r="B218" s="65">
        <v>51012</v>
      </c>
      <c r="C218" s="64">
        <v>0.03</v>
      </c>
      <c r="D218" s="64">
        <v>5.1299999999999998E-2</v>
      </c>
      <c r="E218" s="86">
        <f t="shared" si="0"/>
        <v>2.0710467827720989E-3</v>
      </c>
      <c r="F218" s="86">
        <f t="shared" si="1"/>
        <v>6.2131403483162969E-5</v>
      </c>
      <c r="G218" s="86">
        <f t="shared" si="2"/>
        <v>1.0624469995620867E-4</v>
      </c>
    </row>
    <row r="219" spans="1:7" ht="22.5" customHeight="1" x14ac:dyDescent="0.2">
      <c r="A219" s="65">
        <v>967765</v>
      </c>
      <c r="B219" s="65">
        <v>60600</v>
      </c>
      <c r="C219" s="64">
        <v>0.04</v>
      </c>
      <c r="D219" s="64">
        <v>6.2600000000000003E-2</v>
      </c>
      <c r="E219" s="86">
        <f t="shared" si="0"/>
        <v>2.0143583816376281E-3</v>
      </c>
      <c r="F219" s="86">
        <f t="shared" si="1"/>
        <v>8.0574335265505128E-5</v>
      </c>
      <c r="G219" s="86">
        <f t="shared" si="2"/>
        <v>1.2609883469051552E-4</v>
      </c>
    </row>
    <row r="220" spans="1:7" ht="22.5" customHeight="1" x14ac:dyDescent="0.2">
      <c r="A220" s="65">
        <v>594815</v>
      </c>
      <c r="B220" s="65">
        <v>92315</v>
      </c>
      <c r="C220" s="64">
        <v>0.05</v>
      </c>
      <c r="D220" s="64">
        <v>0.1552</v>
      </c>
      <c r="E220" s="86">
        <f t="shared" si="0"/>
        <v>1.2380800925573727E-3</v>
      </c>
      <c r="F220" s="86">
        <f t="shared" si="1"/>
        <v>6.190400462786864E-5</v>
      </c>
      <c r="G220" s="86">
        <f t="shared" si="2"/>
        <v>1.9215003036490426E-4</v>
      </c>
    </row>
    <row r="221" spans="1:7" ht="22.5" customHeight="1" x14ac:dyDescent="0.2">
      <c r="A221" s="65">
        <v>1598005</v>
      </c>
      <c r="B221" s="65">
        <v>323390</v>
      </c>
      <c r="C221" s="64">
        <v>7.0000000000000007E-2</v>
      </c>
      <c r="D221" s="64">
        <v>0.2024</v>
      </c>
      <c r="E221" s="86">
        <f t="shared" si="0"/>
        <v>3.3261739840238468E-3</v>
      </c>
      <c r="F221" s="86">
        <f t="shared" si="1"/>
        <v>2.3283217888166931E-4</v>
      </c>
      <c r="G221" s="86">
        <f t="shared" si="2"/>
        <v>6.7321761436642659E-4</v>
      </c>
    </row>
    <row r="222" spans="1:7" ht="22.5" customHeight="1" x14ac:dyDescent="0.2">
      <c r="A222" s="65">
        <v>2739587</v>
      </c>
      <c r="B222" s="65">
        <v>2390142</v>
      </c>
      <c r="C222" s="64">
        <v>7.0000000000000007E-2</v>
      </c>
      <c r="D222" s="64">
        <v>0.87239999999999995</v>
      </c>
      <c r="E222" s="86">
        <f t="shared" si="0"/>
        <v>5.7023244647982571E-3</v>
      </c>
      <c r="F222" s="86">
        <f t="shared" si="1"/>
        <v>3.9916271253587806E-4</v>
      </c>
      <c r="G222" s="86">
        <f t="shared" si="2"/>
        <v>4.9747078630899989E-3</v>
      </c>
    </row>
    <row r="223" spans="1:7" ht="22.5" customHeight="1" x14ac:dyDescent="0.2">
      <c r="A223" s="65">
        <v>902500</v>
      </c>
      <c r="B223" s="65">
        <v>163800</v>
      </c>
      <c r="C223" s="64">
        <v>0.04</v>
      </c>
      <c r="D223" s="64">
        <v>0.18149999999999999</v>
      </c>
      <c r="E223" s="86">
        <f t="shared" si="0"/>
        <v>1.8785122828661499E-3</v>
      </c>
      <c r="F223" s="86">
        <f t="shared" si="1"/>
        <v>7.5140491314645993E-5</v>
      </c>
      <c r="G223" s="86">
        <f t="shared" si="2"/>
        <v>3.4094997934020621E-4</v>
      </c>
    </row>
    <row r="224" spans="1:7" ht="22.5" customHeight="1" x14ac:dyDescent="0.2">
      <c r="A224" s="65">
        <v>609250</v>
      </c>
      <c r="B224" s="65">
        <v>166650</v>
      </c>
      <c r="C224" s="64">
        <v>0.03</v>
      </c>
      <c r="D224" s="64">
        <v>0.27350000000000002</v>
      </c>
      <c r="E224" s="86">
        <f t="shared" si="0"/>
        <v>1.2681258818129659E-3</v>
      </c>
      <c r="F224" s="86">
        <f t="shared" si="1"/>
        <v>3.8043776454388979E-5</v>
      </c>
      <c r="G224" s="86">
        <f t="shared" si="2"/>
        <v>3.4683242867584622E-4</v>
      </c>
    </row>
    <row r="225" spans="1:7" ht="22.5" customHeight="1" x14ac:dyDescent="0.2">
      <c r="A225" s="65">
        <v>1588290</v>
      </c>
      <c r="B225" s="65">
        <v>299700</v>
      </c>
      <c r="C225" s="64">
        <v>0.03</v>
      </c>
      <c r="D225" s="64">
        <v>0.18870000000000001</v>
      </c>
      <c r="E225" s="86">
        <f t="shared" si="0"/>
        <v>3.3059526578985898E-3</v>
      </c>
      <c r="F225" s="86">
        <f t="shared" si="1"/>
        <v>9.9178579736957691E-5</v>
      </c>
      <c r="G225" s="86">
        <f t="shared" si="2"/>
        <v>6.2383326654546394E-4</v>
      </c>
    </row>
    <row r="226" spans="1:7" ht="22.5" customHeight="1" x14ac:dyDescent="0.2">
      <c r="A226" s="65">
        <v>2289168</v>
      </c>
      <c r="B226" s="65">
        <v>138600</v>
      </c>
      <c r="C226" s="64">
        <v>0.04</v>
      </c>
      <c r="D226" s="64">
        <v>6.0499999999999998E-2</v>
      </c>
      <c r="E226" s="86">
        <f t="shared" si="0"/>
        <v>4.7647980116832557E-3</v>
      </c>
      <c r="F226" s="86">
        <f t="shared" si="1"/>
        <v>1.9059192046733022E-4</v>
      </c>
      <c r="G226" s="86">
        <f t="shared" si="2"/>
        <v>2.8827027970683699E-4</v>
      </c>
    </row>
    <row r="227" spans="1:7" ht="22.5" customHeight="1" x14ac:dyDescent="0.2">
      <c r="A227" s="65">
        <v>2454360</v>
      </c>
      <c r="B227" s="65">
        <v>600200</v>
      </c>
      <c r="C227" s="64">
        <v>0.04</v>
      </c>
      <c r="D227" s="64">
        <v>0.2445</v>
      </c>
      <c r="E227" s="86">
        <f t="shared" si="0"/>
        <v>5.1086375696125915E-3</v>
      </c>
      <c r="F227" s="86">
        <f t="shared" si="1"/>
        <v>2.0434550278450366E-4</v>
      </c>
      <c r="G227" s="86">
        <f t="shared" si="2"/>
        <v>1.2490618857702786E-3</v>
      </c>
    </row>
    <row r="228" spans="1:7" ht="22.5" customHeight="1" x14ac:dyDescent="0.2">
      <c r="A228" s="65">
        <v>3370199.36</v>
      </c>
      <c r="B228" s="65">
        <v>232791.31</v>
      </c>
      <c r="C228" s="64">
        <v>0.05</v>
      </c>
      <c r="D228" s="64">
        <v>6.9099999999999995E-2</v>
      </c>
      <c r="E228" s="86">
        <f t="shared" si="0"/>
        <v>7.014915117415664E-3</v>
      </c>
      <c r="F228" s="86">
        <f t="shared" si="1"/>
        <v>3.5074575587078325E-4</v>
      </c>
      <c r="G228" s="86">
        <f t="shared" si="2"/>
        <v>4.8473063461342236E-4</v>
      </c>
    </row>
    <row r="229" spans="1:7" ht="22.5" customHeight="1" x14ac:dyDescent="0.2">
      <c r="A229" s="65">
        <v>10145481.060000001</v>
      </c>
      <c r="B229" s="65">
        <v>765155.93</v>
      </c>
      <c r="C229" s="64">
        <v>0.05</v>
      </c>
      <c r="D229" s="64">
        <v>7.5399999999999995E-2</v>
      </c>
      <c r="E229" s="86">
        <f t="shared" si="0"/>
        <v>2.1117352672350015E-2</v>
      </c>
      <c r="F229" s="86">
        <f t="shared" si="1"/>
        <v>1.0558676336175007E-3</v>
      </c>
      <c r="G229" s="86">
        <f t="shared" si="2"/>
        <v>1.592248391495191E-3</v>
      </c>
    </row>
    <row r="230" spans="1:7" ht="22.5" customHeight="1" x14ac:dyDescent="0.2">
      <c r="A230" s="65">
        <v>6208878.1299999999</v>
      </c>
      <c r="B230" s="65">
        <v>243177.62</v>
      </c>
      <c r="C230" s="64">
        <v>0.05</v>
      </c>
      <c r="D230" s="64">
        <v>3.9199999999999999E-2</v>
      </c>
      <c r="E230" s="86">
        <f t="shared" si="0"/>
        <v>1.292349454850306E-2</v>
      </c>
      <c r="F230" s="86">
        <f t="shared" si="1"/>
        <v>6.46174727425153E-4</v>
      </c>
      <c r="G230" s="86">
        <f t="shared" si="2"/>
        <v>5.0660098630131987E-4</v>
      </c>
    </row>
    <row r="231" spans="1:7" ht="22.5" customHeight="1" x14ac:dyDescent="0.2">
      <c r="A231" s="65">
        <v>3003843.96</v>
      </c>
      <c r="B231" s="65">
        <v>471908.96</v>
      </c>
      <c r="C231" s="64">
        <v>0.05</v>
      </c>
      <c r="D231" s="64">
        <v>0.15709999999999999</v>
      </c>
      <c r="E231" s="86">
        <f t="shared" si="0"/>
        <v>6.2523631852335684E-3</v>
      </c>
      <c r="F231" s="86">
        <f t="shared" si="1"/>
        <v>3.1261815926167846E-4</v>
      </c>
      <c r="G231" s="86">
        <f t="shared" si="2"/>
        <v>9.822462564001936E-4</v>
      </c>
    </row>
    <row r="232" spans="1:7" ht="22.5" customHeight="1" x14ac:dyDescent="0.2">
      <c r="A232" s="65">
        <v>1859493.05</v>
      </c>
      <c r="B232" s="65">
        <v>117294.72</v>
      </c>
      <c r="C232" s="64">
        <v>0.05</v>
      </c>
      <c r="D232" s="64">
        <v>6.3100000000000003E-2</v>
      </c>
      <c r="E232" s="86">
        <f t="shared" si="0"/>
        <v>3.8704493455171633E-3</v>
      </c>
      <c r="F232" s="86">
        <f t="shared" si="1"/>
        <v>1.9352246727585818E-4</v>
      </c>
      <c r="G232" s="86">
        <f t="shared" si="2"/>
        <v>2.44225353702133E-4</v>
      </c>
    </row>
    <row r="233" spans="1:7" ht="22.5" customHeight="1" x14ac:dyDescent="0.2">
      <c r="A233" s="65">
        <v>1065550.19</v>
      </c>
      <c r="B233" s="65">
        <v>12988.1</v>
      </c>
      <c r="C233" s="64">
        <v>0.05</v>
      </c>
      <c r="D233" s="64">
        <v>1.2200000000000001E-2</v>
      </c>
      <c r="E233" s="86">
        <f t="shared" si="0"/>
        <v>2.2178937616901492E-3</v>
      </c>
      <c r="F233" s="86">
        <f t="shared" si="1"/>
        <v>1.1089468808450746E-4</v>
      </c>
      <c r="G233" s="86">
        <f t="shared" si="2"/>
        <v>2.7058303892619823E-5</v>
      </c>
    </row>
    <row r="234" spans="1:7" ht="22.5" customHeight="1" x14ac:dyDescent="0.2">
      <c r="A234" s="65">
        <v>4153164.45</v>
      </c>
      <c r="B234" s="65">
        <v>114170.95</v>
      </c>
      <c r="C234" s="64">
        <v>0.05</v>
      </c>
      <c r="D234" s="64">
        <v>2.75E-2</v>
      </c>
      <c r="E234" s="86">
        <f t="shared" si="0"/>
        <v>8.6446209773828678E-3</v>
      </c>
      <c r="F234" s="86">
        <f t="shared" si="1"/>
        <v>4.3223104886914342E-4</v>
      </c>
      <c r="G234" s="86">
        <f t="shared" si="2"/>
        <v>2.3772707687802887E-4</v>
      </c>
    </row>
    <row r="235" spans="1:7" ht="22.5" customHeight="1" x14ac:dyDescent="0.2">
      <c r="A235" s="65">
        <v>867093.02</v>
      </c>
      <c r="B235" s="65">
        <v>364105.25</v>
      </c>
      <c r="C235" s="64">
        <v>0.05</v>
      </c>
      <c r="D235" s="64">
        <v>0.4199</v>
      </c>
      <c r="E235" s="86">
        <f t="shared" si="0"/>
        <v>1.8048142808393399E-3</v>
      </c>
      <c r="F235" s="86">
        <f t="shared" si="1"/>
        <v>9.0240714041966996E-5</v>
      </c>
      <c r="G235" s="86">
        <f t="shared" si="2"/>
        <v>7.5784151652443887E-4</v>
      </c>
    </row>
    <row r="236" spans="1:7" ht="22.5" customHeight="1" x14ac:dyDescent="0.2">
      <c r="A236" s="65">
        <v>631806</v>
      </c>
      <c r="B236" s="65">
        <v>282806</v>
      </c>
      <c r="C236" s="64">
        <v>0.1</v>
      </c>
      <c r="D236" s="64">
        <v>0.4476</v>
      </c>
      <c r="E236" s="86">
        <f t="shared" si="0"/>
        <v>1.3150751594332749E-3</v>
      </c>
      <c r="F236" s="86">
        <f t="shared" si="1"/>
        <v>1.315075159433275E-4</v>
      </c>
      <c r="G236" s="86">
        <f t="shared" si="2"/>
        <v>5.8862764136233389E-4</v>
      </c>
    </row>
    <row r="237" spans="1:7" ht="22.5" customHeight="1" x14ac:dyDescent="0.2">
      <c r="A237" s="65">
        <v>290800</v>
      </c>
      <c r="B237" s="65">
        <v>290800</v>
      </c>
      <c r="C237" s="64">
        <v>0.1</v>
      </c>
      <c r="D237" s="64">
        <v>1</v>
      </c>
      <c r="E237" s="86">
        <f t="shared" si="0"/>
        <v>6.0528683862324248E-4</v>
      </c>
      <c r="F237" s="86">
        <f t="shared" si="1"/>
        <v>6.0528683862324252E-5</v>
      </c>
      <c r="G237" s="86">
        <f t="shared" si="2"/>
        <v>6.0528683862324248E-4</v>
      </c>
    </row>
    <row r="238" spans="1:7" ht="22.5" customHeight="1" x14ac:dyDescent="0.2">
      <c r="A238" s="65">
        <v>507500</v>
      </c>
      <c r="B238" s="65">
        <v>116400</v>
      </c>
      <c r="C238" s="64">
        <v>0.1</v>
      </c>
      <c r="D238" s="64">
        <v>0.22939999999999999</v>
      </c>
      <c r="E238" s="86">
        <f t="shared" si="0"/>
        <v>1.0563379319164221E-3</v>
      </c>
      <c r="F238" s="86">
        <f t="shared" si="1"/>
        <v>1.0563379319164222E-4</v>
      </c>
      <c r="G238" s="86">
        <f t="shared" si="2"/>
        <v>2.4232392158162725E-4</v>
      </c>
    </row>
    <row r="239" spans="1:7" ht="22.5" customHeight="1" x14ac:dyDescent="0.2">
      <c r="A239" s="65">
        <v>992300</v>
      </c>
      <c r="B239" s="65">
        <v>308850</v>
      </c>
      <c r="C239" s="64">
        <v>0.11</v>
      </c>
      <c r="D239" s="64">
        <v>0.31119999999999998</v>
      </c>
      <c r="E239" s="86">
        <f t="shared" si="0"/>
        <v>2.0654268568288982E-3</v>
      </c>
      <c r="F239" s="86">
        <f t="shared" si="1"/>
        <v>2.2719695425117879E-4</v>
      </c>
      <c r="G239" s="86">
        <f t="shared" si="2"/>
        <v>6.427608378451531E-4</v>
      </c>
    </row>
    <row r="240" spans="1:7" ht="22.5" customHeight="1" x14ac:dyDescent="0.2">
      <c r="A240" s="65">
        <v>1302800</v>
      </c>
      <c r="B240" s="65">
        <v>498000</v>
      </c>
      <c r="C240" s="64">
        <v>0.14000000000000001</v>
      </c>
      <c r="D240" s="64">
        <v>0.38229999999999997</v>
      </c>
      <c r="E240" s="86">
        <f t="shared" si="0"/>
        <v>2.7117183402969752E-3</v>
      </c>
      <c r="F240" s="86">
        <f t="shared" si="1"/>
        <v>3.7964056764157658E-4</v>
      </c>
      <c r="G240" s="86">
        <f t="shared" si="2"/>
        <v>1.0366899214955335E-3</v>
      </c>
    </row>
    <row r="241" spans="1:7" ht="22.5" customHeight="1" x14ac:dyDescent="0.2">
      <c r="A241" s="65">
        <v>1285100</v>
      </c>
      <c r="B241" s="65">
        <v>593600</v>
      </c>
      <c r="C241" s="64">
        <v>0.11</v>
      </c>
      <c r="D241" s="64">
        <v>0.46189999999999998</v>
      </c>
      <c r="E241" s="86">
        <f t="shared" si="0"/>
        <v>2.6748766035582152E-3</v>
      </c>
      <c r="F241" s="86">
        <f t="shared" si="1"/>
        <v>2.9423642639140365E-4</v>
      </c>
      <c r="G241" s="86">
        <f t="shared" si="2"/>
        <v>1.2355255031835394E-3</v>
      </c>
    </row>
    <row r="242" spans="1:7" ht="22.5" customHeight="1" x14ac:dyDescent="0.2">
      <c r="A242" s="65">
        <v>1827305</v>
      </c>
      <c r="B242" s="65">
        <v>469605</v>
      </c>
      <c r="C242" s="64">
        <v>0.12</v>
      </c>
      <c r="D242" s="64">
        <v>0.25700000000000001</v>
      </c>
      <c r="E242" s="86">
        <f t="shared" si="0"/>
        <v>3.8034513983852963E-3</v>
      </c>
      <c r="F242" s="86">
        <f t="shared" si="1"/>
        <v>4.5641416780623553E-4</v>
      </c>
      <c r="G242" s="86">
        <f t="shared" si="2"/>
        <v>9.7748700938502116E-4</v>
      </c>
    </row>
    <row r="243" spans="1:7" ht="22.5" customHeight="1" x14ac:dyDescent="0.2">
      <c r="A243" s="65">
        <v>2107746</v>
      </c>
      <c r="B243" s="65">
        <v>445246</v>
      </c>
      <c r="C243" s="64">
        <v>0.15</v>
      </c>
      <c r="D243" s="64">
        <v>0.2112</v>
      </c>
      <c r="E243" s="86">
        <f t="shared" si="0"/>
        <v>4.3871764544731254E-3</v>
      </c>
      <c r="F243" s="86">
        <f t="shared" si="1"/>
        <v>6.5807646817096874E-4</v>
      </c>
      <c r="G243" s="86">
        <f t="shared" si="2"/>
        <v>9.2657166718472408E-4</v>
      </c>
    </row>
    <row r="244" spans="1:7" ht="22.5" customHeight="1" x14ac:dyDescent="0.2">
      <c r="A244" s="65">
        <v>2048600</v>
      </c>
      <c r="B244" s="65">
        <v>233300</v>
      </c>
      <c r="C244" s="64">
        <v>0.15</v>
      </c>
      <c r="D244" s="64">
        <v>0.1139</v>
      </c>
      <c r="E244" s="86">
        <f t="shared" si="0"/>
        <v>4.2640667730521825E-3</v>
      </c>
      <c r="F244" s="86">
        <f t="shared" si="1"/>
        <v>6.3961001595782738E-4</v>
      </c>
      <c r="G244" s="86">
        <f t="shared" si="2"/>
        <v>4.8567720545064359E-4</v>
      </c>
    </row>
    <row r="245" spans="1:7" ht="22.5" customHeight="1" x14ac:dyDescent="0.2">
      <c r="A245" s="65">
        <v>916556</v>
      </c>
      <c r="B245" s="65">
        <v>90856</v>
      </c>
      <c r="C245" s="64">
        <v>0.09</v>
      </c>
      <c r="D245" s="64">
        <v>9.9099999999999994E-2</v>
      </c>
      <c r="E245" s="86">
        <f t="shared" si="0"/>
        <v>1.907769201035642E-3</v>
      </c>
      <c r="F245" s="86">
        <f t="shared" si="1"/>
        <v>1.7169922809320777E-4</v>
      </c>
      <c r="G245" s="86">
        <f t="shared" si="2"/>
        <v>1.8905992782263211E-4</v>
      </c>
    </row>
    <row r="246" spans="1:7" ht="22.5" customHeight="1" x14ac:dyDescent="0.2">
      <c r="A246" s="65">
        <v>400750</v>
      </c>
      <c r="B246" s="65">
        <v>67450</v>
      </c>
      <c r="C246" s="64">
        <v>7.0000000000000007E-2</v>
      </c>
      <c r="D246" s="64">
        <v>0.16830000000000001</v>
      </c>
      <c r="E246" s="86">
        <f t="shared" si="0"/>
        <v>8.3414271175469203E-4</v>
      </c>
      <c r="F246" s="86">
        <f t="shared" si="1"/>
        <v>5.838998982282845E-5</v>
      </c>
      <c r="G246" s="86">
        <f t="shared" si="2"/>
        <v>1.4038621838831467E-4</v>
      </c>
    </row>
    <row r="247" spans="1:7" ht="22.5" customHeight="1" x14ac:dyDescent="0.2">
      <c r="A247" s="65">
        <v>505870</v>
      </c>
      <c r="B247" s="65">
        <v>27670</v>
      </c>
      <c r="C247" s="64">
        <v>0.05</v>
      </c>
      <c r="D247" s="64">
        <v>5.4699999999999999E-2</v>
      </c>
      <c r="E247" s="86">
        <f t="shared" si="0"/>
        <v>1.0529451618099715E-3</v>
      </c>
      <c r="F247" s="86">
        <f t="shared" si="1"/>
        <v>5.2647258090498577E-5</v>
      </c>
      <c r="G247" s="86">
        <f t="shared" si="2"/>
        <v>5.7596100351005435E-5</v>
      </c>
    </row>
    <row r="248" spans="1:7" ht="22.5" customHeight="1" x14ac:dyDescent="0.2">
      <c r="A248" s="65">
        <v>1521400</v>
      </c>
      <c r="B248" s="65">
        <v>602600</v>
      </c>
      <c r="C248" s="64">
        <v>0.14000000000000001</v>
      </c>
      <c r="D248" s="64">
        <v>0.39610000000000001</v>
      </c>
      <c r="E248" s="86">
        <f t="shared" si="0"/>
        <v>3.1667241962909255E-3</v>
      </c>
      <c r="F248" s="86">
        <f t="shared" si="1"/>
        <v>4.4334138748072961E-4</v>
      </c>
      <c r="G248" s="86">
        <f t="shared" si="2"/>
        <v>1.2543394541508356E-3</v>
      </c>
    </row>
    <row r="249" spans="1:7" ht="22.5" customHeight="1" x14ac:dyDescent="0.2">
      <c r="A249" s="65">
        <v>181800</v>
      </c>
      <c r="B249" s="65">
        <v>8200</v>
      </c>
      <c r="C249" s="64">
        <v>0.04</v>
      </c>
      <c r="D249" s="64">
        <v>4.5100000000000001E-2</v>
      </c>
      <c r="E249" s="86">
        <f t="shared" si="0"/>
        <v>3.7840834684217846E-4</v>
      </c>
      <c r="F249" s="86">
        <f t="shared" si="1"/>
        <v>1.5136333873687139E-5</v>
      </c>
      <c r="G249" s="86">
        <f t="shared" si="2"/>
        <v>1.706621644258225E-5</v>
      </c>
    </row>
    <row r="250" spans="1:7" ht="22.5" customHeight="1" x14ac:dyDescent="0.2">
      <c r="A250" s="65">
        <v>1340960</v>
      </c>
      <c r="B250" s="65">
        <v>212900</v>
      </c>
      <c r="C250" s="64">
        <v>0.1</v>
      </c>
      <c r="D250" s="64">
        <v>0.1588</v>
      </c>
      <c r="E250" s="86">
        <f t="shared" si="0"/>
        <v>2.7911466269608777E-3</v>
      </c>
      <c r="F250" s="86">
        <f t="shared" si="1"/>
        <v>2.791146626960878E-4</v>
      </c>
      <c r="G250" s="86">
        <f t="shared" si="2"/>
        <v>4.4323408436138737E-4</v>
      </c>
    </row>
    <row r="251" spans="1:7" ht="22.5" customHeight="1" x14ac:dyDescent="0.2">
      <c r="A251" s="65">
        <v>587500</v>
      </c>
      <c r="B251" s="65">
        <v>96700</v>
      </c>
      <c r="C251" s="64">
        <v>0.1</v>
      </c>
      <c r="D251" s="64">
        <v>0.1646</v>
      </c>
      <c r="E251" s="86">
        <f t="shared" si="0"/>
        <v>1.2228542561594051E-3</v>
      </c>
      <c r="F251" s="86">
        <f t="shared" si="1"/>
        <v>1.2228542561594052E-4</v>
      </c>
      <c r="G251" s="86">
        <f t="shared" si="2"/>
        <v>2.0128181056383807E-4</v>
      </c>
    </row>
    <row r="252" spans="1:7" ht="22.5" customHeight="1" x14ac:dyDescent="0.2">
      <c r="A252" s="65">
        <v>2001550</v>
      </c>
      <c r="B252" s="65">
        <v>260800</v>
      </c>
      <c r="C252" s="64">
        <v>0.12</v>
      </c>
      <c r="D252" s="64">
        <v>0.1303</v>
      </c>
      <c r="E252" s="86">
        <f t="shared" si="0"/>
        <v>4.1661343598567782E-3</v>
      </c>
      <c r="F252" s="86">
        <f t="shared" si="1"/>
        <v>4.9993612318281332E-4</v>
      </c>
      <c r="G252" s="86">
        <f t="shared" si="2"/>
        <v>5.4284730708933817E-4</v>
      </c>
    </row>
    <row r="253" spans="1:7" ht="22.5" customHeight="1" x14ac:dyDescent="0.2">
      <c r="A253" s="65">
        <v>260800</v>
      </c>
      <c r="B253" s="65">
        <v>300859</v>
      </c>
      <c r="C253" s="64">
        <v>0.15</v>
      </c>
      <c r="D253" s="64">
        <v>0.20019999999999999</v>
      </c>
      <c r="E253" s="86">
        <f t="shared" si="0"/>
        <v>5.4284321703212393E-4</v>
      </c>
      <c r="F253" s="86">
        <f t="shared" si="1"/>
        <v>8.1426482554818589E-5</v>
      </c>
      <c r="G253" s="86">
        <f t="shared" si="2"/>
        <v>1.086772120498312E-4</v>
      </c>
    </row>
    <row r="254" spans="1:7" ht="22.5" customHeight="1" x14ac:dyDescent="0.2">
      <c r="A254" s="65">
        <v>1383224</v>
      </c>
      <c r="B254" s="65">
        <v>250824</v>
      </c>
      <c r="C254" s="64">
        <v>0.12</v>
      </c>
      <c r="D254" s="64">
        <v>0.18129999999999999</v>
      </c>
      <c r="E254" s="86">
        <f t="shared" si="0"/>
        <v>2.8791172010584455E-3</v>
      </c>
      <c r="F254" s="86">
        <f t="shared" si="1"/>
        <v>3.4549406412701344E-4</v>
      </c>
      <c r="G254" s="86">
        <f t="shared" si="2"/>
        <v>5.2198394855189616E-4</v>
      </c>
    </row>
    <row r="255" spans="1:7" ht="22.5" customHeight="1" x14ac:dyDescent="0.2">
      <c r="A255" s="65">
        <v>2184835</v>
      </c>
      <c r="B255" s="65">
        <v>678230</v>
      </c>
      <c r="C255" s="64">
        <v>0.12</v>
      </c>
      <c r="D255" s="64">
        <v>0.31040000000000001</v>
      </c>
      <c r="E255" s="86">
        <f t="shared" si="0"/>
        <v>4.5476336659677173E-3</v>
      </c>
      <c r="F255" s="86">
        <f t="shared" si="1"/>
        <v>5.4571603991612609E-4</v>
      </c>
      <c r="G255" s="86">
        <f t="shared" si="2"/>
        <v>1.4115854899163795E-3</v>
      </c>
    </row>
    <row r="256" spans="1:7" ht="22.5" customHeight="1" x14ac:dyDescent="0.2">
      <c r="A256" s="65">
        <v>1743220</v>
      </c>
      <c r="B256" s="65">
        <v>570020</v>
      </c>
      <c r="C256" s="64">
        <v>0.12</v>
      </c>
      <c r="D256" s="64">
        <v>0.32700000000000001</v>
      </c>
      <c r="E256" s="86">
        <f t="shared" si="0"/>
        <v>3.6284323343356564E-3</v>
      </c>
      <c r="F256" s="86">
        <f t="shared" si="1"/>
        <v>4.3541188012027876E-4</v>
      </c>
      <c r="G256" s="86">
        <f t="shared" si="2"/>
        <v>1.1864973733277597E-3</v>
      </c>
    </row>
    <row r="257" spans="1:7" ht="22.5" customHeight="1" x14ac:dyDescent="0.2">
      <c r="A257" s="65">
        <v>2265800</v>
      </c>
      <c r="B257" s="65">
        <v>1001800</v>
      </c>
      <c r="C257" s="64">
        <v>0.12</v>
      </c>
      <c r="D257" s="64">
        <v>0.44209999999999999</v>
      </c>
      <c r="E257" s="86">
        <f t="shared" ref="E257:E312" si="3">A257/A$313</f>
        <v>4.716158593371881E-3</v>
      </c>
      <c r="F257" s="86">
        <f t="shared" ref="F257:F312" si="4">C257*E257</f>
        <v>5.6593903120462569E-4</v>
      </c>
      <c r="G257" s="86">
        <f t="shared" ref="G257:G312" si="5">D257*E257</f>
        <v>2.0850137141297086E-3</v>
      </c>
    </row>
    <row r="258" spans="1:7" ht="22.5" customHeight="1" x14ac:dyDescent="0.2">
      <c r="A258" s="65">
        <v>1063800</v>
      </c>
      <c r="B258" s="65">
        <v>373900</v>
      </c>
      <c r="C258" s="64">
        <v>0.12</v>
      </c>
      <c r="D258" s="64">
        <v>0.35149999999999998</v>
      </c>
      <c r="E258" s="86">
        <f t="shared" si="3"/>
        <v>2.2142508216210638E-3</v>
      </c>
      <c r="F258" s="86">
        <f t="shared" si="4"/>
        <v>2.6571009859452762E-4</v>
      </c>
      <c r="G258" s="86">
        <f t="shared" si="5"/>
        <v>7.7830916379980383E-4</v>
      </c>
    </row>
    <row r="259" spans="1:7" ht="22.5" customHeight="1" x14ac:dyDescent="0.2">
      <c r="A259" s="65">
        <v>459400</v>
      </c>
      <c r="B259" s="65">
        <v>80200</v>
      </c>
      <c r="C259" s="64">
        <v>0.1</v>
      </c>
      <c r="D259" s="64">
        <v>0.17460000000000001</v>
      </c>
      <c r="E259" s="86">
        <f t="shared" si="3"/>
        <v>9.5621999196532879E-4</v>
      </c>
      <c r="F259" s="86">
        <f t="shared" si="4"/>
        <v>9.5621999196532885E-5</v>
      </c>
      <c r="G259" s="86">
        <f t="shared" si="5"/>
        <v>1.669560105971464E-4</v>
      </c>
    </row>
    <row r="260" spans="1:7" ht="22.5" customHeight="1" x14ac:dyDescent="0.2">
      <c r="A260" s="65">
        <v>1435350</v>
      </c>
      <c r="B260" s="65">
        <v>520800</v>
      </c>
      <c r="C260" s="64">
        <v>0.12</v>
      </c>
      <c r="D260" s="64">
        <v>0.36280000000000001</v>
      </c>
      <c r="E260" s="86">
        <f t="shared" si="3"/>
        <v>2.9876150750270673E-3</v>
      </c>
      <c r="F260" s="86">
        <f t="shared" si="4"/>
        <v>3.5851380900324805E-4</v>
      </c>
      <c r="G260" s="86">
        <f t="shared" si="5"/>
        <v>1.08390674921982E-3</v>
      </c>
    </row>
    <row r="261" spans="1:7" ht="22.5" customHeight="1" x14ac:dyDescent="0.2">
      <c r="A261" s="65">
        <v>401600</v>
      </c>
      <c r="B261" s="65">
        <v>25900</v>
      </c>
      <c r="C261" s="64">
        <v>0.12</v>
      </c>
      <c r="D261" s="64">
        <v>6.4500000000000002E-2</v>
      </c>
      <c r="E261" s="86">
        <f t="shared" si="3"/>
        <v>8.3591194769977375E-4</v>
      </c>
      <c r="F261" s="86">
        <f t="shared" si="4"/>
        <v>1.0030943372397285E-4</v>
      </c>
      <c r="G261" s="86">
        <f t="shared" si="5"/>
        <v>5.3916320626635407E-5</v>
      </c>
    </row>
    <row r="262" spans="1:7" ht="22.5" customHeight="1" x14ac:dyDescent="0.2">
      <c r="A262" s="65">
        <v>2369900</v>
      </c>
      <c r="B262" s="65">
        <v>447150</v>
      </c>
      <c r="C262" s="64">
        <v>0.14000000000000001</v>
      </c>
      <c r="D262" s="64">
        <v>0.18870000000000001</v>
      </c>
      <c r="E262" s="86">
        <f t="shared" si="3"/>
        <v>4.9328379602930619E-3</v>
      </c>
      <c r="F262" s="86">
        <f t="shared" si="4"/>
        <v>6.905973144410287E-4</v>
      </c>
      <c r="G262" s="86">
        <f t="shared" si="5"/>
        <v>9.308265231073008E-4</v>
      </c>
    </row>
    <row r="263" spans="1:7" ht="22.5" customHeight="1" x14ac:dyDescent="0.2">
      <c r="A263" s="65">
        <v>591800</v>
      </c>
      <c r="B263" s="65">
        <v>185800</v>
      </c>
      <c r="C263" s="64">
        <v>0.14000000000000001</v>
      </c>
      <c r="D263" s="64">
        <v>0.314</v>
      </c>
      <c r="E263" s="86">
        <f t="shared" si="3"/>
        <v>1.2318045085874653E-3</v>
      </c>
      <c r="F263" s="86">
        <f t="shared" si="4"/>
        <v>1.7245263120224517E-4</v>
      </c>
      <c r="G263" s="86">
        <f t="shared" si="5"/>
        <v>3.867866156964641E-4</v>
      </c>
    </row>
    <row r="264" spans="1:7" ht="22.5" customHeight="1" x14ac:dyDescent="0.2">
      <c r="A264" s="65">
        <v>338107</v>
      </c>
      <c r="B264" s="65">
        <v>120057</v>
      </c>
      <c r="C264" s="64">
        <v>0.12</v>
      </c>
      <c r="D264" s="64">
        <v>0.35510000000000003</v>
      </c>
      <c r="E264" s="86">
        <f t="shared" si="3"/>
        <v>7.037541855102774E-4</v>
      </c>
      <c r="F264" s="86">
        <f t="shared" si="4"/>
        <v>8.4450502261233288E-5</v>
      </c>
      <c r="G264" s="86">
        <f t="shared" si="5"/>
        <v>2.4990311127469952E-4</v>
      </c>
    </row>
    <row r="265" spans="1:7" ht="22.5" customHeight="1" x14ac:dyDescent="0.2">
      <c r="A265" s="65">
        <v>150159</v>
      </c>
      <c r="B265" s="65">
        <v>22628</v>
      </c>
      <c r="C265" s="64">
        <v>0.12</v>
      </c>
      <c r="D265" s="64">
        <v>0.1507</v>
      </c>
      <c r="E265" s="86">
        <f t="shared" si="3"/>
        <v>3.1254905915002572E-4</v>
      </c>
      <c r="F265" s="86">
        <f t="shared" si="4"/>
        <v>3.7505887098003081E-5</v>
      </c>
      <c r="G265" s="86">
        <f t="shared" si="5"/>
        <v>4.7101143213908873E-5</v>
      </c>
    </row>
    <row r="266" spans="1:7" ht="22.5" customHeight="1" x14ac:dyDescent="0.2">
      <c r="A266" s="65">
        <v>272759</v>
      </c>
      <c r="B266" s="65">
        <v>235709</v>
      </c>
      <c r="C266" s="64">
        <v>0.12</v>
      </c>
      <c r="D266" s="64">
        <v>0.86419999999999997</v>
      </c>
      <c r="E266" s="86">
        <f t="shared" si="3"/>
        <v>5.6773532605239687E-4</v>
      </c>
      <c r="F266" s="86">
        <f t="shared" si="4"/>
        <v>6.8128239126287628E-5</v>
      </c>
      <c r="G266" s="86">
        <f t="shared" si="5"/>
        <v>4.9063686877448131E-4</v>
      </c>
    </row>
    <row r="267" spans="1:7" ht="22.5" customHeight="1" x14ac:dyDescent="0.2">
      <c r="A267" s="65">
        <v>468468</v>
      </c>
      <c r="B267" s="65">
        <v>105914</v>
      </c>
      <c r="C267" s="64">
        <v>0.12</v>
      </c>
      <c r="D267" s="64">
        <v>0.2261</v>
      </c>
      <c r="E267" s="86">
        <f t="shared" si="3"/>
        <v>9.7509461731827096E-4</v>
      </c>
      <c r="F267" s="86">
        <f t="shared" si="4"/>
        <v>1.1701135407819251E-4</v>
      </c>
      <c r="G267" s="86">
        <f t="shared" si="5"/>
        <v>2.2046889297566106E-4</v>
      </c>
    </row>
    <row r="268" spans="1:7" ht="22.5" customHeight="1" x14ac:dyDescent="0.2">
      <c r="A268" s="65">
        <v>256606</v>
      </c>
      <c r="B268" s="65">
        <v>46416</v>
      </c>
      <c r="C268" s="64">
        <v>0.12</v>
      </c>
      <c r="D268" s="64">
        <v>0.18090000000000001</v>
      </c>
      <c r="E268" s="86">
        <f t="shared" si="3"/>
        <v>5.3411359873368558E-4</v>
      </c>
      <c r="F268" s="86">
        <f t="shared" si="4"/>
        <v>6.4093631848042269E-5</v>
      </c>
      <c r="G268" s="86">
        <f t="shared" si="5"/>
        <v>9.6621150010923722E-5</v>
      </c>
    </row>
    <row r="269" spans="1:7" ht="22.5" customHeight="1" x14ac:dyDescent="0.2">
      <c r="A269" s="65">
        <v>251731</v>
      </c>
      <c r="B269" s="65">
        <v>99972</v>
      </c>
      <c r="C269" s="64">
        <v>0.12</v>
      </c>
      <c r="D269" s="64">
        <v>0.39710000000000001</v>
      </c>
      <c r="E269" s="86">
        <f t="shared" si="3"/>
        <v>5.2396651022512881E-4</v>
      </c>
      <c r="F269" s="86">
        <f t="shared" si="4"/>
        <v>6.2875981227015449E-5</v>
      </c>
      <c r="G269" s="86">
        <f t="shared" si="5"/>
        <v>2.0806710121039866E-4</v>
      </c>
    </row>
    <row r="270" spans="1:7" ht="22.5" customHeight="1" x14ac:dyDescent="0.2">
      <c r="A270" s="65">
        <v>632860</v>
      </c>
      <c r="B270" s="65">
        <v>93300</v>
      </c>
      <c r="C270" s="64">
        <v>0.1</v>
      </c>
      <c r="D270" s="64">
        <v>0.1474</v>
      </c>
      <c r="E270" s="86">
        <f t="shared" si="3"/>
        <v>1.3172690120051764E-3</v>
      </c>
      <c r="F270" s="86">
        <f t="shared" si="4"/>
        <v>1.3172690120051765E-4</v>
      </c>
      <c r="G270" s="86">
        <f t="shared" si="5"/>
        <v>1.94165452369563E-4</v>
      </c>
    </row>
    <row r="271" spans="1:7" ht="22.5" customHeight="1" x14ac:dyDescent="0.2">
      <c r="A271" s="65">
        <v>545515</v>
      </c>
      <c r="B271" s="65">
        <v>186200</v>
      </c>
      <c r="C271" s="64">
        <v>0.1</v>
      </c>
      <c r="D271" s="64">
        <v>0.34129999999999999</v>
      </c>
      <c r="E271" s="86">
        <f t="shared" si="3"/>
        <v>1.1354644077426347E-3</v>
      </c>
      <c r="F271" s="86">
        <f t="shared" si="4"/>
        <v>1.1354644077426347E-4</v>
      </c>
      <c r="G271" s="86">
        <f t="shared" si="5"/>
        <v>3.8753400236256119E-4</v>
      </c>
    </row>
    <row r="272" spans="1:7" ht="22.5" customHeight="1" x14ac:dyDescent="0.2">
      <c r="A272" s="65">
        <v>754227</v>
      </c>
      <c r="B272" s="65">
        <v>264547</v>
      </c>
      <c r="C272" s="64">
        <v>0.1</v>
      </c>
      <c r="D272" s="64">
        <v>0.3508</v>
      </c>
      <c r="E272" s="86">
        <f t="shared" si="3"/>
        <v>1.5698888460601525E-3</v>
      </c>
      <c r="F272" s="86">
        <f t="shared" si="4"/>
        <v>1.5698888460601525E-4</v>
      </c>
      <c r="G272" s="86">
        <f t="shared" si="5"/>
        <v>5.507170071979015E-4</v>
      </c>
    </row>
    <row r="273" spans="1:7" ht="22.5" customHeight="1" x14ac:dyDescent="0.2">
      <c r="A273" s="65">
        <v>1223156</v>
      </c>
      <c r="B273" s="65">
        <v>321150</v>
      </c>
      <c r="C273" s="64">
        <v>0.12</v>
      </c>
      <c r="D273" s="64">
        <v>0.2626</v>
      </c>
      <c r="E273" s="86">
        <f t="shared" si="3"/>
        <v>2.5459430136968737E-3</v>
      </c>
      <c r="F273" s="86">
        <f t="shared" si="4"/>
        <v>3.0551316164362485E-4</v>
      </c>
      <c r="G273" s="86">
        <f t="shared" si="5"/>
        <v>6.6856463539679905E-4</v>
      </c>
    </row>
    <row r="274" spans="1:7" ht="22.5" customHeight="1" x14ac:dyDescent="0.2">
      <c r="A274" s="65">
        <v>1304219</v>
      </c>
      <c r="B274" s="65">
        <v>340469</v>
      </c>
      <c r="C274" s="64">
        <v>0.1</v>
      </c>
      <c r="D274" s="64">
        <v>0.2611</v>
      </c>
      <c r="E274" s="86">
        <f t="shared" si="3"/>
        <v>2.7146719235982349E-3</v>
      </c>
      <c r="F274" s="86">
        <f t="shared" si="4"/>
        <v>2.714671923598235E-4</v>
      </c>
      <c r="G274" s="86">
        <f t="shared" si="5"/>
        <v>7.0880083925149912E-4</v>
      </c>
    </row>
    <row r="275" spans="1:7" ht="22.5" customHeight="1" x14ac:dyDescent="0.2">
      <c r="A275" s="65">
        <v>2522680</v>
      </c>
      <c r="B275" s="65">
        <v>947470</v>
      </c>
      <c r="C275" s="64">
        <v>0.14000000000000001</v>
      </c>
      <c r="D275" s="64">
        <v>0.37559999999999999</v>
      </c>
      <c r="E275" s="86">
        <f t="shared" si="3"/>
        <v>5.2508425105160985E-3</v>
      </c>
      <c r="F275" s="86">
        <f t="shared" si="4"/>
        <v>7.3511795147225382E-4</v>
      </c>
      <c r="G275" s="86">
        <f t="shared" si="5"/>
        <v>1.9722164469498467E-3</v>
      </c>
    </row>
    <row r="276" spans="1:7" ht="22.5" customHeight="1" x14ac:dyDescent="0.2">
      <c r="A276" s="65">
        <v>1603000</v>
      </c>
      <c r="B276" s="65">
        <v>613550</v>
      </c>
      <c r="C276" s="64">
        <v>0.14000000000000001</v>
      </c>
      <c r="D276" s="64">
        <v>0.38279999999999997</v>
      </c>
      <c r="E276" s="86">
        <f t="shared" si="3"/>
        <v>3.3365708470187681E-3</v>
      </c>
      <c r="F276" s="86">
        <f t="shared" si="4"/>
        <v>4.671199185826276E-4</v>
      </c>
      <c r="G276" s="86">
        <f t="shared" si="5"/>
        <v>1.2772393202387844E-3</v>
      </c>
    </row>
    <row r="277" spans="1:7" ht="22.5" customHeight="1" x14ac:dyDescent="0.2">
      <c r="A277" s="65">
        <v>1983745</v>
      </c>
      <c r="B277" s="65">
        <v>778200</v>
      </c>
      <c r="C277" s="64">
        <v>0.1</v>
      </c>
      <c r="D277" s="64">
        <v>0.39229999999999998</v>
      </c>
      <c r="E277" s="86">
        <f t="shared" si="3"/>
        <v>4.1290740704424496E-3</v>
      </c>
      <c r="F277" s="86">
        <f t="shared" si="4"/>
        <v>4.12907407044245E-4</v>
      </c>
      <c r="G277" s="86">
        <f t="shared" si="5"/>
        <v>1.6198357578345729E-3</v>
      </c>
    </row>
    <row r="278" spans="1:7" ht="22.5" customHeight="1" x14ac:dyDescent="0.2">
      <c r="A278" s="65">
        <v>1401956</v>
      </c>
      <c r="B278" s="65">
        <v>91656</v>
      </c>
      <c r="C278" s="64">
        <v>0.08</v>
      </c>
      <c r="D278" s="64">
        <v>6.54E-2</v>
      </c>
      <c r="E278" s="86">
        <f t="shared" si="3"/>
        <v>2.9181069983799401E-3</v>
      </c>
      <c r="F278" s="86">
        <f t="shared" si="4"/>
        <v>2.3344855987039522E-4</v>
      </c>
      <c r="G278" s="86">
        <f t="shared" si="5"/>
        <v>1.9084419769404808E-4</v>
      </c>
    </row>
    <row r="279" spans="1:7" ht="22.5" customHeight="1" x14ac:dyDescent="0.2">
      <c r="A279" s="65">
        <v>1030075</v>
      </c>
      <c r="B279" s="65">
        <v>307800</v>
      </c>
      <c r="C279" s="64">
        <v>0.14000000000000001</v>
      </c>
      <c r="D279" s="64">
        <v>0.29880000000000001</v>
      </c>
      <c r="E279" s="86">
        <f t="shared" si="3"/>
        <v>2.1440537836823815E-3</v>
      </c>
      <c r="F279" s="86">
        <f t="shared" si="4"/>
        <v>3.0016752971553343E-4</v>
      </c>
      <c r="G279" s="86">
        <f t="shared" si="5"/>
        <v>6.4064327056429556E-4</v>
      </c>
    </row>
    <row r="280" spans="1:7" ht="22.5" customHeight="1" x14ac:dyDescent="0.2">
      <c r="A280" s="65">
        <v>796100</v>
      </c>
      <c r="B280" s="65">
        <v>436400</v>
      </c>
      <c r="C280" s="64">
        <v>0.08</v>
      </c>
      <c r="D280" s="64">
        <v>0.54820000000000002</v>
      </c>
      <c r="E280" s="86">
        <f t="shared" si="3"/>
        <v>1.6570455716229827E-3</v>
      </c>
      <c r="F280" s="86">
        <f t="shared" si="4"/>
        <v>1.3256364572983862E-4</v>
      </c>
      <c r="G280" s="86">
        <f t="shared" si="5"/>
        <v>9.0839238236371908E-4</v>
      </c>
    </row>
    <row r="281" spans="1:7" ht="22.5" customHeight="1" x14ac:dyDescent="0.2">
      <c r="A281" s="65">
        <v>664750</v>
      </c>
      <c r="B281" s="65">
        <v>181450</v>
      </c>
      <c r="C281" s="64">
        <v>0.08</v>
      </c>
      <c r="D281" s="64">
        <v>0.27300000000000002</v>
      </c>
      <c r="E281" s="86">
        <f t="shared" si="3"/>
        <v>1.3836465817565354E-3</v>
      </c>
      <c r="F281" s="86">
        <f t="shared" si="4"/>
        <v>1.1069172654052284E-4</v>
      </c>
      <c r="G281" s="86">
        <f t="shared" si="5"/>
        <v>3.7773551681953419E-4</v>
      </c>
    </row>
    <row r="282" spans="1:7" ht="22.5" customHeight="1" x14ac:dyDescent="0.2">
      <c r="A282" s="65">
        <v>1921125</v>
      </c>
      <c r="B282" s="65">
        <v>1173400</v>
      </c>
      <c r="C282" s="64">
        <v>0.08</v>
      </c>
      <c r="D282" s="64">
        <v>0.61080000000000001</v>
      </c>
      <c r="E282" s="86">
        <f t="shared" si="3"/>
        <v>3.9987334176412549E-3</v>
      </c>
      <c r="F282" s="86">
        <f t="shared" si="4"/>
        <v>3.198986734113004E-4</v>
      </c>
      <c r="G282" s="86">
        <f t="shared" si="5"/>
        <v>2.4424263714952787E-3</v>
      </c>
    </row>
    <row r="283" spans="1:7" ht="22.5" customHeight="1" x14ac:dyDescent="0.2">
      <c r="A283" s="65">
        <v>3000000</v>
      </c>
      <c r="B283" s="65">
        <v>3000000</v>
      </c>
      <c r="C283" s="64">
        <v>0.12</v>
      </c>
      <c r="D283" s="64">
        <v>1</v>
      </c>
      <c r="E283" s="86">
        <f t="shared" si="3"/>
        <v>6.2443621591118555E-3</v>
      </c>
      <c r="F283" s="86">
        <f t="shared" si="4"/>
        <v>7.4932345909342266E-4</v>
      </c>
      <c r="G283" s="86">
        <f t="shared" si="5"/>
        <v>6.2443621591118555E-3</v>
      </c>
    </row>
    <row r="284" spans="1:7" ht="22.5" customHeight="1" x14ac:dyDescent="0.2">
      <c r="A284" s="65">
        <v>1089257</v>
      </c>
      <c r="B284" s="65">
        <v>851657</v>
      </c>
      <c r="C284" s="64">
        <v>0.1</v>
      </c>
      <c r="D284" s="64">
        <v>0.78190000000000004</v>
      </c>
      <c r="E284" s="86">
        <f t="shared" si="3"/>
        <v>2.2672383974492341E-3</v>
      </c>
      <c r="F284" s="86">
        <f t="shared" si="4"/>
        <v>2.2672383974492341E-4</v>
      </c>
      <c r="G284" s="86">
        <f t="shared" si="5"/>
        <v>1.7727537029655562E-3</v>
      </c>
    </row>
    <row r="285" spans="1:7" ht="22.5" customHeight="1" x14ac:dyDescent="0.2">
      <c r="A285" s="65">
        <v>1524680</v>
      </c>
      <c r="B285" s="65">
        <v>1177080</v>
      </c>
      <c r="C285" s="64">
        <v>0.12</v>
      </c>
      <c r="D285" s="64">
        <v>0.77200000000000002</v>
      </c>
      <c r="E285" s="86">
        <f t="shared" si="3"/>
        <v>3.173551365584888E-3</v>
      </c>
      <c r="F285" s="86">
        <f t="shared" si="4"/>
        <v>3.8082616387018653E-4</v>
      </c>
      <c r="G285" s="86">
        <f t="shared" si="5"/>
        <v>2.4499816542315335E-3</v>
      </c>
    </row>
    <row r="286" spans="1:7" ht="22.5" customHeight="1" x14ac:dyDescent="0.2">
      <c r="A286" s="65">
        <v>1770165</v>
      </c>
      <c r="B286" s="65">
        <v>287715</v>
      </c>
      <c r="C286" s="64">
        <v>0.12</v>
      </c>
      <c r="D286" s="64">
        <v>0.16250000000000001</v>
      </c>
      <c r="E286" s="86">
        <f t="shared" si="3"/>
        <v>3.6845171137947458E-3</v>
      </c>
      <c r="F286" s="86">
        <f t="shared" si="4"/>
        <v>4.4214205365536945E-4</v>
      </c>
      <c r="G286" s="86">
        <f t="shared" si="5"/>
        <v>5.9873403099164617E-4</v>
      </c>
    </row>
    <row r="287" spans="1:7" ht="22.5" customHeight="1" x14ac:dyDescent="0.2">
      <c r="A287" s="65">
        <v>750275</v>
      </c>
      <c r="B287" s="65">
        <v>209595</v>
      </c>
      <c r="C287" s="64">
        <v>0.12</v>
      </c>
      <c r="D287" s="64">
        <v>0.27939999999999998</v>
      </c>
      <c r="E287" s="86">
        <f t="shared" si="3"/>
        <v>1.5616629396425492E-3</v>
      </c>
      <c r="F287" s="86">
        <f t="shared" si="4"/>
        <v>1.8739955275710589E-4</v>
      </c>
      <c r="G287" s="86">
        <f t="shared" si="5"/>
        <v>4.3632862533612824E-4</v>
      </c>
    </row>
    <row r="288" spans="1:7" ht="22.5" customHeight="1" x14ac:dyDescent="0.2">
      <c r="A288" s="65">
        <v>1963891</v>
      </c>
      <c r="B288" s="65">
        <v>543891</v>
      </c>
      <c r="C288" s="64">
        <v>0.12</v>
      </c>
      <c r="D288" s="64">
        <v>0.27689999999999998</v>
      </c>
      <c r="E288" s="86">
        <f t="shared" si="3"/>
        <v>4.0877488816734473E-3</v>
      </c>
      <c r="F288" s="86">
        <f t="shared" si="4"/>
        <v>4.9052986580081371E-4</v>
      </c>
      <c r="G288" s="86">
        <f t="shared" si="5"/>
        <v>1.1318976653353775E-3</v>
      </c>
    </row>
    <row r="289" spans="1:7" ht="22.5" customHeight="1" x14ac:dyDescent="0.2">
      <c r="A289" s="65">
        <v>2577837.98</v>
      </c>
      <c r="B289" s="65">
        <v>12601.98</v>
      </c>
      <c r="C289" s="64">
        <v>0.12</v>
      </c>
      <c r="D289" s="64">
        <v>4.8999999999999998E-3</v>
      </c>
      <c r="E289" s="86">
        <f t="shared" si="3"/>
        <v>5.3656513115444482E-3</v>
      </c>
      <c r="F289" s="86">
        <f t="shared" si="4"/>
        <v>6.4387815738533379E-4</v>
      </c>
      <c r="G289" s="86">
        <f t="shared" si="5"/>
        <v>2.6291691426567794E-5</v>
      </c>
    </row>
    <row r="290" spans="1:7" ht="22.5" customHeight="1" x14ac:dyDescent="0.2">
      <c r="A290" s="65">
        <v>583150</v>
      </c>
      <c r="B290" s="65">
        <v>83750</v>
      </c>
      <c r="C290" s="64">
        <v>0.12</v>
      </c>
      <c r="D290" s="64">
        <v>0.14360000000000001</v>
      </c>
      <c r="E290" s="86">
        <f t="shared" si="3"/>
        <v>1.2137999310286929E-3</v>
      </c>
      <c r="F290" s="86">
        <f t="shared" si="4"/>
        <v>1.4565599172344315E-4</v>
      </c>
      <c r="G290" s="86">
        <f t="shared" si="5"/>
        <v>1.7430167009572031E-4</v>
      </c>
    </row>
    <row r="291" spans="1:7" ht="22.5" customHeight="1" x14ac:dyDescent="0.2">
      <c r="A291" s="65">
        <v>396600</v>
      </c>
      <c r="B291" s="65">
        <v>87700</v>
      </c>
      <c r="C291" s="64">
        <v>0.12</v>
      </c>
      <c r="D291" s="64">
        <v>0.22109999999999999</v>
      </c>
      <c r="E291" s="86">
        <f t="shared" si="3"/>
        <v>8.2550467743458728E-4</v>
      </c>
      <c r="F291" s="86">
        <f t="shared" si="4"/>
        <v>9.9060561292150471E-5</v>
      </c>
      <c r="G291" s="86">
        <f t="shared" si="5"/>
        <v>1.8251908418078725E-4</v>
      </c>
    </row>
    <row r="292" spans="1:7" ht="22.5" customHeight="1" x14ac:dyDescent="0.2">
      <c r="A292" s="65">
        <v>477150</v>
      </c>
      <c r="B292" s="65">
        <v>83400</v>
      </c>
      <c r="C292" s="64">
        <v>0.12</v>
      </c>
      <c r="D292" s="64">
        <v>0.17480000000000001</v>
      </c>
      <c r="E292" s="86">
        <f t="shared" si="3"/>
        <v>9.9316580140674073E-4</v>
      </c>
      <c r="F292" s="86">
        <f t="shared" si="4"/>
        <v>1.1917989616880889E-4</v>
      </c>
      <c r="G292" s="86">
        <f t="shared" si="5"/>
        <v>1.7360538208589828E-4</v>
      </c>
    </row>
    <row r="293" spans="1:7" ht="22.5" customHeight="1" x14ac:dyDescent="0.2">
      <c r="A293" s="65">
        <v>1787650</v>
      </c>
      <c r="B293" s="65">
        <v>520250</v>
      </c>
      <c r="C293" s="64">
        <v>0.14000000000000001</v>
      </c>
      <c r="D293" s="64">
        <v>0.29099999999999998</v>
      </c>
      <c r="E293" s="86">
        <f t="shared" si="3"/>
        <v>3.7209113379121027E-3</v>
      </c>
      <c r="F293" s="86">
        <f t="shared" si="4"/>
        <v>5.2092758730769447E-4</v>
      </c>
      <c r="G293" s="86">
        <f t="shared" si="5"/>
        <v>1.0827851993324218E-3</v>
      </c>
    </row>
    <row r="294" spans="1:7" ht="22.5" customHeight="1" x14ac:dyDescent="0.2">
      <c r="A294" s="65">
        <v>7377582.6399999997</v>
      </c>
      <c r="B294" s="65">
        <v>238638.3</v>
      </c>
      <c r="C294" s="64">
        <v>0.05</v>
      </c>
      <c r="D294" s="64">
        <v>3.2300000000000002E-2</v>
      </c>
      <c r="E294" s="86">
        <f t="shared" si="3"/>
        <v>1.5356099287645513E-2</v>
      </c>
      <c r="F294" s="86">
        <f t="shared" si="4"/>
        <v>7.6780496438227572E-4</v>
      </c>
      <c r="G294" s="86">
        <f t="shared" si="5"/>
        <v>4.9600200699095008E-4</v>
      </c>
    </row>
    <row r="295" spans="1:7" ht="22.5" customHeight="1" x14ac:dyDescent="0.2">
      <c r="A295" s="65">
        <v>2218578.59</v>
      </c>
      <c r="B295" s="65">
        <v>2196502.1800000002</v>
      </c>
      <c r="C295" s="64">
        <v>0.05</v>
      </c>
      <c r="D295" s="64">
        <v>0.99</v>
      </c>
      <c r="E295" s="86">
        <f t="shared" si="3"/>
        <v>4.6178693981372447E-3</v>
      </c>
      <c r="F295" s="86">
        <f t="shared" si="4"/>
        <v>2.3089346990686226E-4</v>
      </c>
      <c r="G295" s="86">
        <f t="shared" si="5"/>
        <v>4.5716907041558723E-3</v>
      </c>
    </row>
    <row r="296" spans="1:7" ht="22.5" customHeight="1" x14ac:dyDescent="0.2">
      <c r="A296" s="65">
        <v>333898.42</v>
      </c>
      <c r="B296" s="65">
        <v>99211.22</v>
      </c>
      <c r="C296" s="64">
        <v>0.1</v>
      </c>
      <c r="D296" s="64">
        <v>0.29709999999999998</v>
      </c>
      <c r="E296" s="86">
        <f t="shared" si="3"/>
        <v>6.9499421961174567E-4</v>
      </c>
      <c r="F296" s="86">
        <f t="shared" si="4"/>
        <v>6.9499421961174572E-5</v>
      </c>
      <c r="G296" s="86">
        <f t="shared" si="5"/>
        <v>2.0648278264664963E-4</v>
      </c>
    </row>
    <row r="297" spans="1:7" ht="22.5" customHeight="1" x14ac:dyDescent="0.2">
      <c r="A297" s="65">
        <v>478367.69</v>
      </c>
      <c r="B297" s="65">
        <v>352635.51</v>
      </c>
      <c r="C297" s="64">
        <v>0.1</v>
      </c>
      <c r="D297" s="64">
        <v>0.73719999999999997</v>
      </c>
      <c r="E297" s="86">
        <f t="shared" si="3"/>
        <v>9.957003671925836E-4</v>
      </c>
      <c r="F297" s="86">
        <f t="shared" si="4"/>
        <v>9.9570036719258368E-5</v>
      </c>
      <c r="G297" s="86">
        <f t="shared" si="5"/>
        <v>7.3403031069437256E-4</v>
      </c>
    </row>
    <row r="298" spans="1:7" ht="22.5" customHeight="1" x14ac:dyDescent="0.2">
      <c r="A298" s="65">
        <v>190393</v>
      </c>
      <c r="B298" s="65">
        <v>26951</v>
      </c>
      <c r="C298" s="64">
        <v>0.1</v>
      </c>
      <c r="D298" s="64">
        <v>0.1416</v>
      </c>
      <c r="E298" s="86">
        <f t="shared" si="3"/>
        <v>3.9629428151992786E-4</v>
      </c>
      <c r="F298" s="86">
        <f t="shared" si="4"/>
        <v>3.9629428151992792E-5</v>
      </c>
      <c r="G298" s="86">
        <f t="shared" si="5"/>
        <v>5.6115270263221789E-5</v>
      </c>
    </row>
    <row r="299" spans="1:7" ht="22.5" customHeight="1" x14ac:dyDescent="0.2">
      <c r="A299" s="65">
        <v>479296</v>
      </c>
      <c r="B299" s="65">
        <v>103819</v>
      </c>
      <c r="C299" s="64">
        <v>0.1</v>
      </c>
      <c r="D299" s="64">
        <v>0.21659999999999999</v>
      </c>
      <c r="E299" s="86">
        <f t="shared" si="3"/>
        <v>9.9763260180455869E-4</v>
      </c>
      <c r="F299" s="86">
        <f t="shared" si="4"/>
        <v>9.9763260180455875E-5</v>
      </c>
      <c r="G299" s="86">
        <f t="shared" si="5"/>
        <v>2.1608722155086739E-4</v>
      </c>
    </row>
    <row r="300" spans="1:7" ht="22.5" customHeight="1" x14ac:dyDescent="0.2">
      <c r="A300" s="65">
        <v>99473.11</v>
      </c>
      <c r="B300" s="65">
        <v>96623.11</v>
      </c>
      <c r="C300" s="64">
        <v>0.1</v>
      </c>
      <c r="D300" s="64">
        <v>0.97130000000000005</v>
      </c>
      <c r="E300" s="86">
        <f t="shared" si="3"/>
        <v>2.0704870797772371E-4</v>
      </c>
      <c r="F300" s="86">
        <f t="shared" si="4"/>
        <v>2.0704870797772374E-5</v>
      </c>
      <c r="G300" s="86">
        <f t="shared" si="5"/>
        <v>2.0110641005876306E-4</v>
      </c>
    </row>
    <row r="301" spans="1:7" ht="22.5" customHeight="1" x14ac:dyDescent="0.2">
      <c r="A301" s="65">
        <v>326150</v>
      </c>
      <c r="B301" s="65">
        <v>114700</v>
      </c>
      <c r="C301" s="64">
        <v>0.1</v>
      </c>
      <c r="D301" s="64">
        <v>0.35170000000000001</v>
      </c>
      <c r="E301" s="86">
        <f t="shared" si="3"/>
        <v>6.7886623939811058E-4</v>
      </c>
      <c r="F301" s="86">
        <f t="shared" si="4"/>
        <v>6.7886623939811066E-5</v>
      </c>
      <c r="G301" s="86">
        <f t="shared" si="5"/>
        <v>2.3875725639631551E-4</v>
      </c>
    </row>
    <row r="302" spans="1:7" ht="22.5" customHeight="1" x14ac:dyDescent="0.2">
      <c r="A302" s="65">
        <v>574419</v>
      </c>
      <c r="B302" s="65">
        <v>67200</v>
      </c>
      <c r="C302" s="64">
        <v>0.05</v>
      </c>
      <c r="D302" s="64">
        <v>0.11700000000000001</v>
      </c>
      <c r="E302" s="86">
        <f t="shared" si="3"/>
        <v>1.1956267556916243E-3</v>
      </c>
      <c r="F302" s="86">
        <f t="shared" si="4"/>
        <v>5.9781337784581219E-5</v>
      </c>
      <c r="G302" s="86">
        <f t="shared" si="5"/>
        <v>1.3988833041592006E-4</v>
      </c>
    </row>
    <row r="303" spans="1:7" ht="22.5" customHeight="1" x14ac:dyDescent="0.2">
      <c r="A303" s="65">
        <v>1215842</v>
      </c>
      <c r="B303" s="65">
        <v>383487</v>
      </c>
      <c r="C303" s="64">
        <v>0.15</v>
      </c>
      <c r="D303" s="64">
        <v>0.31540000000000001</v>
      </c>
      <c r="E303" s="86">
        <f t="shared" si="3"/>
        <v>2.530719258752959E-3</v>
      </c>
      <c r="F303" s="86">
        <f t="shared" si="4"/>
        <v>3.7960788881294383E-4</v>
      </c>
      <c r="G303" s="86">
        <f t="shared" si="5"/>
        <v>7.9818885421068333E-4</v>
      </c>
    </row>
    <row r="304" spans="1:7" ht="22.5" customHeight="1" x14ac:dyDescent="0.2">
      <c r="A304" s="84">
        <v>4378173.3499999996</v>
      </c>
      <c r="B304" s="65">
        <v>702083.35</v>
      </c>
      <c r="C304" s="85">
        <v>0.16</v>
      </c>
      <c r="D304" s="85">
        <v>0.16039999999999999</v>
      </c>
      <c r="E304" s="86">
        <f t="shared" si="3"/>
        <v>9.1129666642573281E-3</v>
      </c>
      <c r="F304" s="86">
        <f t="shared" si="4"/>
        <v>1.4580746662811726E-3</v>
      </c>
      <c r="G304" s="86">
        <f t="shared" si="5"/>
        <v>1.4617198529468752E-3</v>
      </c>
    </row>
    <row r="305" spans="1:7" ht="22.5" customHeight="1" x14ac:dyDescent="0.2">
      <c r="A305" s="65">
        <v>6037391.04</v>
      </c>
      <c r="B305" s="84">
        <v>6037391.04</v>
      </c>
      <c r="C305" s="85">
        <v>0.17499999999999999</v>
      </c>
      <c r="D305" s="85">
        <v>1</v>
      </c>
      <c r="E305" s="86">
        <f t="shared" si="3"/>
        <v>1.256655204997899E-2</v>
      </c>
      <c r="F305" s="86">
        <f t="shared" si="4"/>
        <v>2.1991466087463232E-3</v>
      </c>
      <c r="G305" s="86">
        <f t="shared" si="5"/>
        <v>1.256655204997899E-2</v>
      </c>
    </row>
    <row r="306" spans="1:7" ht="22.5" customHeight="1" x14ac:dyDescent="0.2">
      <c r="A306" s="84">
        <v>1075683.55</v>
      </c>
      <c r="B306" s="65">
        <v>1075683.55</v>
      </c>
      <c r="C306" s="85">
        <v>0.17499999999999999</v>
      </c>
      <c r="D306" s="85">
        <v>1</v>
      </c>
      <c r="E306" s="86">
        <f t="shared" si="3"/>
        <v>2.2389858849330355E-3</v>
      </c>
      <c r="F306" s="86">
        <f t="shared" si="4"/>
        <v>3.9182252986328118E-4</v>
      </c>
      <c r="G306" s="86">
        <f t="shared" si="5"/>
        <v>2.2389858849330355E-3</v>
      </c>
    </row>
    <row r="307" spans="1:7" ht="22.5" customHeight="1" x14ac:dyDescent="0.2">
      <c r="A307" s="65">
        <v>22906825.899999999</v>
      </c>
      <c r="B307" s="65">
        <v>3421530.5</v>
      </c>
      <c r="C307" s="85">
        <v>0.13</v>
      </c>
      <c r="D307" s="64">
        <v>0.14940000000000001</v>
      </c>
      <c r="E307" s="86">
        <f t="shared" si="3"/>
        <v>4.7679505611774455E-2</v>
      </c>
      <c r="F307" s="86">
        <f t="shared" si="4"/>
        <v>6.1983357295306791E-3</v>
      </c>
      <c r="G307" s="86">
        <f t="shared" si="5"/>
        <v>7.1233181383991038E-3</v>
      </c>
    </row>
    <row r="308" spans="1:7" ht="22.5" customHeight="1" x14ac:dyDescent="0.2">
      <c r="A308" s="65">
        <v>7265641.3899999997</v>
      </c>
      <c r="B308" s="84">
        <v>1676243.1</v>
      </c>
      <c r="C308" s="85">
        <v>0.16500000000000001</v>
      </c>
      <c r="D308" s="64">
        <v>0.23069999999999999</v>
      </c>
      <c r="E308" s="86">
        <f t="shared" si="3"/>
        <v>1.5123098719130954E-2</v>
      </c>
      <c r="F308" s="86">
        <f t="shared" si="4"/>
        <v>2.4953112886566074E-3</v>
      </c>
      <c r="G308" s="86">
        <f t="shared" si="5"/>
        <v>3.4888988745035111E-3</v>
      </c>
    </row>
    <row r="309" spans="1:7" ht="22.5" customHeight="1" x14ac:dyDescent="0.2">
      <c r="A309" s="84">
        <v>3672080.32</v>
      </c>
      <c r="B309" s="84">
        <v>3672080.32</v>
      </c>
      <c r="C309" s="85">
        <v>0.16</v>
      </c>
      <c r="D309" s="85">
        <v>1</v>
      </c>
      <c r="E309" s="86">
        <f t="shared" si="3"/>
        <v>7.6432664651424507E-3</v>
      </c>
      <c r="F309" s="86">
        <f t="shared" si="4"/>
        <v>1.2229226344227921E-3</v>
      </c>
      <c r="G309" s="86">
        <f t="shared" si="5"/>
        <v>7.6432664651424507E-3</v>
      </c>
    </row>
    <row r="310" spans="1:7" ht="22.5" customHeight="1" x14ac:dyDescent="0.2">
      <c r="A310" s="65">
        <v>16546697.300000001</v>
      </c>
      <c r="B310" s="65">
        <v>2892143.5</v>
      </c>
      <c r="C310" s="85">
        <v>0.155</v>
      </c>
      <c r="D310" s="85">
        <v>0.17480000000000001</v>
      </c>
      <c r="E310" s="86">
        <f t="shared" si="3"/>
        <v>3.4441190159466104E-2</v>
      </c>
      <c r="F310" s="86">
        <f t="shared" si="4"/>
        <v>5.3383844747172463E-3</v>
      </c>
      <c r="G310" s="86">
        <f t="shared" si="5"/>
        <v>6.0203200398746756E-3</v>
      </c>
    </row>
    <row r="311" spans="1:7" ht="22.5" customHeight="1" x14ac:dyDescent="0.2">
      <c r="A311" s="84">
        <v>8587000</v>
      </c>
      <c r="B311" s="65">
        <v>1476548.32</v>
      </c>
      <c r="C311" s="85">
        <v>0.16500000000000001</v>
      </c>
      <c r="D311" s="85">
        <v>0.17199999999999999</v>
      </c>
      <c r="E311" s="86">
        <f t="shared" si="3"/>
        <v>1.7873445953431169E-2</v>
      </c>
      <c r="F311" s="86">
        <f t="shared" si="4"/>
        <v>2.9491185823161429E-3</v>
      </c>
      <c r="G311" s="86">
        <f t="shared" si="5"/>
        <v>3.074232703990161E-3</v>
      </c>
    </row>
    <row r="312" spans="1:7" ht="22.5" customHeight="1" x14ac:dyDescent="0.2">
      <c r="A312" s="84">
        <v>4301335.8</v>
      </c>
      <c r="B312" s="65">
        <v>756437.59</v>
      </c>
      <c r="C312" s="85">
        <v>0.16</v>
      </c>
      <c r="D312" s="85">
        <v>0.1759</v>
      </c>
      <c r="E312" s="86">
        <f t="shared" si="3"/>
        <v>8.9530328343843738E-3</v>
      </c>
      <c r="F312" s="86">
        <f t="shared" si="4"/>
        <v>1.4324852535014998E-3</v>
      </c>
      <c r="G312" s="86">
        <f t="shared" si="5"/>
        <v>1.5748384755682114E-3</v>
      </c>
    </row>
    <row r="313" spans="1:7" ht="22.5" customHeight="1" x14ac:dyDescent="0.2">
      <c r="A313" s="65">
        <f t="shared" ref="A313:B313" si="6">SUM(A2:A312)</f>
        <v>480433377.11000001</v>
      </c>
      <c r="B313" s="65">
        <f t="shared" si="6"/>
        <v>90371156.179999992</v>
      </c>
      <c r="C313" s="64"/>
      <c r="D313" s="64"/>
      <c r="F313" s="86">
        <f>SUM(Oklahoma[Goal (weighted)])</f>
        <v>8.0543041424222819E-2</v>
      </c>
      <c r="G313" s="86">
        <f>SUM(Oklahoma[Attainment (weighted)])</f>
        <v>0.18758647445702245</v>
      </c>
    </row>
    <row r="314" spans="1:7" ht="12.75" x14ac:dyDescent="0.2">
      <c r="C314" s="87"/>
      <c r="D314" s="87"/>
      <c r="F314" s="87">
        <f>Oklahoma[[#Totals],[Goal (weighted)]]</f>
        <v>8.0543041424222819E-2</v>
      </c>
      <c r="G314" s="87">
        <f>Oklahoma[[#Totals],[Attainment (weighted)]]</f>
        <v>0.18758647445702245</v>
      </c>
    </row>
    <row r="315" spans="1:7" ht="12.75" x14ac:dyDescent="0.2">
      <c r="B315" s="68"/>
      <c r="C315" s="87"/>
      <c r="D315" s="87"/>
    </row>
    <row r="316" spans="1:7" ht="12.75" x14ac:dyDescent="0.2">
      <c r="B316" s="68"/>
      <c r="C316" s="87"/>
      <c r="D316" s="87"/>
    </row>
    <row r="317" spans="1:7" ht="12.75" x14ac:dyDescent="0.2">
      <c r="B317" s="68"/>
      <c r="C317" s="87"/>
      <c r="D317" s="87"/>
    </row>
    <row r="318" spans="1:7" ht="12.75" x14ac:dyDescent="0.2">
      <c r="B318" s="68"/>
      <c r="C318" s="87"/>
      <c r="D318" s="87"/>
    </row>
    <row r="319" spans="1:7" ht="12.75" x14ac:dyDescent="0.2">
      <c r="B319" s="68"/>
      <c r="C319" s="87"/>
      <c r="D319" s="87"/>
    </row>
    <row r="320" spans="1:7" ht="12.75" x14ac:dyDescent="0.2">
      <c r="B320" s="68"/>
      <c r="C320" s="87"/>
      <c r="D320" s="87"/>
    </row>
    <row r="321" spans="2:4" ht="12.75" x14ac:dyDescent="0.2">
      <c r="B321" s="68"/>
      <c r="C321" s="87"/>
      <c r="D321" s="87"/>
    </row>
    <row r="322" spans="2:4" ht="12.75" x14ac:dyDescent="0.2">
      <c r="B322" s="68"/>
      <c r="C322" s="87"/>
      <c r="D322" s="87"/>
    </row>
    <row r="323" spans="2:4" ht="12.75" x14ac:dyDescent="0.2">
      <c r="B323" s="68"/>
      <c r="C323" s="87"/>
      <c r="D323" s="87"/>
    </row>
    <row r="324" spans="2:4" ht="12.75" x14ac:dyDescent="0.2">
      <c r="B324" s="68"/>
      <c r="C324" s="87"/>
      <c r="D324" s="87"/>
    </row>
    <row r="325" spans="2:4" ht="12.75" x14ac:dyDescent="0.2">
      <c r="B325" s="68"/>
      <c r="C325" s="87"/>
      <c r="D325" s="87"/>
    </row>
    <row r="326" spans="2:4" ht="12.75" x14ac:dyDescent="0.2">
      <c r="B326" s="68"/>
      <c r="C326" s="87"/>
      <c r="D326" s="87"/>
    </row>
    <row r="327" spans="2:4" ht="12.75" x14ac:dyDescent="0.2">
      <c r="B327" s="68"/>
      <c r="C327" s="87"/>
      <c r="D327" s="87"/>
    </row>
    <row r="328" spans="2:4" ht="12.75" x14ac:dyDescent="0.2">
      <c r="B328" s="68"/>
      <c r="C328" s="87"/>
      <c r="D328" s="87"/>
    </row>
    <row r="329" spans="2:4" ht="12.75" x14ac:dyDescent="0.2">
      <c r="B329" s="68"/>
      <c r="C329" s="87"/>
      <c r="D329" s="87"/>
    </row>
    <row r="330" spans="2:4" ht="12.75" x14ac:dyDescent="0.2">
      <c r="B330" s="68"/>
      <c r="C330" s="87"/>
      <c r="D330" s="87"/>
    </row>
    <row r="331" spans="2:4" ht="12.75" x14ac:dyDescent="0.2">
      <c r="B331" s="68"/>
      <c r="C331" s="87"/>
      <c r="D331" s="87"/>
    </row>
    <row r="332" spans="2:4" ht="12.75" x14ac:dyDescent="0.2">
      <c r="B332" s="68"/>
      <c r="C332" s="87"/>
      <c r="D332" s="87"/>
    </row>
    <row r="333" spans="2:4" ht="12.75" x14ac:dyDescent="0.2">
      <c r="B333" s="68"/>
      <c r="C333" s="87"/>
      <c r="D333" s="87"/>
    </row>
    <row r="334" spans="2:4" ht="12.75" x14ac:dyDescent="0.2">
      <c r="B334" s="68"/>
      <c r="C334" s="87"/>
      <c r="D334" s="87"/>
    </row>
    <row r="335" spans="2:4" ht="12.75" x14ac:dyDescent="0.2">
      <c r="B335" s="68"/>
      <c r="C335" s="87"/>
      <c r="D335" s="87"/>
    </row>
    <row r="336" spans="2:4" ht="12.75" x14ac:dyDescent="0.2">
      <c r="B336" s="68"/>
      <c r="C336" s="87"/>
      <c r="D336" s="87"/>
    </row>
    <row r="337" spans="2:4" ht="12.75" x14ac:dyDescent="0.2">
      <c r="B337" s="68"/>
      <c r="C337" s="87"/>
      <c r="D337" s="87"/>
    </row>
    <row r="338" spans="2:4" ht="12.75" x14ac:dyDescent="0.2">
      <c r="B338" s="68"/>
      <c r="C338" s="87"/>
      <c r="D338" s="87"/>
    </row>
    <row r="339" spans="2:4" ht="12.75" x14ac:dyDescent="0.2">
      <c r="B339" s="68"/>
      <c r="C339" s="87"/>
      <c r="D339" s="87"/>
    </row>
    <row r="340" spans="2:4" ht="12.75" x14ac:dyDescent="0.2">
      <c r="B340" s="68"/>
      <c r="C340" s="87"/>
      <c r="D340" s="87"/>
    </row>
    <row r="341" spans="2:4" ht="12.75" x14ac:dyDescent="0.2">
      <c r="B341" s="68"/>
      <c r="C341" s="87"/>
      <c r="D341" s="87"/>
    </row>
    <row r="342" spans="2:4" ht="12.75" x14ac:dyDescent="0.2">
      <c r="B342" s="68"/>
      <c r="C342" s="87"/>
      <c r="D342" s="87"/>
    </row>
    <row r="343" spans="2:4" ht="12.75" x14ac:dyDescent="0.2">
      <c r="B343" s="68"/>
      <c r="C343" s="87"/>
      <c r="D343" s="87"/>
    </row>
    <row r="344" spans="2:4" ht="12.75" x14ac:dyDescent="0.2">
      <c r="B344" s="68"/>
      <c r="C344" s="87"/>
      <c r="D344" s="87"/>
    </row>
    <row r="345" spans="2:4" ht="12.75" x14ac:dyDescent="0.2">
      <c r="B345" s="68"/>
      <c r="C345" s="87"/>
      <c r="D345" s="87"/>
    </row>
    <row r="346" spans="2:4" ht="12.75" x14ac:dyDescent="0.2">
      <c r="B346" s="68"/>
      <c r="C346" s="87"/>
      <c r="D346" s="87"/>
    </row>
    <row r="347" spans="2:4" ht="12.75" x14ac:dyDescent="0.2">
      <c r="B347" s="68"/>
      <c r="C347" s="87"/>
      <c r="D347" s="87"/>
    </row>
    <row r="348" spans="2:4" ht="12.75" x14ac:dyDescent="0.2">
      <c r="B348" s="68"/>
      <c r="C348" s="87"/>
      <c r="D348" s="87"/>
    </row>
    <row r="349" spans="2:4" ht="12.75" x14ac:dyDescent="0.2">
      <c r="B349" s="68"/>
      <c r="C349" s="87"/>
      <c r="D349" s="87"/>
    </row>
    <row r="350" spans="2:4" ht="12.75" x14ac:dyDescent="0.2">
      <c r="B350" s="68"/>
      <c r="C350" s="87"/>
      <c r="D350" s="87"/>
    </row>
    <row r="351" spans="2:4" ht="12.75" x14ac:dyDescent="0.2">
      <c r="B351" s="68"/>
      <c r="C351" s="87"/>
      <c r="D351" s="87"/>
    </row>
    <row r="352" spans="2:4" ht="12.75" x14ac:dyDescent="0.2">
      <c r="B352" s="68"/>
      <c r="C352" s="87"/>
      <c r="D352" s="87"/>
    </row>
    <row r="353" spans="2:4" ht="12.75" x14ac:dyDescent="0.2">
      <c r="B353" s="68"/>
      <c r="C353" s="87"/>
      <c r="D353" s="87"/>
    </row>
    <row r="354" spans="2:4" ht="12.75" x14ac:dyDescent="0.2">
      <c r="B354" s="68"/>
      <c r="C354" s="87"/>
      <c r="D354" s="87"/>
    </row>
    <row r="355" spans="2:4" ht="12.75" x14ac:dyDescent="0.2">
      <c r="B355" s="68"/>
      <c r="C355" s="87"/>
      <c r="D355" s="87"/>
    </row>
    <row r="356" spans="2:4" ht="12.75" x14ac:dyDescent="0.2">
      <c r="B356" s="68"/>
      <c r="C356" s="87"/>
      <c r="D356" s="87"/>
    </row>
    <row r="357" spans="2:4" ht="12.75" x14ac:dyDescent="0.2">
      <c r="B357" s="68"/>
      <c r="C357" s="87"/>
      <c r="D357" s="87"/>
    </row>
    <row r="358" spans="2:4" ht="12.75" x14ac:dyDescent="0.2">
      <c r="B358" s="68"/>
      <c r="C358" s="87"/>
      <c r="D358" s="87"/>
    </row>
    <row r="359" spans="2:4" ht="12.75" x14ac:dyDescent="0.2">
      <c r="B359" s="68"/>
      <c r="C359" s="87"/>
      <c r="D359" s="87"/>
    </row>
    <row r="360" spans="2:4" ht="12.75" x14ac:dyDescent="0.2">
      <c r="B360" s="68"/>
      <c r="C360" s="87"/>
      <c r="D360" s="87"/>
    </row>
    <row r="361" spans="2:4" ht="12.75" x14ac:dyDescent="0.2">
      <c r="B361" s="68"/>
      <c r="C361" s="87"/>
      <c r="D361" s="87"/>
    </row>
    <row r="362" spans="2:4" ht="12.75" x14ac:dyDescent="0.2">
      <c r="B362" s="68"/>
      <c r="C362" s="87"/>
      <c r="D362" s="87"/>
    </row>
    <row r="363" spans="2:4" ht="12.75" x14ac:dyDescent="0.2">
      <c r="B363" s="68"/>
      <c r="C363" s="87"/>
      <c r="D363" s="87"/>
    </row>
    <row r="364" spans="2:4" ht="12.75" x14ac:dyDescent="0.2">
      <c r="B364" s="68"/>
      <c r="C364" s="87"/>
      <c r="D364" s="87"/>
    </row>
    <row r="365" spans="2:4" ht="12.75" x14ac:dyDescent="0.2">
      <c r="B365" s="68"/>
      <c r="C365" s="87"/>
      <c r="D365" s="87"/>
    </row>
    <row r="366" spans="2:4" ht="12.75" x14ac:dyDescent="0.2">
      <c r="B366" s="68"/>
      <c r="C366" s="87"/>
      <c r="D366" s="87"/>
    </row>
    <row r="367" spans="2:4" ht="12.75" x14ac:dyDescent="0.2">
      <c r="B367" s="68"/>
      <c r="C367" s="87"/>
      <c r="D367" s="87"/>
    </row>
    <row r="368" spans="2:4" ht="12.75" x14ac:dyDescent="0.2">
      <c r="B368" s="68"/>
      <c r="C368" s="87"/>
      <c r="D368" s="87"/>
    </row>
    <row r="369" spans="2:4" ht="12.75" x14ac:dyDescent="0.2">
      <c r="B369" s="68"/>
      <c r="C369" s="87"/>
      <c r="D369" s="87"/>
    </row>
    <row r="370" spans="2:4" ht="12.75" x14ac:dyDescent="0.2">
      <c r="B370" s="68"/>
      <c r="C370" s="87"/>
      <c r="D370" s="87"/>
    </row>
    <row r="371" spans="2:4" ht="12.75" x14ac:dyDescent="0.2">
      <c r="B371" s="68"/>
      <c r="C371" s="87"/>
      <c r="D371" s="87"/>
    </row>
    <row r="372" spans="2:4" ht="12.75" x14ac:dyDescent="0.2">
      <c r="B372" s="68"/>
      <c r="C372" s="87"/>
      <c r="D372" s="87"/>
    </row>
    <row r="373" spans="2:4" ht="12.75" x14ac:dyDescent="0.2">
      <c r="B373" s="68"/>
      <c r="C373" s="87"/>
      <c r="D373" s="87"/>
    </row>
    <row r="374" spans="2:4" ht="12.75" x14ac:dyDescent="0.2">
      <c r="B374" s="68"/>
      <c r="C374" s="87"/>
      <c r="D374" s="87"/>
    </row>
    <row r="375" spans="2:4" ht="12.75" x14ac:dyDescent="0.2">
      <c r="B375" s="68"/>
      <c r="C375" s="87"/>
      <c r="D375" s="87"/>
    </row>
    <row r="376" spans="2:4" ht="12.75" x14ac:dyDescent="0.2">
      <c r="B376" s="68"/>
      <c r="C376" s="87"/>
      <c r="D376" s="87"/>
    </row>
    <row r="377" spans="2:4" ht="12.75" x14ac:dyDescent="0.2">
      <c r="B377" s="68"/>
      <c r="C377" s="87"/>
      <c r="D377" s="87"/>
    </row>
    <row r="378" spans="2:4" ht="12.75" x14ac:dyDescent="0.2">
      <c r="B378" s="68"/>
      <c r="C378" s="87"/>
      <c r="D378" s="87"/>
    </row>
    <row r="379" spans="2:4" ht="12.75" x14ac:dyDescent="0.2">
      <c r="B379" s="68"/>
      <c r="C379" s="87"/>
      <c r="D379" s="87"/>
    </row>
    <row r="380" spans="2:4" ht="12.75" x14ac:dyDescent="0.2">
      <c r="B380" s="68"/>
      <c r="C380" s="87"/>
      <c r="D380" s="87"/>
    </row>
    <row r="381" spans="2:4" ht="12.75" x14ac:dyDescent="0.2">
      <c r="B381" s="68"/>
      <c r="C381" s="87"/>
      <c r="D381" s="87"/>
    </row>
    <row r="382" spans="2:4" ht="12.75" x14ac:dyDescent="0.2">
      <c r="B382" s="68"/>
      <c r="C382" s="87"/>
      <c r="D382" s="87"/>
    </row>
    <row r="383" spans="2:4" ht="12.75" x14ac:dyDescent="0.2">
      <c r="B383" s="68"/>
      <c r="C383" s="87"/>
      <c r="D383" s="87"/>
    </row>
    <row r="384" spans="2:4" ht="12.75" x14ac:dyDescent="0.2">
      <c r="B384" s="68"/>
      <c r="C384" s="87"/>
      <c r="D384" s="87"/>
    </row>
    <row r="385" spans="2:4" ht="12.75" x14ac:dyDescent="0.2">
      <c r="B385" s="68"/>
      <c r="C385" s="87"/>
      <c r="D385" s="87"/>
    </row>
    <row r="386" spans="2:4" ht="12.75" x14ac:dyDescent="0.2">
      <c r="B386" s="68"/>
      <c r="C386" s="87"/>
      <c r="D386" s="87"/>
    </row>
    <row r="387" spans="2:4" ht="12.75" x14ac:dyDescent="0.2">
      <c r="B387" s="68"/>
      <c r="C387" s="87"/>
      <c r="D387" s="87"/>
    </row>
    <row r="388" spans="2:4" ht="12.75" x14ac:dyDescent="0.2">
      <c r="B388" s="68"/>
      <c r="C388" s="87"/>
      <c r="D388" s="87"/>
    </row>
    <row r="389" spans="2:4" ht="12.75" x14ac:dyDescent="0.2">
      <c r="B389" s="68"/>
      <c r="C389" s="87"/>
      <c r="D389" s="87"/>
    </row>
    <row r="390" spans="2:4" ht="12.75" x14ac:dyDescent="0.2">
      <c r="B390" s="68"/>
      <c r="C390" s="87"/>
      <c r="D390" s="87"/>
    </row>
    <row r="391" spans="2:4" ht="12.75" x14ac:dyDescent="0.2">
      <c r="B391" s="68"/>
      <c r="C391" s="87"/>
      <c r="D391" s="87"/>
    </row>
    <row r="392" spans="2:4" ht="12.75" x14ac:dyDescent="0.2">
      <c r="B392" s="68"/>
      <c r="C392" s="87"/>
      <c r="D392" s="87"/>
    </row>
    <row r="393" spans="2:4" ht="12.75" x14ac:dyDescent="0.2">
      <c r="B393" s="68"/>
      <c r="C393" s="87"/>
      <c r="D393" s="87"/>
    </row>
    <row r="394" spans="2:4" ht="12.75" x14ac:dyDescent="0.2">
      <c r="B394" s="68"/>
      <c r="C394" s="87"/>
      <c r="D394" s="87"/>
    </row>
    <row r="395" spans="2:4" ht="12.75" x14ac:dyDescent="0.2">
      <c r="B395" s="68"/>
      <c r="C395" s="87"/>
      <c r="D395" s="87"/>
    </row>
    <row r="396" spans="2:4" ht="12.75" x14ac:dyDescent="0.2">
      <c r="B396" s="68"/>
      <c r="C396" s="87"/>
      <c r="D396" s="87"/>
    </row>
    <row r="397" spans="2:4" ht="12.75" x14ac:dyDescent="0.2">
      <c r="B397" s="68"/>
      <c r="C397" s="87"/>
      <c r="D397" s="87"/>
    </row>
    <row r="398" spans="2:4" ht="12.75" x14ac:dyDescent="0.2">
      <c r="B398" s="68"/>
      <c r="C398" s="87"/>
      <c r="D398" s="87"/>
    </row>
    <row r="399" spans="2:4" ht="12.75" x14ac:dyDescent="0.2">
      <c r="B399" s="68"/>
      <c r="C399" s="87"/>
      <c r="D399" s="87"/>
    </row>
    <row r="400" spans="2:4" ht="12.75" x14ac:dyDescent="0.2">
      <c r="B400" s="68"/>
      <c r="C400" s="87"/>
      <c r="D400" s="87"/>
    </row>
    <row r="401" spans="2:4" ht="12.75" x14ac:dyDescent="0.2">
      <c r="B401" s="68"/>
      <c r="C401" s="87"/>
      <c r="D401" s="87"/>
    </row>
    <row r="402" spans="2:4" ht="12.75" x14ac:dyDescent="0.2">
      <c r="B402" s="68"/>
      <c r="C402" s="87"/>
      <c r="D402" s="87"/>
    </row>
    <row r="403" spans="2:4" ht="12.75" x14ac:dyDescent="0.2">
      <c r="B403" s="68"/>
      <c r="C403" s="87"/>
      <c r="D403" s="87"/>
    </row>
    <row r="404" spans="2:4" ht="12.75" x14ac:dyDescent="0.2">
      <c r="B404" s="68"/>
      <c r="C404" s="87"/>
      <c r="D404" s="87"/>
    </row>
    <row r="405" spans="2:4" ht="12.75" x14ac:dyDescent="0.2">
      <c r="B405" s="68"/>
      <c r="C405" s="87"/>
      <c r="D405" s="87"/>
    </row>
    <row r="406" spans="2:4" ht="12.75" x14ac:dyDescent="0.2">
      <c r="B406" s="68"/>
      <c r="C406" s="87"/>
      <c r="D406" s="87"/>
    </row>
    <row r="407" spans="2:4" ht="12.75" x14ac:dyDescent="0.2">
      <c r="B407" s="68"/>
      <c r="C407" s="87"/>
      <c r="D407" s="87"/>
    </row>
    <row r="408" spans="2:4" ht="12.75" x14ac:dyDescent="0.2">
      <c r="B408" s="68"/>
      <c r="C408" s="87"/>
      <c r="D408" s="87"/>
    </row>
    <row r="409" spans="2:4" ht="12.75" x14ac:dyDescent="0.2">
      <c r="B409" s="68"/>
      <c r="C409" s="87"/>
      <c r="D409" s="87"/>
    </row>
    <row r="410" spans="2:4" ht="12.75" x14ac:dyDescent="0.2">
      <c r="B410" s="68"/>
      <c r="C410" s="87"/>
      <c r="D410" s="87"/>
    </row>
    <row r="411" spans="2:4" ht="12.75" x14ac:dyDescent="0.2">
      <c r="B411" s="68"/>
      <c r="C411" s="87"/>
      <c r="D411" s="87"/>
    </row>
    <row r="412" spans="2:4" ht="12.75" x14ac:dyDescent="0.2">
      <c r="B412" s="68"/>
      <c r="C412" s="87"/>
      <c r="D412" s="87"/>
    </row>
    <row r="413" spans="2:4" ht="12.75" x14ac:dyDescent="0.2">
      <c r="B413" s="68"/>
      <c r="C413" s="87"/>
      <c r="D413" s="87"/>
    </row>
    <row r="414" spans="2:4" ht="12.75" x14ac:dyDescent="0.2">
      <c r="B414" s="68"/>
      <c r="C414" s="87"/>
      <c r="D414" s="87"/>
    </row>
    <row r="415" spans="2:4" ht="12.75" x14ac:dyDescent="0.2">
      <c r="B415" s="68"/>
      <c r="C415" s="87"/>
      <c r="D415" s="87"/>
    </row>
    <row r="416" spans="2:4" ht="12.75" x14ac:dyDescent="0.2">
      <c r="B416" s="68"/>
      <c r="C416" s="87"/>
      <c r="D416" s="87"/>
    </row>
    <row r="417" spans="2:4" ht="12.75" x14ac:dyDescent="0.2">
      <c r="B417" s="68"/>
      <c r="C417" s="87"/>
      <c r="D417" s="87"/>
    </row>
    <row r="418" spans="2:4" ht="12.75" x14ac:dyDescent="0.2">
      <c r="B418" s="68"/>
      <c r="C418" s="87"/>
      <c r="D418" s="87"/>
    </row>
    <row r="419" spans="2:4" ht="12.75" x14ac:dyDescent="0.2">
      <c r="B419" s="68"/>
      <c r="C419" s="87"/>
      <c r="D419" s="87"/>
    </row>
    <row r="420" spans="2:4" ht="12.75" x14ac:dyDescent="0.2">
      <c r="B420" s="68"/>
      <c r="C420" s="87"/>
      <c r="D420" s="87"/>
    </row>
    <row r="421" spans="2:4" ht="12.75" x14ac:dyDescent="0.2">
      <c r="B421" s="68"/>
      <c r="C421" s="87"/>
      <c r="D421" s="87"/>
    </row>
    <row r="422" spans="2:4" ht="12.75" x14ac:dyDescent="0.2">
      <c r="B422" s="68"/>
      <c r="C422" s="87"/>
      <c r="D422" s="87"/>
    </row>
    <row r="423" spans="2:4" ht="12.75" x14ac:dyDescent="0.2">
      <c r="B423" s="68"/>
      <c r="C423" s="87"/>
      <c r="D423" s="87"/>
    </row>
    <row r="424" spans="2:4" ht="12.75" x14ac:dyDescent="0.2">
      <c r="B424" s="68"/>
      <c r="C424" s="87"/>
      <c r="D424" s="87"/>
    </row>
    <row r="425" spans="2:4" ht="12.75" x14ac:dyDescent="0.2">
      <c r="B425" s="68"/>
      <c r="C425" s="87"/>
      <c r="D425" s="87"/>
    </row>
    <row r="426" spans="2:4" ht="12.75" x14ac:dyDescent="0.2">
      <c r="B426" s="68"/>
      <c r="C426" s="87"/>
      <c r="D426" s="87"/>
    </row>
    <row r="427" spans="2:4" ht="12.75" x14ac:dyDescent="0.2">
      <c r="B427" s="68"/>
      <c r="C427" s="87"/>
      <c r="D427" s="87"/>
    </row>
    <row r="428" spans="2:4" ht="12.75" x14ac:dyDescent="0.2">
      <c r="B428" s="68"/>
      <c r="C428" s="87"/>
      <c r="D428" s="87"/>
    </row>
    <row r="429" spans="2:4" ht="12.75" x14ac:dyDescent="0.2">
      <c r="B429" s="68"/>
      <c r="C429" s="87"/>
      <c r="D429" s="87"/>
    </row>
    <row r="430" spans="2:4" ht="12.75" x14ac:dyDescent="0.2">
      <c r="B430" s="68"/>
      <c r="C430" s="87"/>
      <c r="D430" s="87"/>
    </row>
    <row r="431" spans="2:4" ht="12.75" x14ac:dyDescent="0.2">
      <c r="B431" s="68"/>
      <c r="C431" s="87"/>
      <c r="D431" s="87"/>
    </row>
    <row r="432" spans="2:4" ht="12.75" x14ac:dyDescent="0.2">
      <c r="B432" s="68"/>
      <c r="C432" s="87"/>
      <c r="D432" s="87"/>
    </row>
    <row r="433" spans="2:4" ht="12.75" x14ac:dyDescent="0.2">
      <c r="B433" s="68"/>
      <c r="C433" s="87"/>
      <c r="D433" s="87"/>
    </row>
    <row r="434" spans="2:4" ht="12.75" x14ac:dyDescent="0.2">
      <c r="B434" s="68"/>
      <c r="C434" s="87"/>
      <c r="D434" s="87"/>
    </row>
    <row r="435" spans="2:4" ht="12.75" x14ac:dyDescent="0.2">
      <c r="B435" s="68"/>
      <c r="C435" s="87"/>
      <c r="D435" s="87"/>
    </row>
    <row r="436" spans="2:4" ht="12.75" x14ac:dyDescent="0.2">
      <c r="B436" s="68"/>
      <c r="C436" s="87"/>
      <c r="D436" s="87"/>
    </row>
    <row r="437" spans="2:4" ht="12.75" x14ac:dyDescent="0.2">
      <c r="B437" s="68"/>
      <c r="C437" s="87"/>
      <c r="D437" s="87"/>
    </row>
    <row r="438" spans="2:4" ht="12.75" x14ac:dyDescent="0.2">
      <c r="B438" s="68"/>
      <c r="C438" s="87"/>
      <c r="D438" s="87"/>
    </row>
    <row r="439" spans="2:4" ht="12.75" x14ac:dyDescent="0.2">
      <c r="B439" s="68"/>
      <c r="C439" s="87"/>
      <c r="D439" s="87"/>
    </row>
    <row r="440" spans="2:4" ht="12.75" x14ac:dyDescent="0.2">
      <c r="B440" s="68"/>
      <c r="C440" s="87"/>
      <c r="D440" s="87"/>
    </row>
    <row r="441" spans="2:4" ht="12.75" x14ac:dyDescent="0.2">
      <c r="B441" s="68"/>
      <c r="C441" s="87"/>
      <c r="D441" s="87"/>
    </row>
    <row r="442" spans="2:4" ht="12.75" x14ac:dyDescent="0.2">
      <c r="B442" s="68"/>
      <c r="C442" s="87"/>
      <c r="D442" s="87"/>
    </row>
    <row r="443" spans="2:4" ht="12.75" x14ac:dyDescent="0.2">
      <c r="B443" s="68"/>
      <c r="C443" s="87"/>
      <c r="D443" s="87"/>
    </row>
    <row r="444" spans="2:4" ht="12.75" x14ac:dyDescent="0.2">
      <c r="B444" s="68"/>
      <c r="C444" s="87"/>
      <c r="D444" s="87"/>
    </row>
    <row r="445" spans="2:4" ht="12.75" x14ac:dyDescent="0.2">
      <c r="B445" s="68"/>
      <c r="C445" s="87"/>
      <c r="D445" s="87"/>
    </row>
    <row r="446" spans="2:4" ht="12.75" x14ac:dyDescent="0.2">
      <c r="B446" s="68"/>
      <c r="C446" s="87"/>
      <c r="D446" s="87"/>
    </row>
    <row r="447" spans="2:4" ht="12.75" x14ac:dyDescent="0.2">
      <c r="B447" s="68"/>
      <c r="C447" s="87"/>
      <c r="D447" s="87"/>
    </row>
    <row r="448" spans="2:4" ht="12.75" x14ac:dyDescent="0.2">
      <c r="B448" s="68"/>
      <c r="C448" s="87"/>
      <c r="D448" s="87"/>
    </row>
    <row r="449" spans="2:4" ht="12.75" x14ac:dyDescent="0.2">
      <c r="B449" s="68"/>
      <c r="C449" s="87"/>
      <c r="D449" s="87"/>
    </row>
    <row r="450" spans="2:4" ht="12.75" x14ac:dyDescent="0.2">
      <c r="B450" s="68"/>
      <c r="C450" s="87"/>
      <c r="D450" s="87"/>
    </row>
    <row r="451" spans="2:4" ht="12.75" x14ac:dyDescent="0.2">
      <c r="B451" s="68"/>
      <c r="C451" s="87"/>
      <c r="D451" s="87"/>
    </row>
    <row r="452" spans="2:4" ht="12.75" x14ac:dyDescent="0.2">
      <c r="B452" s="68"/>
      <c r="C452" s="87"/>
      <c r="D452" s="87"/>
    </row>
    <row r="453" spans="2:4" ht="12.75" x14ac:dyDescent="0.2">
      <c r="B453" s="68"/>
      <c r="C453" s="87"/>
      <c r="D453" s="87"/>
    </row>
    <row r="454" spans="2:4" ht="12.75" x14ac:dyDescent="0.2">
      <c r="B454" s="68"/>
      <c r="C454" s="87"/>
      <c r="D454" s="87"/>
    </row>
    <row r="455" spans="2:4" ht="12.75" x14ac:dyDescent="0.2">
      <c r="B455" s="68"/>
      <c r="C455" s="87"/>
      <c r="D455" s="87"/>
    </row>
    <row r="456" spans="2:4" ht="12.75" x14ac:dyDescent="0.2">
      <c r="B456" s="68"/>
      <c r="C456" s="87"/>
      <c r="D456" s="87"/>
    </row>
    <row r="457" spans="2:4" ht="12.75" x14ac:dyDescent="0.2">
      <c r="B457" s="68"/>
      <c r="C457" s="87"/>
      <c r="D457" s="87"/>
    </row>
    <row r="458" spans="2:4" ht="12.75" x14ac:dyDescent="0.2">
      <c r="B458" s="68"/>
      <c r="C458" s="87"/>
      <c r="D458" s="87"/>
    </row>
    <row r="459" spans="2:4" ht="12.75" x14ac:dyDescent="0.2">
      <c r="B459" s="68"/>
      <c r="C459" s="87"/>
      <c r="D459" s="87"/>
    </row>
    <row r="460" spans="2:4" ht="12.75" x14ac:dyDescent="0.2">
      <c r="B460" s="68"/>
      <c r="C460" s="87"/>
      <c r="D460" s="87"/>
    </row>
    <row r="461" spans="2:4" ht="12.75" x14ac:dyDescent="0.2">
      <c r="B461" s="68"/>
      <c r="C461" s="87"/>
      <c r="D461" s="87"/>
    </row>
    <row r="462" spans="2:4" ht="12.75" x14ac:dyDescent="0.2">
      <c r="B462" s="68"/>
      <c r="C462" s="87"/>
      <c r="D462" s="87"/>
    </row>
    <row r="463" spans="2:4" ht="12.75" x14ac:dyDescent="0.2">
      <c r="B463" s="68"/>
      <c r="C463" s="87"/>
      <c r="D463" s="87"/>
    </row>
    <row r="464" spans="2:4" ht="12.75" x14ac:dyDescent="0.2">
      <c r="B464" s="68"/>
      <c r="C464" s="87"/>
      <c r="D464" s="87"/>
    </row>
    <row r="465" spans="2:4" ht="12.75" x14ac:dyDescent="0.2">
      <c r="B465" s="68"/>
      <c r="C465" s="87"/>
      <c r="D465" s="87"/>
    </row>
    <row r="466" spans="2:4" ht="12.75" x14ac:dyDescent="0.2">
      <c r="B466" s="68"/>
      <c r="C466" s="87"/>
      <c r="D466" s="87"/>
    </row>
    <row r="467" spans="2:4" ht="12.75" x14ac:dyDescent="0.2">
      <c r="B467" s="68"/>
      <c r="C467" s="87"/>
      <c r="D467" s="87"/>
    </row>
    <row r="468" spans="2:4" ht="12.75" x14ac:dyDescent="0.2">
      <c r="B468" s="68"/>
      <c r="C468" s="87"/>
      <c r="D468" s="87"/>
    </row>
    <row r="469" spans="2:4" ht="12.75" x14ac:dyDescent="0.2">
      <c r="B469" s="68"/>
      <c r="C469" s="87"/>
      <c r="D469" s="87"/>
    </row>
    <row r="470" spans="2:4" ht="12.75" x14ac:dyDescent="0.2">
      <c r="B470" s="68"/>
      <c r="C470" s="87"/>
      <c r="D470" s="87"/>
    </row>
    <row r="471" spans="2:4" ht="12.75" x14ac:dyDescent="0.2">
      <c r="B471" s="68"/>
      <c r="C471" s="87"/>
      <c r="D471" s="87"/>
    </row>
    <row r="472" spans="2:4" ht="12.75" x14ac:dyDescent="0.2">
      <c r="B472" s="68"/>
      <c r="C472" s="87"/>
      <c r="D472" s="87"/>
    </row>
    <row r="473" spans="2:4" ht="12.75" x14ac:dyDescent="0.2">
      <c r="B473" s="68"/>
      <c r="C473" s="87"/>
      <c r="D473" s="87"/>
    </row>
    <row r="474" spans="2:4" ht="12.75" x14ac:dyDescent="0.2">
      <c r="B474" s="68"/>
      <c r="C474" s="87"/>
      <c r="D474" s="87"/>
    </row>
    <row r="475" spans="2:4" ht="12.75" x14ac:dyDescent="0.2">
      <c r="B475" s="68"/>
      <c r="C475" s="87"/>
      <c r="D475" s="87"/>
    </row>
    <row r="476" spans="2:4" ht="12.75" x14ac:dyDescent="0.2">
      <c r="B476" s="68"/>
      <c r="C476" s="87"/>
      <c r="D476" s="87"/>
    </row>
    <row r="477" spans="2:4" ht="12.75" x14ac:dyDescent="0.2">
      <c r="B477" s="68"/>
      <c r="C477" s="87"/>
      <c r="D477" s="87"/>
    </row>
    <row r="478" spans="2:4" ht="12.75" x14ac:dyDescent="0.2">
      <c r="B478" s="68"/>
      <c r="C478" s="87"/>
      <c r="D478" s="87"/>
    </row>
    <row r="479" spans="2:4" ht="12.75" x14ac:dyDescent="0.2">
      <c r="B479" s="68"/>
      <c r="C479" s="87"/>
      <c r="D479" s="87"/>
    </row>
    <row r="480" spans="2:4" ht="12.75" x14ac:dyDescent="0.2">
      <c r="B480" s="68"/>
      <c r="C480" s="87"/>
      <c r="D480" s="87"/>
    </row>
    <row r="481" spans="2:4" ht="12.75" x14ac:dyDescent="0.2">
      <c r="B481" s="68"/>
      <c r="C481" s="87"/>
      <c r="D481" s="87"/>
    </row>
    <row r="482" spans="2:4" ht="12.75" x14ac:dyDescent="0.2">
      <c r="B482" s="68"/>
      <c r="C482" s="87"/>
      <c r="D482" s="87"/>
    </row>
    <row r="483" spans="2:4" ht="12.75" x14ac:dyDescent="0.2">
      <c r="B483" s="68"/>
      <c r="C483" s="87"/>
      <c r="D483" s="87"/>
    </row>
    <row r="484" spans="2:4" ht="12.75" x14ac:dyDescent="0.2">
      <c r="B484" s="68"/>
      <c r="C484" s="87"/>
      <c r="D484" s="87"/>
    </row>
    <row r="485" spans="2:4" ht="12.75" x14ac:dyDescent="0.2">
      <c r="B485" s="68"/>
      <c r="C485" s="87"/>
      <c r="D485" s="87"/>
    </row>
    <row r="486" spans="2:4" ht="12.75" x14ac:dyDescent="0.2">
      <c r="B486" s="68"/>
      <c r="C486" s="87"/>
      <c r="D486" s="87"/>
    </row>
    <row r="487" spans="2:4" ht="12.75" x14ac:dyDescent="0.2">
      <c r="B487" s="68"/>
      <c r="C487" s="87"/>
      <c r="D487" s="87"/>
    </row>
    <row r="488" spans="2:4" ht="12.75" x14ac:dyDescent="0.2">
      <c r="B488" s="68"/>
      <c r="C488" s="87"/>
      <c r="D488" s="87"/>
    </row>
    <row r="489" spans="2:4" ht="12.75" x14ac:dyDescent="0.2">
      <c r="B489" s="68"/>
      <c r="C489" s="87"/>
      <c r="D489" s="87"/>
    </row>
    <row r="490" spans="2:4" ht="12.75" x14ac:dyDescent="0.2">
      <c r="B490" s="68"/>
      <c r="C490" s="87"/>
      <c r="D490" s="87"/>
    </row>
    <row r="491" spans="2:4" ht="12.75" x14ac:dyDescent="0.2">
      <c r="B491" s="68"/>
      <c r="C491" s="87"/>
      <c r="D491" s="87"/>
    </row>
    <row r="492" spans="2:4" ht="12.75" x14ac:dyDescent="0.2">
      <c r="B492" s="68"/>
      <c r="C492" s="87"/>
      <c r="D492" s="87"/>
    </row>
    <row r="493" spans="2:4" ht="12.75" x14ac:dyDescent="0.2">
      <c r="B493" s="68"/>
      <c r="C493" s="87"/>
      <c r="D493" s="87"/>
    </row>
    <row r="494" spans="2:4" ht="12.75" x14ac:dyDescent="0.2">
      <c r="B494" s="68"/>
      <c r="C494" s="87"/>
      <c r="D494" s="87"/>
    </row>
    <row r="495" spans="2:4" ht="12.75" x14ac:dyDescent="0.2">
      <c r="B495" s="68"/>
      <c r="C495" s="87"/>
      <c r="D495" s="87"/>
    </row>
    <row r="496" spans="2:4" ht="12.75" x14ac:dyDescent="0.2">
      <c r="B496" s="68"/>
      <c r="C496" s="87"/>
      <c r="D496" s="87"/>
    </row>
    <row r="497" spans="2:4" ht="12.75" x14ac:dyDescent="0.2">
      <c r="B497" s="68"/>
      <c r="C497" s="87"/>
      <c r="D497" s="87"/>
    </row>
    <row r="498" spans="2:4" ht="12.75" x14ac:dyDescent="0.2">
      <c r="B498" s="68"/>
      <c r="C498" s="87"/>
      <c r="D498" s="87"/>
    </row>
    <row r="499" spans="2:4" ht="12.75" x14ac:dyDescent="0.2">
      <c r="B499" s="68"/>
      <c r="C499" s="87"/>
      <c r="D499" s="87"/>
    </row>
    <row r="500" spans="2:4" ht="12.75" x14ac:dyDescent="0.2">
      <c r="B500" s="68"/>
      <c r="C500" s="87"/>
      <c r="D500" s="87"/>
    </row>
    <row r="501" spans="2:4" ht="12.75" x14ac:dyDescent="0.2">
      <c r="B501" s="68"/>
      <c r="C501" s="87"/>
      <c r="D501" s="87"/>
    </row>
    <row r="502" spans="2:4" ht="12.75" x14ac:dyDescent="0.2">
      <c r="B502" s="68"/>
      <c r="C502" s="87"/>
      <c r="D502" s="87"/>
    </row>
    <row r="503" spans="2:4" ht="12.75" x14ac:dyDescent="0.2">
      <c r="B503" s="68"/>
      <c r="C503" s="87"/>
      <c r="D503" s="87"/>
    </row>
    <row r="504" spans="2:4" ht="12.75" x14ac:dyDescent="0.2">
      <c r="B504" s="68"/>
      <c r="C504" s="87"/>
      <c r="D504" s="87"/>
    </row>
    <row r="505" spans="2:4" ht="12.75" x14ac:dyDescent="0.2">
      <c r="B505" s="68"/>
      <c r="C505" s="87"/>
      <c r="D505" s="87"/>
    </row>
    <row r="506" spans="2:4" ht="12.75" x14ac:dyDescent="0.2">
      <c r="B506" s="68"/>
      <c r="C506" s="87"/>
      <c r="D506" s="87"/>
    </row>
    <row r="507" spans="2:4" ht="12.75" x14ac:dyDescent="0.2">
      <c r="B507" s="68"/>
      <c r="C507" s="87"/>
      <c r="D507" s="87"/>
    </row>
    <row r="508" spans="2:4" ht="12.75" x14ac:dyDescent="0.2">
      <c r="B508" s="68"/>
      <c r="C508" s="87"/>
      <c r="D508" s="87"/>
    </row>
    <row r="509" spans="2:4" ht="12.75" x14ac:dyDescent="0.2">
      <c r="B509" s="68"/>
      <c r="C509" s="87"/>
      <c r="D509" s="87"/>
    </row>
    <row r="510" spans="2:4" ht="12.75" x14ac:dyDescent="0.2">
      <c r="B510" s="68"/>
      <c r="C510" s="87"/>
      <c r="D510" s="87"/>
    </row>
    <row r="511" spans="2:4" ht="12.75" x14ac:dyDescent="0.2">
      <c r="B511" s="68"/>
      <c r="C511" s="87"/>
      <c r="D511" s="87"/>
    </row>
    <row r="512" spans="2:4" ht="12.75" x14ac:dyDescent="0.2">
      <c r="B512" s="68"/>
      <c r="C512" s="87"/>
      <c r="D512" s="87"/>
    </row>
    <row r="513" spans="2:4" ht="12.75" x14ac:dyDescent="0.2">
      <c r="B513" s="68"/>
      <c r="C513" s="87"/>
      <c r="D513" s="87"/>
    </row>
    <row r="514" spans="2:4" ht="12.75" x14ac:dyDescent="0.2">
      <c r="B514" s="68"/>
      <c r="C514" s="87"/>
      <c r="D514" s="87"/>
    </row>
    <row r="515" spans="2:4" ht="12.75" x14ac:dyDescent="0.2">
      <c r="B515" s="68"/>
      <c r="C515" s="87"/>
      <c r="D515" s="87"/>
    </row>
    <row r="516" spans="2:4" ht="12.75" x14ac:dyDescent="0.2">
      <c r="B516" s="68"/>
      <c r="C516" s="87"/>
      <c r="D516" s="87"/>
    </row>
    <row r="517" spans="2:4" ht="12.75" x14ac:dyDescent="0.2">
      <c r="B517" s="68"/>
      <c r="C517" s="87"/>
      <c r="D517" s="87"/>
    </row>
    <row r="518" spans="2:4" ht="12.75" x14ac:dyDescent="0.2">
      <c r="B518" s="68"/>
      <c r="C518" s="87"/>
      <c r="D518" s="87"/>
    </row>
    <row r="519" spans="2:4" ht="12.75" x14ac:dyDescent="0.2">
      <c r="B519" s="68"/>
      <c r="C519" s="87"/>
      <c r="D519" s="87"/>
    </row>
    <row r="520" spans="2:4" ht="12.75" x14ac:dyDescent="0.2">
      <c r="B520" s="68"/>
      <c r="C520" s="87"/>
      <c r="D520" s="87"/>
    </row>
    <row r="521" spans="2:4" ht="12.75" x14ac:dyDescent="0.2">
      <c r="B521" s="68"/>
      <c r="C521" s="87"/>
      <c r="D521" s="87"/>
    </row>
    <row r="522" spans="2:4" ht="12.75" x14ac:dyDescent="0.2">
      <c r="B522" s="68"/>
      <c r="C522" s="87"/>
      <c r="D522" s="87"/>
    </row>
    <row r="523" spans="2:4" ht="12.75" x14ac:dyDescent="0.2">
      <c r="B523" s="68"/>
      <c r="C523" s="87"/>
      <c r="D523" s="87"/>
    </row>
    <row r="524" spans="2:4" ht="12.75" x14ac:dyDescent="0.2">
      <c r="B524" s="68"/>
      <c r="C524" s="87"/>
      <c r="D524" s="87"/>
    </row>
    <row r="525" spans="2:4" ht="12.75" x14ac:dyDescent="0.2">
      <c r="B525" s="68"/>
      <c r="C525" s="87"/>
      <c r="D525" s="87"/>
    </row>
    <row r="526" spans="2:4" ht="12.75" x14ac:dyDescent="0.2">
      <c r="B526" s="68"/>
      <c r="C526" s="87"/>
      <c r="D526" s="87"/>
    </row>
    <row r="527" spans="2:4" ht="12.75" x14ac:dyDescent="0.2">
      <c r="B527" s="68"/>
      <c r="C527" s="87"/>
      <c r="D527" s="87"/>
    </row>
    <row r="528" spans="2:4" ht="12.75" x14ac:dyDescent="0.2">
      <c r="B528" s="68"/>
      <c r="C528" s="87"/>
      <c r="D528" s="87"/>
    </row>
    <row r="529" spans="2:4" ht="12.75" x14ac:dyDescent="0.2">
      <c r="B529" s="68"/>
      <c r="C529" s="87"/>
      <c r="D529" s="87"/>
    </row>
    <row r="530" spans="2:4" ht="12.75" x14ac:dyDescent="0.2">
      <c r="B530" s="68"/>
      <c r="C530" s="87"/>
      <c r="D530" s="87"/>
    </row>
    <row r="531" spans="2:4" ht="12.75" x14ac:dyDescent="0.2">
      <c r="B531" s="68"/>
      <c r="C531" s="87"/>
      <c r="D531" s="87"/>
    </row>
    <row r="532" spans="2:4" ht="12.75" x14ac:dyDescent="0.2">
      <c r="B532" s="68"/>
      <c r="C532" s="87"/>
      <c r="D532" s="87"/>
    </row>
    <row r="533" spans="2:4" ht="12.75" x14ac:dyDescent="0.2">
      <c r="B533" s="68"/>
      <c r="C533" s="87"/>
      <c r="D533" s="87"/>
    </row>
    <row r="534" spans="2:4" ht="12.75" x14ac:dyDescent="0.2">
      <c r="B534" s="68"/>
      <c r="C534" s="87"/>
      <c r="D534" s="87"/>
    </row>
    <row r="535" spans="2:4" ht="12.75" x14ac:dyDescent="0.2">
      <c r="B535" s="68"/>
      <c r="C535" s="87"/>
      <c r="D535" s="87"/>
    </row>
    <row r="536" spans="2:4" ht="12.75" x14ac:dyDescent="0.2">
      <c r="B536" s="68"/>
      <c r="C536" s="87"/>
      <c r="D536" s="87"/>
    </row>
    <row r="537" spans="2:4" ht="12.75" x14ac:dyDescent="0.2">
      <c r="B537" s="68"/>
      <c r="C537" s="87"/>
      <c r="D537" s="87"/>
    </row>
    <row r="538" spans="2:4" ht="12.75" x14ac:dyDescent="0.2">
      <c r="B538" s="68"/>
      <c r="C538" s="87"/>
      <c r="D538" s="87"/>
    </row>
    <row r="539" spans="2:4" ht="12.75" x14ac:dyDescent="0.2">
      <c r="B539" s="68"/>
      <c r="C539" s="87"/>
      <c r="D539" s="87"/>
    </row>
    <row r="540" spans="2:4" ht="12.75" x14ac:dyDescent="0.2">
      <c r="B540" s="68"/>
      <c r="C540" s="87"/>
      <c r="D540" s="87"/>
    </row>
    <row r="541" spans="2:4" ht="12.75" x14ac:dyDescent="0.2">
      <c r="B541" s="68"/>
      <c r="C541" s="87"/>
      <c r="D541" s="87"/>
    </row>
    <row r="542" spans="2:4" ht="12.75" x14ac:dyDescent="0.2">
      <c r="B542" s="68"/>
      <c r="C542" s="87"/>
      <c r="D542" s="87"/>
    </row>
    <row r="543" spans="2:4" ht="12.75" x14ac:dyDescent="0.2">
      <c r="B543" s="68"/>
      <c r="C543" s="87"/>
      <c r="D543" s="87"/>
    </row>
    <row r="544" spans="2:4" ht="12.75" x14ac:dyDescent="0.2">
      <c r="B544" s="68"/>
      <c r="C544" s="87"/>
      <c r="D544" s="87"/>
    </row>
    <row r="545" spans="2:4" ht="12.75" x14ac:dyDescent="0.2">
      <c r="B545" s="68"/>
      <c r="C545" s="87"/>
      <c r="D545" s="87"/>
    </row>
    <row r="546" spans="2:4" ht="12.75" x14ac:dyDescent="0.2">
      <c r="B546" s="68"/>
      <c r="C546" s="87"/>
      <c r="D546" s="87"/>
    </row>
    <row r="547" spans="2:4" ht="12.75" x14ac:dyDescent="0.2">
      <c r="B547" s="68"/>
      <c r="C547" s="87"/>
      <c r="D547" s="87"/>
    </row>
    <row r="548" spans="2:4" ht="12.75" x14ac:dyDescent="0.2">
      <c r="B548" s="68"/>
      <c r="C548" s="87"/>
      <c r="D548" s="87"/>
    </row>
    <row r="549" spans="2:4" ht="12.75" x14ac:dyDescent="0.2">
      <c r="B549" s="68"/>
      <c r="C549" s="87"/>
      <c r="D549" s="87"/>
    </row>
    <row r="550" spans="2:4" ht="12.75" x14ac:dyDescent="0.2">
      <c r="B550" s="68"/>
      <c r="C550" s="87"/>
      <c r="D550" s="87"/>
    </row>
    <row r="551" spans="2:4" ht="12.75" x14ac:dyDescent="0.2">
      <c r="B551" s="68"/>
      <c r="C551" s="87"/>
      <c r="D551" s="87"/>
    </row>
    <row r="552" spans="2:4" ht="12.75" x14ac:dyDescent="0.2">
      <c r="B552" s="68"/>
      <c r="C552" s="87"/>
      <c r="D552" s="87"/>
    </row>
    <row r="553" spans="2:4" ht="12.75" x14ac:dyDescent="0.2">
      <c r="B553" s="68"/>
      <c r="C553" s="87"/>
      <c r="D553" s="87"/>
    </row>
    <row r="554" spans="2:4" ht="12.75" x14ac:dyDescent="0.2">
      <c r="B554" s="68"/>
      <c r="C554" s="87"/>
      <c r="D554" s="87"/>
    </row>
    <row r="555" spans="2:4" ht="12.75" x14ac:dyDescent="0.2">
      <c r="B555" s="68"/>
      <c r="C555" s="87"/>
      <c r="D555" s="87"/>
    </row>
    <row r="556" spans="2:4" ht="12.75" x14ac:dyDescent="0.2">
      <c r="B556" s="68"/>
      <c r="C556" s="87"/>
      <c r="D556" s="87"/>
    </row>
    <row r="557" spans="2:4" ht="12.75" x14ac:dyDescent="0.2">
      <c r="B557" s="68"/>
      <c r="C557" s="87"/>
      <c r="D557" s="87"/>
    </row>
    <row r="558" spans="2:4" ht="12.75" x14ac:dyDescent="0.2">
      <c r="B558" s="68"/>
      <c r="C558" s="87"/>
      <c r="D558" s="87"/>
    </row>
    <row r="559" spans="2:4" ht="12.75" x14ac:dyDescent="0.2">
      <c r="B559" s="68"/>
      <c r="C559" s="87"/>
      <c r="D559" s="87"/>
    </row>
    <row r="560" spans="2:4" ht="12.75" x14ac:dyDescent="0.2">
      <c r="B560" s="68"/>
      <c r="C560" s="87"/>
      <c r="D560" s="87"/>
    </row>
    <row r="561" spans="2:4" ht="12.75" x14ac:dyDescent="0.2">
      <c r="B561" s="68"/>
      <c r="C561" s="87"/>
      <c r="D561" s="87"/>
    </row>
    <row r="562" spans="2:4" ht="12.75" x14ac:dyDescent="0.2">
      <c r="B562" s="68"/>
      <c r="C562" s="87"/>
      <c r="D562" s="87"/>
    </row>
    <row r="563" spans="2:4" ht="12.75" x14ac:dyDescent="0.2">
      <c r="B563" s="68"/>
      <c r="C563" s="87"/>
      <c r="D563" s="87"/>
    </row>
    <row r="564" spans="2:4" ht="12.75" x14ac:dyDescent="0.2">
      <c r="B564" s="68"/>
      <c r="C564" s="87"/>
      <c r="D564" s="87"/>
    </row>
    <row r="565" spans="2:4" ht="12.75" x14ac:dyDescent="0.2">
      <c r="B565" s="68"/>
      <c r="C565" s="87"/>
      <c r="D565" s="87"/>
    </row>
    <row r="566" spans="2:4" ht="12.75" x14ac:dyDescent="0.2">
      <c r="B566" s="68"/>
      <c r="C566" s="87"/>
      <c r="D566" s="87"/>
    </row>
    <row r="567" spans="2:4" ht="12.75" x14ac:dyDescent="0.2">
      <c r="B567" s="68"/>
      <c r="C567" s="87"/>
      <c r="D567" s="87"/>
    </row>
    <row r="568" spans="2:4" ht="12.75" x14ac:dyDescent="0.2">
      <c r="B568" s="68"/>
      <c r="C568" s="87"/>
      <c r="D568" s="87"/>
    </row>
    <row r="569" spans="2:4" ht="12.75" x14ac:dyDescent="0.2">
      <c r="B569" s="68"/>
      <c r="C569" s="87"/>
      <c r="D569" s="87"/>
    </row>
    <row r="570" spans="2:4" ht="12.75" x14ac:dyDescent="0.2">
      <c r="B570" s="68"/>
      <c r="C570" s="87"/>
      <c r="D570" s="87"/>
    </row>
    <row r="571" spans="2:4" ht="12.75" x14ac:dyDescent="0.2">
      <c r="B571" s="68"/>
      <c r="C571" s="87"/>
      <c r="D571" s="87"/>
    </row>
    <row r="572" spans="2:4" ht="12.75" x14ac:dyDescent="0.2">
      <c r="B572" s="68"/>
      <c r="C572" s="87"/>
      <c r="D572" s="87"/>
    </row>
    <row r="573" spans="2:4" ht="12.75" x14ac:dyDescent="0.2">
      <c r="B573" s="68"/>
      <c r="C573" s="87"/>
      <c r="D573" s="87"/>
    </row>
    <row r="574" spans="2:4" ht="12.75" x14ac:dyDescent="0.2">
      <c r="B574" s="68"/>
      <c r="C574" s="87"/>
      <c r="D574" s="87"/>
    </row>
    <row r="575" spans="2:4" ht="12.75" x14ac:dyDescent="0.2">
      <c r="B575" s="68"/>
      <c r="C575" s="87"/>
      <c r="D575" s="87"/>
    </row>
    <row r="576" spans="2:4" ht="12.75" x14ac:dyDescent="0.2">
      <c r="B576" s="68"/>
      <c r="C576" s="87"/>
      <c r="D576" s="87"/>
    </row>
    <row r="577" spans="2:4" ht="12.75" x14ac:dyDescent="0.2">
      <c r="B577" s="68"/>
      <c r="C577" s="87"/>
      <c r="D577" s="87"/>
    </row>
    <row r="578" spans="2:4" ht="12.75" x14ac:dyDescent="0.2">
      <c r="B578" s="68"/>
      <c r="C578" s="87"/>
      <c r="D578" s="87"/>
    </row>
    <row r="579" spans="2:4" ht="12.75" x14ac:dyDescent="0.2">
      <c r="B579" s="68"/>
      <c r="C579" s="87"/>
      <c r="D579" s="87"/>
    </row>
    <row r="580" spans="2:4" ht="12.75" x14ac:dyDescent="0.2">
      <c r="B580" s="68"/>
      <c r="C580" s="87"/>
      <c r="D580" s="87"/>
    </row>
    <row r="581" spans="2:4" ht="12.75" x14ac:dyDescent="0.2">
      <c r="B581" s="68"/>
      <c r="C581" s="87"/>
      <c r="D581" s="87"/>
    </row>
    <row r="582" spans="2:4" ht="12.75" x14ac:dyDescent="0.2">
      <c r="B582" s="68"/>
      <c r="C582" s="87"/>
      <c r="D582" s="87"/>
    </row>
    <row r="583" spans="2:4" ht="12.75" x14ac:dyDescent="0.2">
      <c r="B583" s="68"/>
      <c r="C583" s="87"/>
      <c r="D583" s="87"/>
    </row>
    <row r="584" spans="2:4" ht="12.75" x14ac:dyDescent="0.2">
      <c r="B584" s="68"/>
      <c r="C584" s="87"/>
      <c r="D584" s="87"/>
    </row>
    <row r="585" spans="2:4" ht="12.75" x14ac:dyDescent="0.2">
      <c r="B585" s="68"/>
      <c r="C585" s="87"/>
      <c r="D585" s="87"/>
    </row>
    <row r="586" spans="2:4" ht="12.75" x14ac:dyDescent="0.2">
      <c r="B586" s="68"/>
      <c r="C586" s="87"/>
      <c r="D586" s="87"/>
    </row>
    <row r="587" spans="2:4" ht="12.75" x14ac:dyDescent="0.2">
      <c r="B587" s="68"/>
      <c r="C587" s="87"/>
      <c r="D587" s="87"/>
    </row>
    <row r="588" spans="2:4" ht="12.75" x14ac:dyDescent="0.2">
      <c r="B588" s="68"/>
      <c r="C588" s="87"/>
      <c r="D588" s="87"/>
    </row>
    <row r="589" spans="2:4" ht="12.75" x14ac:dyDescent="0.2">
      <c r="B589" s="68"/>
      <c r="C589" s="87"/>
      <c r="D589" s="87"/>
    </row>
    <row r="590" spans="2:4" ht="12.75" x14ac:dyDescent="0.2">
      <c r="B590" s="68"/>
      <c r="C590" s="87"/>
      <c r="D590" s="87"/>
    </row>
    <row r="591" spans="2:4" ht="12.75" x14ac:dyDescent="0.2">
      <c r="B591" s="68"/>
      <c r="C591" s="87"/>
      <c r="D591" s="87"/>
    </row>
    <row r="592" spans="2:4" ht="12.75" x14ac:dyDescent="0.2">
      <c r="B592" s="68"/>
      <c r="C592" s="87"/>
      <c r="D592" s="87"/>
    </row>
    <row r="593" spans="2:4" ht="12.75" x14ac:dyDescent="0.2">
      <c r="B593" s="68"/>
      <c r="C593" s="87"/>
      <c r="D593" s="87"/>
    </row>
    <row r="594" spans="2:4" ht="12.75" x14ac:dyDescent="0.2">
      <c r="B594" s="68"/>
      <c r="C594" s="87"/>
      <c r="D594" s="87"/>
    </row>
    <row r="595" spans="2:4" ht="12.75" x14ac:dyDescent="0.2">
      <c r="B595" s="68"/>
      <c r="C595" s="87"/>
      <c r="D595" s="87"/>
    </row>
    <row r="596" spans="2:4" ht="12.75" x14ac:dyDescent="0.2">
      <c r="B596" s="68"/>
      <c r="C596" s="87"/>
      <c r="D596" s="87"/>
    </row>
    <row r="597" spans="2:4" ht="12.75" x14ac:dyDescent="0.2">
      <c r="B597" s="68"/>
      <c r="C597" s="87"/>
      <c r="D597" s="87"/>
    </row>
    <row r="598" spans="2:4" ht="12.75" x14ac:dyDescent="0.2">
      <c r="B598" s="68"/>
      <c r="C598" s="87"/>
      <c r="D598" s="87"/>
    </row>
    <row r="599" spans="2:4" ht="12.75" x14ac:dyDescent="0.2">
      <c r="B599" s="68"/>
      <c r="C599" s="87"/>
      <c r="D599" s="87"/>
    </row>
    <row r="600" spans="2:4" ht="12.75" x14ac:dyDescent="0.2">
      <c r="B600" s="68"/>
      <c r="C600" s="87"/>
      <c r="D600" s="87"/>
    </row>
    <row r="601" spans="2:4" ht="12.75" x14ac:dyDescent="0.2">
      <c r="B601" s="68"/>
      <c r="C601" s="87"/>
      <c r="D601" s="87"/>
    </row>
    <row r="602" spans="2:4" ht="12.75" x14ac:dyDescent="0.2">
      <c r="B602" s="68"/>
      <c r="C602" s="87"/>
      <c r="D602" s="87"/>
    </row>
    <row r="603" spans="2:4" ht="12.75" x14ac:dyDescent="0.2">
      <c r="B603" s="68"/>
      <c r="C603" s="87"/>
      <c r="D603" s="87"/>
    </row>
    <row r="604" spans="2:4" ht="12.75" x14ac:dyDescent="0.2">
      <c r="B604" s="68"/>
      <c r="C604" s="87"/>
      <c r="D604" s="87"/>
    </row>
    <row r="605" spans="2:4" ht="12.75" x14ac:dyDescent="0.2">
      <c r="B605" s="68"/>
      <c r="C605" s="87"/>
      <c r="D605" s="87"/>
    </row>
    <row r="606" spans="2:4" ht="12.75" x14ac:dyDescent="0.2">
      <c r="B606" s="68"/>
      <c r="C606" s="87"/>
      <c r="D606" s="87"/>
    </row>
    <row r="607" spans="2:4" ht="12.75" x14ac:dyDescent="0.2">
      <c r="B607" s="68"/>
      <c r="C607" s="87"/>
      <c r="D607" s="87"/>
    </row>
    <row r="608" spans="2:4" ht="12.75" x14ac:dyDescent="0.2">
      <c r="B608" s="68"/>
      <c r="C608" s="87"/>
      <c r="D608" s="87"/>
    </row>
    <row r="609" spans="2:4" ht="12.75" x14ac:dyDescent="0.2">
      <c r="B609" s="68"/>
      <c r="C609" s="87"/>
      <c r="D609" s="87"/>
    </row>
    <row r="610" spans="2:4" ht="12.75" x14ac:dyDescent="0.2">
      <c r="B610" s="68"/>
      <c r="C610" s="87"/>
      <c r="D610" s="87"/>
    </row>
    <row r="611" spans="2:4" ht="12.75" x14ac:dyDescent="0.2">
      <c r="B611" s="68"/>
      <c r="C611" s="87"/>
      <c r="D611" s="87"/>
    </row>
    <row r="612" spans="2:4" ht="12.75" x14ac:dyDescent="0.2">
      <c r="B612" s="68"/>
      <c r="C612" s="87"/>
      <c r="D612" s="87"/>
    </row>
    <row r="613" spans="2:4" ht="12.75" x14ac:dyDescent="0.2">
      <c r="B613" s="68"/>
      <c r="C613" s="87"/>
      <c r="D613" s="87"/>
    </row>
    <row r="614" spans="2:4" ht="12.75" x14ac:dyDescent="0.2">
      <c r="B614" s="68"/>
      <c r="C614" s="87"/>
      <c r="D614" s="87"/>
    </row>
    <row r="615" spans="2:4" ht="12.75" x14ac:dyDescent="0.2">
      <c r="B615" s="68"/>
      <c r="C615" s="87"/>
      <c r="D615" s="87"/>
    </row>
    <row r="616" spans="2:4" ht="12.75" x14ac:dyDescent="0.2">
      <c r="B616" s="68"/>
      <c r="C616" s="87"/>
      <c r="D616" s="87"/>
    </row>
    <row r="617" spans="2:4" ht="12.75" x14ac:dyDescent="0.2">
      <c r="B617" s="68"/>
      <c r="C617" s="87"/>
      <c r="D617" s="87"/>
    </row>
    <row r="618" spans="2:4" ht="12.75" x14ac:dyDescent="0.2">
      <c r="B618" s="68"/>
      <c r="C618" s="87"/>
      <c r="D618" s="87"/>
    </row>
    <row r="619" spans="2:4" ht="12.75" x14ac:dyDescent="0.2">
      <c r="B619" s="68"/>
      <c r="C619" s="87"/>
      <c r="D619" s="87"/>
    </row>
    <row r="620" spans="2:4" ht="12.75" x14ac:dyDescent="0.2">
      <c r="B620" s="68"/>
      <c r="C620" s="87"/>
      <c r="D620" s="87"/>
    </row>
    <row r="621" spans="2:4" ht="12.75" x14ac:dyDescent="0.2">
      <c r="B621" s="68"/>
      <c r="C621" s="87"/>
      <c r="D621" s="87"/>
    </row>
    <row r="622" spans="2:4" ht="12.75" x14ac:dyDescent="0.2">
      <c r="B622" s="68"/>
      <c r="C622" s="87"/>
      <c r="D622" s="87"/>
    </row>
    <row r="623" spans="2:4" ht="12.75" x14ac:dyDescent="0.2">
      <c r="B623" s="68"/>
      <c r="C623" s="87"/>
      <c r="D623" s="87"/>
    </row>
    <row r="624" spans="2:4" ht="12.75" x14ac:dyDescent="0.2">
      <c r="B624" s="68"/>
      <c r="C624" s="87"/>
      <c r="D624" s="87"/>
    </row>
    <row r="625" spans="2:4" ht="12.75" x14ac:dyDescent="0.2">
      <c r="B625" s="68"/>
      <c r="C625" s="87"/>
      <c r="D625" s="87"/>
    </row>
    <row r="626" spans="2:4" ht="12.75" x14ac:dyDescent="0.2">
      <c r="B626" s="68"/>
      <c r="C626" s="87"/>
      <c r="D626" s="87"/>
    </row>
    <row r="627" spans="2:4" ht="12.75" x14ac:dyDescent="0.2">
      <c r="B627" s="68"/>
      <c r="C627" s="87"/>
      <c r="D627" s="87"/>
    </row>
    <row r="628" spans="2:4" ht="12.75" x14ac:dyDescent="0.2">
      <c r="B628" s="68"/>
      <c r="C628" s="87"/>
      <c r="D628" s="87"/>
    </row>
    <row r="629" spans="2:4" ht="12.75" x14ac:dyDescent="0.2">
      <c r="B629" s="68"/>
      <c r="C629" s="87"/>
      <c r="D629" s="87"/>
    </row>
    <row r="630" spans="2:4" ht="12.75" x14ac:dyDescent="0.2">
      <c r="B630" s="68"/>
      <c r="C630" s="87"/>
      <c r="D630" s="87"/>
    </row>
    <row r="631" spans="2:4" ht="12.75" x14ac:dyDescent="0.2">
      <c r="B631" s="68"/>
      <c r="C631" s="87"/>
      <c r="D631" s="87"/>
    </row>
    <row r="632" spans="2:4" ht="12.75" x14ac:dyDescent="0.2">
      <c r="B632" s="68"/>
      <c r="C632" s="87"/>
      <c r="D632" s="87"/>
    </row>
    <row r="633" spans="2:4" ht="12.75" x14ac:dyDescent="0.2">
      <c r="B633" s="68"/>
      <c r="C633" s="87"/>
      <c r="D633" s="87"/>
    </row>
    <row r="634" spans="2:4" ht="12.75" x14ac:dyDescent="0.2">
      <c r="B634" s="68"/>
      <c r="C634" s="87"/>
      <c r="D634" s="87"/>
    </row>
    <row r="635" spans="2:4" ht="12.75" x14ac:dyDescent="0.2">
      <c r="B635" s="68"/>
      <c r="C635" s="87"/>
      <c r="D635" s="87"/>
    </row>
    <row r="636" spans="2:4" ht="12.75" x14ac:dyDescent="0.2">
      <c r="B636" s="68"/>
      <c r="C636" s="87"/>
      <c r="D636" s="87"/>
    </row>
    <row r="637" spans="2:4" ht="12.75" x14ac:dyDescent="0.2">
      <c r="B637" s="68"/>
      <c r="C637" s="87"/>
      <c r="D637" s="87"/>
    </row>
    <row r="638" spans="2:4" ht="12.75" x14ac:dyDescent="0.2">
      <c r="B638" s="68"/>
      <c r="C638" s="87"/>
      <c r="D638" s="87"/>
    </row>
    <row r="639" spans="2:4" ht="12.75" x14ac:dyDescent="0.2">
      <c r="B639" s="68"/>
      <c r="C639" s="87"/>
      <c r="D639" s="87"/>
    </row>
    <row r="640" spans="2:4" ht="12.75" x14ac:dyDescent="0.2">
      <c r="B640" s="68"/>
      <c r="C640" s="87"/>
      <c r="D640" s="87"/>
    </row>
    <row r="641" spans="2:4" ht="12.75" x14ac:dyDescent="0.2">
      <c r="B641" s="68"/>
      <c r="C641" s="87"/>
      <c r="D641" s="87"/>
    </row>
    <row r="642" spans="2:4" ht="12.75" x14ac:dyDescent="0.2">
      <c r="B642" s="68"/>
      <c r="C642" s="87"/>
      <c r="D642" s="87"/>
    </row>
    <row r="643" spans="2:4" ht="12.75" x14ac:dyDescent="0.2">
      <c r="B643" s="68"/>
      <c r="C643" s="87"/>
      <c r="D643" s="87"/>
    </row>
    <row r="644" spans="2:4" ht="12.75" x14ac:dyDescent="0.2">
      <c r="B644" s="68"/>
      <c r="C644" s="87"/>
      <c r="D644" s="87"/>
    </row>
    <row r="645" spans="2:4" ht="12.75" x14ac:dyDescent="0.2">
      <c r="B645" s="68"/>
      <c r="C645" s="87"/>
      <c r="D645" s="87"/>
    </row>
    <row r="646" spans="2:4" ht="12.75" x14ac:dyDescent="0.2">
      <c r="B646" s="68"/>
      <c r="C646" s="87"/>
      <c r="D646" s="87"/>
    </row>
    <row r="647" spans="2:4" ht="12.75" x14ac:dyDescent="0.2">
      <c r="B647" s="68"/>
      <c r="C647" s="87"/>
      <c r="D647" s="87"/>
    </row>
    <row r="648" spans="2:4" ht="12.75" x14ac:dyDescent="0.2">
      <c r="B648" s="68"/>
      <c r="C648" s="87"/>
      <c r="D648" s="87"/>
    </row>
    <row r="649" spans="2:4" ht="12.75" x14ac:dyDescent="0.2">
      <c r="B649" s="68"/>
      <c r="C649" s="87"/>
      <c r="D649" s="87"/>
    </row>
    <row r="650" spans="2:4" ht="12.75" x14ac:dyDescent="0.2">
      <c r="B650" s="68"/>
      <c r="C650" s="87"/>
      <c r="D650" s="87"/>
    </row>
    <row r="651" spans="2:4" ht="12.75" x14ac:dyDescent="0.2">
      <c r="B651" s="68"/>
      <c r="C651" s="87"/>
      <c r="D651" s="87"/>
    </row>
    <row r="652" spans="2:4" ht="12.75" x14ac:dyDescent="0.2">
      <c r="B652" s="68"/>
      <c r="C652" s="87"/>
      <c r="D652" s="87"/>
    </row>
    <row r="653" spans="2:4" ht="12.75" x14ac:dyDescent="0.2">
      <c r="B653" s="68"/>
      <c r="C653" s="87"/>
      <c r="D653" s="87"/>
    </row>
    <row r="654" spans="2:4" ht="12.75" x14ac:dyDescent="0.2">
      <c r="B654" s="68"/>
      <c r="C654" s="87"/>
      <c r="D654" s="87"/>
    </row>
    <row r="655" spans="2:4" ht="12.75" x14ac:dyDescent="0.2">
      <c r="B655" s="68"/>
      <c r="C655" s="87"/>
      <c r="D655" s="87"/>
    </row>
    <row r="656" spans="2:4" ht="12.75" x14ac:dyDescent="0.2">
      <c r="B656" s="68"/>
      <c r="C656" s="87"/>
      <c r="D656" s="87"/>
    </row>
    <row r="657" spans="2:4" ht="12.75" x14ac:dyDescent="0.2">
      <c r="B657" s="68"/>
      <c r="C657" s="87"/>
      <c r="D657" s="87"/>
    </row>
    <row r="658" spans="2:4" ht="12.75" x14ac:dyDescent="0.2">
      <c r="B658" s="68"/>
      <c r="C658" s="87"/>
      <c r="D658" s="87"/>
    </row>
    <row r="659" spans="2:4" ht="12.75" x14ac:dyDescent="0.2">
      <c r="B659" s="68"/>
      <c r="C659" s="87"/>
      <c r="D659" s="87"/>
    </row>
    <row r="660" spans="2:4" ht="12.75" x14ac:dyDescent="0.2">
      <c r="B660" s="68"/>
      <c r="C660" s="87"/>
      <c r="D660" s="87"/>
    </row>
    <row r="661" spans="2:4" ht="12.75" x14ac:dyDescent="0.2">
      <c r="B661" s="68"/>
      <c r="C661" s="87"/>
      <c r="D661" s="87"/>
    </row>
    <row r="662" spans="2:4" ht="12.75" x14ac:dyDescent="0.2">
      <c r="B662" s="68"/>
      <c r="C662" s="87"/>
      <c r="D662" s="87"/>
    </row>
    <row r="663" spans="2:4" ht="12.75" x14ac:dyDescent="0.2">
      <c r="B663" s="68"/>
      <c r="C663" s="87"/>
      <c r="D663" s="87"/>
    </row>
    <row r="664" spans="2:4" ht="12.75" x14ac:dyDescent="0.2">
      <c r="B664" s="68"/>
      <c r="C664" s="87"/>
      <c r="D664" s="87"/>
    </row>
    <row r="665" spans="2:4" ht="12.75" x14ac:dyDescent="0.2">
      <c r="B665" s="68"/>
      <c r="C665" s="87"/>
      <c r="D665" s="87"/>
    </row>
    <row r="666" spans="2:4" ht="12.75" x14ac:dyDescent="0.2">
      <c r="B666" s="68"/>
      <c r="C666" s="87"/>
      <c r="D666" s="87"/>
    </row>
    <row r="667" spans="2:4" ht="12.75" x14ac:dyDescent="0.2">
      <c r="B667" s="68"/>
      <c r="C667" s="87"/>
      <c r="D667" s="87"/>
    </row>
    <row r="668" spans="2:4" ht="12.75" x14ac:dyDescent="0.2">
      <c r="B668" s="68"/>
      <c r="C668" s="87"/>
      <c r="D668" s="87"/>
    </row>
    <row r="669" spans="2:4" ht="12.75" x14ac:dyDescent="0.2">
      <c r="B669" s="68"/>
      <c r="C669" s="87"/>
      <c r="D669" s="87"/>
    </row>
    <row r="670" spans="2:4" ht="12.75" x14ac:dyDescent="0.2">
      <c r="B670" s="68"/>
      <c r="C670" s="87"/>
      <c r="D670" s="87"/>
    </row>
    <row r="671" spans="2:4" ht="12.75" x14ac:dyDescent="0.2">
      <c r="B671" s="68"/>
      <c r="C671" s="87"/>
      <c r="D671" s="87"/>
    </row>
    <row r="672" spans="2:4" ht="12.75" x14ac:dyDescent="0.2">
      <c r="B672" s="68"/>
      <c r="C672" s="87"/>
      <c r="D672" s="87"/>
    </row>
    <row r="673" spans="2:4" ht="12.75" x14ac:dyDescent="0.2">
      <c r="B673" s="68"/>
      <c r="C673" s="87"/>
      <c r="D673" s="87"/>
    </row>
    <row r="674" spans="2:4" ht="12.75" x14ac:dyDescent="0.2">
      <c r="B674" s="68"/>
      <c r="C674" s="87"/>
      <c r="D674" s="87"/>
    </row>
    <row r="675" spans="2:4" ht="12.75" x14ac:dyDescent="0.2">
      <c r="B675" s="68"/>
      <c r="C675" s="87"/>
      <c r="D675" s="87"/>
    </row>
    <row r="676" spans="2:4" ht="12.75" x14ac:dyDescent="0.2">
      <c r="B676" s="68"/>
      <c r="C676" s="87"/>
      <c r="D676" s="87"/>
    </row>
    <row r="677" spans="2:4" ht="12.75" x14ac:dyDescent="0.2">
      <c r="B677" s="68"/>
      <c r="C677" s="87"/>
      <c r="D677" s="87"/>
    </row>
    <row r="678" spans="2:4" ht="12.75" x14ac:dyDescent="0.2">
      <c r="B678" s="68"/>
      <c r="C678" s="87"/>
      <c r="D678" s="87"/>
    </row>
    <row r="679" spans="2:4" ht="12.75" x14ac:dyDescent="0.2">
      <c r="B679" s="68"/>
      <c r="C679" s="87"/>
      <c r="D679" s="87"/>
    </row>
    <row r="680" spans="2:4" ht="12.75" x14ac:dyDescent="0.2">
      <c r="B680" s="68"/>
      <c r="C680" s="87"/>
      <c r="D680" s="87"/>
    </row>
    <row r="681" spans="2:4" ht="12.75" x14ac:dyDescent="0.2">
      <c r="B681" s="68"/>
      <c r="C681" s="87"/>
      <c r="D681" s="87"/>
    </row>
    <row r="682" spans="2:4" ht="12.75" x14ac:dyDescent="0.2">
      <c r="B682" s="68"/>
      <c r="C682" s="87"/>
      <c r="D682" s="87"/>
    </row>
    <row r="683" spans="2:4" ht="12.75" x14ac:dyDescent="0.2">
      <c r="B683" s="68"/>
      <c r="C683" s="87"/>
      <c r="D683" s="87"/>
    </row>
    <row r="684" spans="2:4" ht="12.75" x14ac:dyDescent="0.2">
      <c r="B684" s="68"/>
      <c r="C684" s="87"/>
      <c r="D684" s="87"/>
    </row>
    <row r="685" spans="2:4" ht="12.75" x14ac:dyDescent="0.2">
      <c r="B685" s="68"/>
      <c r="C685" s="87"/>
      <c r="D685" s="87"/>
    </row>
    <row r="686" spans="2:4" ht="12.75" x14ac:dyDescent="0.2">
      <c r="B686" s="68"/>
      <c r="C686" s="87"/>
      <c r="D686" s="87"/>
    </row>
    <row r="687" spans="2:4" ht="12.75" x14ac:dyDescent="0.2">
      <c r="B687" s="68"/>
      <c r="C687" s="87"/>
      <c r="D687" s="87"/>
    </row>
    <row r="688" spans="2:4" ht="12.75" x14ac:dyDescent="0.2">
      <c r="B688" s="68"/>
      <c r="C688" s="87"/>
      <c r="D688" s="87"/>
    </row>
    <row r="689" spans="2:4" ht="12.75" x14ac:dyDescent="0.2">
      <c r="B689" s="68"/>
      <c r="C689" s="87"/>
      <c r="D689" s="87"/>
    </row>
    <row r="690" spans="2:4" ht="12.75" x14ac:dyDescent="0.2">
      <c r="B690" s="68"/>
      <c r="C690" s="87"/>
      <c r="D690" s="87"/>
    </row>
    <row r="691" spans="2:4" ht="12.75" x14ac:dyDescent="0.2">
      <c r="B691" s="68"/>
      <c r="C691" s="87"/>
      <c r="D691" s="87"/>
    </row>
    <row r="692" spans="2:4" ht="12.75" x14ac:dyDescent="0.2">
      <c r="B692" s="68"/>
      <c r="C692" s="87"/>
      <c r="D692" s="87"/>
    </row>
    <row r="693" spans="2:4" ht="12.75" x14ac:dyDescent="0.2">
      <c r="B693" s="68"/>
      <c r="C693" s="87"/>
      <c r="D693" s="87"/>
    </row>
    <row r="694" spans="2:4" ht="12.75" x14ac:dyDescent="0.2">
      <c r="B694" s="68"/>
      <c r="C694" s="87"/>
      <c r="D694" s="87"/>
    </row>
    <row r="695" spans="2:4" ht="12.75" x14ac:dyDescent="0.2">
      <c r="B695" s="68"/>
      <c r="C695" s="87"/>
      <c r="D695" s="87"/>
    </row>
    <row r="696" spans="2:4" ht="12.75" x14ac:dyDescent="0.2">
      <c r="B696" s="68"/>
      <c r="C696" s="87"/>
      <c r="D696" s="87"/>
    </row>
    <row r="697" spans="2:4" ht="12.75" x14ac:dyDescent="0.2">
      <c r="B697" s="68"/>
      <c r="C697" s="87"/>
      <c r="D697" s="87"/>
    </row>
    <row r="698" spans="2:4" ht="12.75" x14ac:dyDescent="0.2">
      <c r="B698" s="68"/>
      <c r="C698" s="87"/>
      <c r="D698" s="87"/>
    </row>
    <row r="699" spans="2:4" ht="12.75" x14ac:dyDescent="0.2">
      <c r="B699" s="68"/>
      <c r="C699" s="87"/>
      <c r="D699" s="87"/>
    </row>
    <row r="700" spans="2:4" ht="12.75" x14ac:dyDescent="0.2">
      <c r="B700" s="68"/>
      <c r="C700" s="87"/>
      <c r="D700" s="87"/>
    </row>
    <row r="701" spans="2:4" ht="12.75" x14ac:dyDescent="0.2">
      <c r="B701" s="68"/>
      <c r="C701" s="87"/>
      <c r="D701" s="87"/>
    </row>
    <row r="702" spans="2:4" ht="12.75" x14ac:dyDescent="0.2">
      <c r="B702" s="68"/>
      <c r="C702" s="87"/>
      <c r="D702" s="87"/>
    </row>
    <row r="703" spans="2:4" ht="12.75" x14ac:dyDescent="0.2">
      <c r="B703" s="68"/>
      <c r="C703" s="87"/>
      <c r="D703" s="87"/>
    </row>
    <row r="704" spans="2:4" ht="12.75" x14ac:dyDescent="0.2">
      <c r="B704" s="68"/>
      <c r="C704" s="87"/>
      <c r="D704" s="87"/>
    </row>
    <row r="705" spans="2:4" ht="12.75" x14ac:dyDescent="0.2">
      <c r="B705" s="68"/>
      <c r="C705" s="87"/>
      <c r="D705" s="87"/>
    </row>
    <row r="706" spans="2:4" ht="12.75" x14ac:dyDescent="0.2">
      <c r="B706" s="68"/>
      <c r="C706" s="87"/>
      <c r="D706" s="87"/>
    </row>
    <row r="707" spans="2:4" ht="12.75" x14ac:dyDescent="0.2">
      <c r="B707" s="68"/>
      <c r="C707" s="87"/>
      <c r="D707" s="87"/>
    </row>
    <row r="708" spans="2:4" ht="12.75" x14ac:dyDescent="0.2">
      <c r="B708" s="68"/>
      <c r="C708" s="87"/>
      <c r="D708" s="87"/>
    </row>
    <row r="709" spans="2:4" ht="12.75" x14ac:dyDescent="0.2">
      <c r="B709" s="68"/>
      <c r="C709" s="87"/>
      <c r="D709" s="87"/>
    </row>
    <row r="710" spans="2:4" ht="12.75" x14ac:dyDescent="0.2">
      <c r="B710" s="68"/>
      <c r="C710" s="87"/>
      <c r="D710" s="87"/>
    </row>
    <row r="711" spans="2:4" ht="12.75" x14ac:dyDescent="0.2">
      <c r="B711" s="68"/>
      <c r="C711" s="87"/>
      <c r="D711" s="87"/>
    </row>
    <row r="712" spans="2:4" ht="12.75" x14ac:dyDescent="0.2">
      <c r="B712" s="68"/>
      <c r="C712" s="87"/>
      <c r="D712" s="87"/>
    </row>
    <row r="713" spans="2:4" ht="12.75" x14ac:dyDescent="0.2">
      <c r="B713" s="68"/>
      <c r="C713" s="87"/>
      <c r="D713" s="87"/>
    </row>
    <row r="714" spans="2:4" ht="12.75" x14ac:dyDescent="0.2">
      <c r="B714" s="68"/>
      <c r="C714" s="87"/>
      <c r="D714" s="87"/>
    </row>
    <row r="715" spans="2:4" ht="12.75" x14ac:dyDescent="0.2">
      <c r="B715" s="68"/>
      <c r="C715" s="87"/>
      <c r="D715" s="87"/>
    </row>
    <row r="716" spans="2:4" ht="12.75" x14ac:dyDescent="0.2">
      <c r="B716" s="68"/>
      <c r="C716" s="87"/>
      <c r="D716" s="87"/>
    </row>
    <row r="717" spans="2:4" ht="12.75" x14ac:dyDescent="0.2">
      <c r="B717" s="68"/>
      <c r="C717" s="87"/>
      <c r="D717" s="87"/>
    </row>
    <row r="718" spans="2:4" ht="12.75" x14ac:dyDescent="0.2">
      <c r="B718" s="68"/>
      <c r="C718" s="87"/>
      <c r="D718" s="87"/>
    </row>
    <row r="719" spans="2:4" ht="12.75" x14ac:dyDescent="0.2">
      <c r="B719" s="68"/>
      <c r="C719" s="87"/>
      <c r="D719" s="87"/>
    </row>
    <row r="720" spans="2:4" ht="12.75" x14ac:dyDescent="0.2">
      <c r="B720" s="68"/>
      <c r="C720" s="87"/>
      <c r="D720" s="87"/>
    </row>
    <row r="721" spans="2:4" ht="12.75" x14ac:dyDescent="0.2">
      <c r="B721" s="68"/>
      <c r="C721" s="87"/>
      <c r="D721" s="87"/>
    </row>
    <row r="722" spans="2:4" ht="12.75" x14ac:dyDescent="0.2">
      <c r="B722" s="68"/>
      <c r="C722" s="87"/>
      <c r="D722" s="87"/>
    </row>
    <row r="723" spans="2:4" ht="12.75" x14ac:dyDescent="0.2">
      <c r="B723" s="68"/>
      <c r="C723" s="87"/>
      <c r="D723" s="87"/>
    </row>
    <row r="724" spans="2:4" ht="12.75" x14ac:dyDescent="0.2">
      <c r="B724" s="68"/>
      <c r="C724" s="87"/>
      <c r="D724" s="87"/>
    </row>
    <row r="725" spans="2:4" ht="12.75" x14ac:dyDescent="0.2">
      <c r="B725" s="68"/>
      <c r="C725" s="87"/>
      <c r="D725" s="87"/>
    </row>
    <row r="726" spans="2:4" ht="12.75" x14ac:dyDescent="0.2">
      <c r="B726" s="68"/>
      <c r="C726" s="87"/>
      <c r="D726" s="87"/>
    </row>
    <row r="727" spans="2:4" ht="12.75" x14ac:dyDescent="0.2">
      <c r="B727" s="68"/>
      <c r="C727" s="87"/>
      <c r="D727" s="87"/>
    </row>
    <row r="728" spans="2:4" ht="12.75" x14ac:dyDescent="0.2">
      <c r="B728" s="68"/>
      <c r="C728" s="87"/>
      <c r="D728" s="87"/>
    </row>
    <row r="729" spans="2:4" ht="12.75" x14ac:dyDescent="0.2">
      <c r="B729" s="68"/>
      <c r="C729" s="87"/>
      <c r="D729" s="87"/>
    </row>
    <row r="730" spans="2:4" ht="12.75" x14ac:dyDescent="0.2">
      <c r="B730" s="68"/>
      <c r="C730" s="87"/>
      <c r="D730" s="87"/>
    </row>
    <row r="731" spans="2:4" ht="12.75" x14ac:dyDescent="0.2">
      <c r="B731" s="68"/>
      <c r="C731" s="87"/>
      <c r="D731" s="87"/>
    </row>
    <row r="732" spans="2:4" ht="12.75" x14ac:dyDescent="0.2">
      <c r="B732" s="68"/>
      <c r="C732" s="87"/>
      <c r="D732" s="87"/>
    </row>
    <row r="733" spans="2:4" ht="12.75" x14ac:dyDescent="0.2">
      <c r="B733" s="68"/>
      <c r="C733" s="87"/>
      <c r="D733" s="87"/>
    </row>
    <row r="734" spans="2:4" ht="12.75" x14ac:dyDescent="0.2">
      <c r="B734" s="68"/>
      <c r="C734" s="87"/>
      <c r="D734" s="87"/>
    </row>
    <row r="735" spans="2:4" ht="12.75" x14ac:dyDescent="0.2">
      <c r="B735" s="68"/>
      <c r="C735" s="87"/>
      <c r="D735" s="87"/>
    </row>
    <row r="736" spans="2:4" ht="12.75" x14ac:dyDescent="0.2">
      <c r="B736" s="68"/>
      <c r="C736" s="87"/>
      <c r="D736" s="87"/>
    </row>
    <row r="737" spans="2:4" ht="12.75" x14ac:dyDescent="0.2">
      <c r="B737" s="68"/>
      <c r="C737" s="87"/>
      <c r="D737" s="87"/>
    </row>
    <row r="738" spans="2:4" ht="12.75" x14ac:dyDescent="0.2">
      <c r="B738" s="68"/>
      <c r="C738" s="87"/>
      <c r="D738" s="87"/>
    </row>
    <row r="739" spans="2:4" ht="12.75" x14ac:dyDescent="0.2">
      <c r="B739" s="68"/>
      <c r="C739" s="87"/>
      <c r="D739" s="87"/>
    </row>
    <row r="740" spans="2:4" ht="12.75" x14ac:dyDescent="0.2">
      <c r="B740" s="68"/>
      <c r="C740" s="87"/>
      <c r="D740" s="87"/>
    </row>
    <row r="741" spans="2:4" ht="12.75" x14ac:dyDescent="0.2">
      <c r="B741" s="68"/>
      <c r="C741" s="87"/>
      <c r="D741" s="87"/>
    </row>
    <row r="742" spans="2:4" ht="12.75" x14ac:dyDescent="0.2">
      <c r="B742" s="68"/>
      <c r="C742" s="87"/>
      <c r="D742" s="87"/>
    </row>
    <row r="743" spans="2:4" ht="12.75" x14ac:dyDescent="0.2">
      <c r="B743" s="68"/>
      <c r="C743" s="87"/>
      <c r="D743" s="87"/>
    </row>
    <row r="744" spans="2:4" ht="12.75" x14ac:dyDescent="0.2">
      <c r="B744" s="68"/>
      <c r="C744" s="87"/>
      <c r="D744" s="87"/>
    </row>
    <row r="745" spans="2:4" ht="12.75" x14ac:dyDescent="0.2">
      <c r="B745" s="68"/>
      <c r="C745" s="87"/>
      <c r="D745" s="87"/>
    </row>
    <row r="746" spans="2:4" ht="12.75" x14ac:dyDescent="0.2">
      <c r="B746" s="68"/>
      <c r="C746" s="87"/>
      <c r="D746" s="87"/>
    </row>
    <row r="747" spans="2:4" ht="12.75" x14ac:dyDescent="0.2">
      <c r="B747" s="68"/>
      <c r="C747" s="87"/>
      <c r="D747" s="87"/>
    </row>
    <row r="748" spans="2:4" ht="12.75" x14ac:dyDescent="0.2">
      <c r="B748" s="68"/>
      <c r="C748" s="87"/>
      <c r="D748" s="87"/>
    </row>
    <row r="749" spans="2:4" ht="12.75" x14ac:dyDescent="0.2">
      <c r="B749" s="68"/>
      <c r="C749" s="87"/>
      <c r="D749" s="87"/>
    </row>
    <row r="750" spans="2:4" ht="12.75" x14ac:dyDescent="0.2">
      <c r="B750" s="68"/>
      <c r="C750" s="87"/>
      <c r="D750" s="87"/>
    </row>
    <row r="751" spans="2:4" ht="12.75" x14ac:dyDescent="0.2">
      <c r="B751" s="68"/>
      <c r="C751" s="87"/>
      <c r="D751" s="87"/>
    </row>
    <row r="752" spans="2:4" ht="12.75" x14ac:dyDescent="0.2">
      <c r="B752" s="68"/>
      <c r="C752" s="87"/>
      <c r="D752" s="87"/>
    </row>
    <row r="753" spans="2:4" ht="12.75" x14ac:dyDescent="0.2">
      <c r="B753" s="68"/>
      <c r="C753" s="87"/>
      <c r="D753" s="87"/>
    </row>
    <row r="754" spans="2:4" ht="12.75" x14ac:dyDescent="0.2">
      <c r="B754" s="68"/>
      <c r="C754" s="87"/>
      <c r="D754" s="87"/>
    </row>
    <row r="755" spans="2:4" ht="12.75" x14ac:dyDescent="0.2">
      <c r="B755" s="68"/>
      <c r="C755" s="87"/>
      <c r="D755" s="87"/>
    </row>
    <row r="756" spans="2:4" ht="12.75" x14ac:dyDescent="0.2">
      <c r="B756" s="68"/>
      <c r="C756" s="87"/>
      <c r="D756" s="87"/>
    </row>
    <row r="757" spans="2:4" ht="12.75" x14ac:dyDescent="0.2">
      <c r="B757" s="68"/>
      <c r="C757" s="87"/>
      <c r="D757" s="87"/>
    </row>
    <row r="758" spans="2:4" ht="12.75" x14ac:dyDescent="0.2">
      <c r="B758" s="68"/>
      <c r="C758" s="87"/>
      <c r="D758" s="87"/>
    </row>
    <row r="759" spans="2:4" ht="12.75" x14ac:dyDescent="0.2">
      <c r="B759" s="68"/>
      <c r="C759" s="87"/>
      <c r="D759" s="87"/>
    </row>
    <row r="760" spans="2:4" ht="12.75" x14ac:dyDescent="0.2">
      <c r="B760" s="68"/>
      <c r="C760" s="87"/>
      <c r="D760" s="87"/>
    </row>
    <row r="761" spans="2:4" ht="12.75" x14ac:dyDescent="0.2">
      <c r="B761" s="68"/>
      <c r="C761" s="87"/>
      <c r="D761" s="87"/>
    </row>
    <row r="762" spans="2:4" ht="12.75" x14ac:dyDescent="0.2">
      <c r="B762" s="68"/>
      <c r="C762" s="87"/>
      <c r="D762" s="87"/>
    </row>
    <row r="763" spans="2:4" ht="12.75" x14ac:dyDescent="0.2">
      <c r="B763" s="68"/>
      <c r="C763" s="87"/>
      <c r="D763" s="87"/>
    </row>
    <row r="764" spans="2:4" ht="12.75" x14ac:dyDescent="0.2">
      <c r="B764" s="68"/>
      <c r="C764" s="87"/>
      <c r="D764" s="87"/>
    </row>
    <row r="765" spans="2:4" ht="12.75" x14ac:dyDescent="0.2">
      <c r="B765" s="68"/>
      <c r="C765" s="87"/>
      <c r="D765" s="87"/>
    </row>
    <row r="766" spans="2:4" ht="12.75" x14ac:dyDescent="0.2">
      <c r="B766" s="68"/>
      <c r="C766" s="87"/>
      <c r="D766" s="87"/>
    </row>
    <row r="767" spans="2:4" ht="12.75" x14ac:dyDescent="0.2">
      <c r="B767" s="68"/>
      <c r="C767" s="87"/>
      <c r="D767" s="87"/>
    </row>
    <row r="768" spans="2:4" ht="12.75" x14ac:dyDescent="0.2">
      <c r="B768" s="68"/>
      <c r="C768" s="87"/>
      <c r="D768" s="87"/>
    </row>
    <row r="769" spans="2:4" ht="12.75" x14ac:dyDescent="0.2">
      <c r="B769" s="68"/>
      <c r="C769" s="87"/>
      <c r="D769" s="87"/>
    </row>
    <row r="770" spans="2:4" ht="12.75" x14ac:dyDescent="0.2">
      <c r="B770" s="68"/>
      <c r="C770" s="87"/>
      <c r="D770" s="87"/>
    </row>
    <row r="771" spans="2:4" ht="12.75" x14ac:dyDescent="0.2">
      <c r="B771" s="68"/>
      <c r="C771" s="87"/>
      <c r="D771" s="87"/>
    </row>
    <row r="772" spans="2:4" ht="12.75" x14ac:dyDescent="0.2">
      <c r="B772" s="68"/>
      <c r="C772" s="87"/>
      <c r="D772" s="87"/>
    </row>
    <row r="773" spans="2:4" ht="12.75" x14ac:dyDescent="0.2">
      <c r="B773" s="68"/>
      <c r="C773" s="87"/>
      <c r="D773" s="87"/>
    </row>
    <row r="774" spans="2:4" ht="12.75" x14ac:dyDescent="0.2">
      <c r="B774" s="68"/>
      <c r="C774" s="87"/>
      <c r="D774" s="87"/>
    </row>
    <row r="775" spans="2:4" ht="12.75" x14ac:dyDescent="0.2">
      <c r="B775" s="68"/>
      <c r="C775" s="87"/>
      <c r="D775" s="87"/>
    </row>
    <row r="776" spans="2:4" ht="12.75" x14ac:dyDescent="0.2">
      <c r="B776" s="68"/>
      <c r="C776" s="87"/>
      <c r="D776" s="87"/>
    </row>
    <row r="777" spans="2:4" ht="12.75" x14ac:dyDescent="0.2">
      <c r="B777" s="68"/>
      <c r="C777" s="87"/>
      <c r="D777" s="87"/>
    </row>
    <row r="778" spans="2:4" ht="12.75" x14ac:dyDescent="0.2">
      <c r="B778" s="68"/>
      <c r="C778" s="87"/>
      <c r="D778" s="87"/>
    </row>
    <row r="779" spans="2:4" ht="12.75" x14ac:dyDescent="0.2">
      <c r="B779" s="68"/>
      <c r="C779" s="87"/>
      <c r="D779" s="87"/>
    </row>
    <row r="780" spans="2:4" ht="12.75" x14ac:dyDescent="0.2">
      <c r="B780" s="68"/>
      <c r="C780" s="87"/>
      <c r="D780" s="87"/>
    </row>
    <row r="781" spans="2:4" ht="12.75" x14ac:dyDescent="0.2">
      <c r="B781" s="68"/>
      <c r="C781" s="87"/>
      <c r="D781" s="87"/>
    </row>
    <row r="782" spans="2:4" ht="12.75" x14ac:dyDescent="0.2">
      <c r="B782" s="68"/>
      <c r="C782" s="87"/>
      <c r="D782" s="87"/>
    </row>
    <row r="783" spans="2:4" ht="12.75" x14ac:dyDescent="0.2">
      <c r="B783" s="68"/>
      <c r="C783" s="87"/>
      <c r="D783" s="87"/>
    </row>
    <row r="784" spans="2:4" ht="12.75" x14ac:dyDescent="0.2">
      <c r="B784" s="68"/>
      <c r="C784" s="87"/>
      <c r="D784" s="87"/>
    </row>
    <row r="785" spans="2:4" ht="12.75" x14ac:dyDescent="0.2">
      <c r="B785" s="68"/>
      <c r="C785" s="87"/>
      <c r="D785" s="87"/>
    </row>
    <row r="786" spans="2:4" ht="12.75" x14ac:dyDescent="0.2">
      <c r="B786" s="68"/>
      <c r="C786" s="87"/>
      <c r="D786" s="87"/>
    </row>
    <row r="787" spans="2:4" ht="12.75" x14ac:dyDescent="0.2">
      <c r="B787" s="68"/>
      <c r="C787" s="87"/>
      <c r="D787" s="87"/>
    </row>
    <row r="788" spans="2:4" ht="12.75" x14ac:dyDescent="0.2">
      <c r="B788" s="68"/>
      <c r="C788" s="87"/>
      <c r="D788" s="87"/>
    </row>
    <row r="789" spans="2:4" ht="12.75" x14ac:dyDescent="0.2">
      <c r="B789" s="68"/>
      <c r="C789" s="87"/>
      <c r="D789" s="87"/>
    </row>
    <row r="790" spans="2:4" ht="12.75" x14ac:dyDescent="0.2">
      <c r="B790" s="68"/>
      <c r="C790" s="87"/>
      <c r="D790" s="87"/>
    </row>
    <row r="791" spans="2:4" ht="12.75" x14ac:dyDescent="0.2">
      <c r="B791" s="68"/>
      <c r="C791" s="87"/>
      <c r="D791" s="87"/>
    </row>
    <row r="792" spans="2:4" ht="12.75" x14ac:dyDescent="0.2">
      <c r="B792" s="68"/>
      <c r="C792" s="87"/>
      <c r="D792" s="87"/>
    </row>
    <row r="793" spans="2:4" ht="12.75" x14ac:dyDescent="0.2">
      <c r="B793" s="68"/>
      <c r="C793" s="87"/>
      <c r="D793" s="87"/>
    </row>
    <row r="794" spans="2:4" ht="12.75" x14ac:dyDescent="0.2">
      <c r="B794" s="68"/>
      <c r="C794" s="87"/>
      <c r="D794" s="87"/>
    </row>
    <row r="795" spans="2:4" ht="12.75" x14ac:dyDescent="0.2">
      <c r="B795" s="68"/>
      <c r="C795" s="87"/>
      <c r="D795" s="87"/>
    </row>
    <row r="796" spans="2:4" ht="12.75" x14ac:dyDescent="0.2">
      <c r="B796" s="68"/>
      <c r="C796" s="87"/>
      <c r="D796" s="87"/>
    </row>
    <row r="797" spans="2:4" ht="12.75" x14ac:dyDescent="0.2">
      <c r="B797" s="68"/>
      <c r="C797" s="87"/>
      <c r="D797" s="87"/>
    </row>
    <row r="798" spans="2:4" ht="12.75" x14ac:dyDescent="0.2">
      <c r="B798" s="68"/>
      <c r="C798" s="87"/>
      <c r="D798" s="87"/>
    </row>
    <row r="799" spans="2:4" ht="12.75" x14ac:dyDescent="0.2">
      <c r="B799" s="68"/>
      <c r="C799" s="87"/>
      <c r="D799" s="87"/>
    </row>
    <row r="800" spans="2:4" ht="12.75" x14ac:dyDescent="0.2">
      <c r="B800" s="68"/>
      <c r="C800" s="87"/>
      <c r="D800" s="87"/>
    </row>
    <row r="801" spans="2:4" ht="12.75" x14ac:dyDescent="0.2">
      <c r="B801" s="68"/>
      <c r="C801" s="87"/>
      <c r="D801" s="87"/>
    </row>
    <row r="802" spans="2:4" ht="12.75" x14ac:dyDescent="0.2">
      <c r="B802" s="68"/>
      <c r="C802" s="87"/>
      <c r="D802" s="87"/>
    </row>
    <row r="803" spans="2:4" ht="12.75" x14ac:dyDescent="0.2">
      <c r="B803" s="68"/>
      <c r="C803" s="87"/>
      <c r="D803" s="87"/>
    </row>
    <row r="804" spans="2:4" ht="12.75" x14ac:dyDescent="0.2">
      <c r="B804" s="68"/>
      <c r="C804" s="87"/>
      <c r="D804" s="87"/>
    </row>
    <row r="805" spans="2:4" ht="12.75" x14ac:dyDescent="0.2">
      <c r="B805" s="68"/>
      <c r="C805" s="87"/>
      <c r="D805" s="87"/>
    </row>
    <row r="806" spans="2:4" ht="12.75" x14ac:dyDescent="0.2">
      <c r="B806" s="68"/>
      <c r="C806" s="87"/>
      <c r="D806" s="87"/>
    </row>
    <row r="807" spans="2:4" ht="12.75" x14ac:dyDescent="0.2">
      <c r="B807" s="68"/>
      <c r="C807" s="87"/>
      <c r="D807" s="87"/>
    </row>
    <row r="808" spans="2:4" ht="12.75" x14ac:dyDescent="0.2">
      <c r="B808" s="68"/>
      <c r="C808" s="87"/>
      <c r="D808" s="87"/>
    </row>
    <row r="809" spans="2:4" ht="12.75" x14ac:dyDescent="0.2">
      <c r="B809" s="68"/>
      <c r="C809" s="87"/>
      <c r="D809" s="87"/>
    </row>
    <row r="810" spans="2:4" ht="12.75" x14ac:dyDescent="0.2">
      <c r="B810" s="68"/>
      <c r="C810" s="87"/>
      <c r="D810" s="87"/>
    </row>
    <row r="811" spans="2:4" ht="12.75" x14ac:dyDescent="0.2">
      <c r="B811" s="68"/>
      <c r="C811" s="87"/>
      <c r="D811" s="87"/>
    </row>
    <row r="812" spans="2:4" ht="12.75" x14ac:dyDescent="0.2">
      <c r="B812" s="68"/>
      <c r="C812" s="87"/>
      <c r="D812" s="87"/>
    </row>
    <row r="813" spans="2:4" ht="12.75" x14ac:dyDescent="0.2">
      <c r="B813" s="68"/>
      <c r="C813" s="87"/>
      <c r="D813" s="87"/>
    </row>
    <row r="814" spans="2:4" ht="12.75" x14ac:dyDescent="0.2">
      <c r="B814" s="68"/>
      <c r="C814" s="87"/>
      <c r="D814" s="87"/>
    </row>
    <row r="815" spans="2:4" ht="12.75" x14ac:dyDescent="0.2">
      <c r="B815" s="68"/>
      <c r="C815" s="87"/>
      <c r="D815" s="87"/>
    </row>
    <row r="816" spans="2:4" ht="12.75" x14ac:dyDescent="0.2">
      <c r="B816" s="68"/>
      <c r="C816" s="87"/>
      <c r="D816" s="87"/>
    </row>
    <row r="817" spans="2:4" ht="12.75" x14ac:dyDescent="0.2">
      <c r="B817" s="68"/>
      <c r="C817" s="87"/>
      <c r="D817" s="87"/>
    </row>
    <row r="818" spans="2:4" ht="12.75" x14ac:dyDescent="0.2">
      <c r="B818" s="68"/>
      <c r="C818" s="87"/>
      <c r="D818" s="87"/>
    </row>
    <row r="819" spans="2:4" ht="12.75" x14ac:dyDescent="0.2">
      <c r="B819" s="68"/>
      <c r="C819" s="87"/>
      <c r="D819" s="87"/>
    </row>
    <row r="820" spans="2:4" ht="12.75" x14ac:dyDescent="0.2">
      <c r="B820" s="68"/>
      <c r="C820" s="87"/>
      <c r="D820" s="87"/>
    </row>
    <row r="821" spans="2:4" ht="12.75" x14ac:dyDescent="0.2">
      <c r="B821" s="68"/>
      <c r="C821" s="87"/>
      <c r="D821" s="87"/>
    </row>
    <row r="822" spans="2:4" ht="12.75" x14ac:dyDescent="0.2">
      <c r="B822" s="68"/>
      <c r="C822" s="87"/>
      <c r="D822" s="87"/>
    </row>
    <row r="823" spans="2:4" ht="12.75" x14ac:dyDescent="0.2">
      <c r="B823" s="68"/>
      <c r="C823" s="87"/>
      <c r="D823" s="87"/>
    </row>
    <row r="824" spans="2:4" ht="12.75" x14ac:dyDescent="0.2">
      <c r="B824" s="68"/>
      <c r="C824" s="87"/>
      <c r="D824" s="87"/>
    </row>
    <row r="825" spans="2:4" ht="12.75" x14ac:dyDescent="0.2">
      <c r="B825" s="68"/>
      <c r="C825" s="87"/>
      <c r="D825" s="87"/>
    </row>
    <row r="826" spans="2:4" ht="12.75" x14ac:dyDescent="0.2">
      <c r="B826" s="68"/>
      <c r="C826" s="87"/>
      <c r="D826" s="87"/>
    </row>
    <row r="827" spans="2:4" ht="12.75" x14ac:dyDescent="0.2">
      <c r="B827" s="68"/>
      <c r="C827" s="87"/>
      <c r="D827" s="87"/>
    </row>
    <row r="828" spans="2:4" ht="12.75" x14ac:dyDescent="0.2">
      <c r="B828" s="68"/>
      <c r="C828" s="87"/>
      <c r="D828" s="87"/>
    </row>
    <row r="829" spans="2:4" ht="12.75" x14ac:dyDescent="0.2">
      <c r="B829" s="68"/>
      <c r="C829" s="87"/>
      <c r="D829" s="87"/>
    </row>
    <row r="830" spans="2:4" ht="12.75" x14ac:dyDescent="0.2">
      <c r="B830" s="68"/>
      <c r="C830" s="87"/>
      <c r="D830" s="87"/>
    </row>
    <row r="831" spans="2:4" ht="12.75" x14ac:dyDescent="0.2">
      <c r="B831" s="68"/>
      <c r="C831" s="87"/>
      <c r="D831" s="87"/>
    </row>
    <row r="832" spans="2:4" ht="12.75" x14ac:dyDescent="0.2">
      <c r="B832" s="68"/>
      <c r="C832" s="87"/>
      <c r="D832" s="87"/>
    </row>
    <row r="833" spans="2:4" ht="12.75" x14ac:dyDescent="0.2">
      <c r="B833" s="68"/>
      <c r="C833" s="87"/>
      <c r="D833" s="87"/>
    </row>
    <row r="834" spans="2:4" ht="12.75" x14ac:dyDescent="0.2">
      <c r="B834" s="68"/>
      <c r="C834" s="87"/>
      <c r="D834" s="87"/>
    </row>
    <row r="835" spans="2:4" ht="12.75" x14ac:dyDescent="0.2">
      <c r="B835" s="68"/>
      <c r="C835" s="87"/>
      <c r="D835" s="87"/>
    </row>
    <row r="836" spans="2:4" ht="12.75" x14ac:dyDescent="0.2">
      <c r="B836" s="68"/>
      <c r="C836" s="87"/>
      <c r="D836" s="87"/>
    </row>
    <row r="837" spans="2:4" ht="12.75" x14ac:dyDescent="0.2">
      <c r="B837" s="68"/>
      <c r="C837" s="87"/>
      <c r="D837" s="87"/>
    </row>
    <row r="838" spans="2:4" ht="12.75" x14ac:dyDescent="0.2">
      <c r="B838" s="68"/>
      <c r="C838" s="87"/>
      <c r="D838" s="87"/>
    </row>
    <row r="839" spans="2:4" ht="12.75" x14ac:dyDescent="0.2">
      <c r="B839" s="68"/>
      <c r="C839" s="87"/>
      <c r="D839" s="87"/>
    </row>
    <row r="840" spans="2:4" ht="12.75" x14ac:dyDescent="0.2">
      <c r="B840" s="68"/>
      <c r="C840" s="87"/>
      <c r="D840" s="87"/>
    </row>
    <row r="841" spans="2:4" ht="12.75" x14ac:dyDescent="0.2">
      <c r="B841" s="68"/>
      <c r="C841" s="87"/>
      <c r="D841" s="87"/>
    </row>
    <row r="842" spans="2:4" ht="12.75" x14ac:dyDescent="0.2">
      <c r="B842" s="68"/>
      <c r="C842" s="87"/>
      <c r="D842" s="87"/>
    </row>
    <row r="843" spans="2:4" ht="12.75" x14ac:dyDescent="0.2">
      <c r="B843" s="68"/>
      <c r="C843" s="87"/>
      <c r="D843" s="87"/>
    </row>
    <row r="844" spans="2:4" ht="12.75" x14ac:dyDescent="0.2">
      <c r="B844" s="68"/>
      <c r="C844" s="87"/>
      <c r="D844" s="87"/>
    </row>
    <row r="845" spans="2:4" ht="12.75" x14ac:dyDescent="0.2">
      <c r="B845" s="68"/>
      <c r="C845" s="87"/>
      <c r="D845" s="87"/>
    </row>
    <row r="846" spans="2:4" ht="12.75" x14ac:dyDescent="0.2">
      <c r="B846" s="68"/>
      <c r="C846" s="87"/>
      <c r="D846" s="87"/>
    </row>
    <row r="847" spans="2:4" ht="12.75" x14ac:dyDescent="0.2">
      <c r="B847" s="68"/>
      <c r="C847" s="87"/>
      <c r="D847" s="87"/>
    </row>
    <row r="848" spans="2:4" ht="12.75" x14ac:dyDescent="0.2">
      <c r="B848" s="68"/>
      <c r="C848" s="87"/>
      <c r="D848" s="87"/>
    </row>
    <row r="849" spans="2:4" ht="12.75" x14ac:dyDescent="0.2">
      <c r="B849" s="68"/>
      <c r="C849" s="87"/>
      <c r="D849" s="87"/>
    </row>
    <row r="850" spans="2:4" ht="12.75" x14ac:dyDescent="0.2">
      <c r="B850" s="68"/>
      <c r="C850" s="87"/>
      <c r="D850" s="87"/>
    </row>
    <row r="851" spans="2:4" ht="12.75" x14ac:dyDescent="0.2">
      <c r="B851" s="68"/>
      <c r="C851" s="87"/>
      <c r="D851" s="87"/>
    </row>
    <row r="852" spans="2:4" ht="12.75" x14ac:dyDescent="0.2">
      <c r="B852" s="68"/>
      <c r="C852" s="87"/>
      <c r="D852" s="87"/>
    </row>
    <row r="853" spans="2:4" ht="12.75" x14ac:dyDescent="0.2">
      <c r="B853" s="68"/>
      <c r="C853" s="87"/>
      <c r="D853" s="87"/>
    </row>
    <row r="854" spans="2:4" ht="12.75" x14ac:dyDescent="0.2">
      <c r="B854" s="68"/>
      <c r="C854" s="87"/>
      <c r="D854" s="87"/>
    </row>
    <row r="855" spans="2:4" ht="12.75" x14ac:dyDescent="0.2">
      <c r="B855" s="68"/>
      <c r="C855" s="87"/>
      <c r="D855" s="87"/>
    </row>
    <row r="856" spans="2:4" ht="12.75" x14ac:dyDescent="0.2">
      <c r="B856" s="68"/>
      <c r="C856" s="87"/>
      <c r="D856" s="87"/>
    </row>
    <row r="857" spans="2:4" ht="12.75" x14ac:dyDescent="0.2">
      <c r="B857" s="68"/>
      <c r="C857" s="87"/>
      <c r="D857" s="87"/>
    </row>
    <row r="858" spans="2:4" ht="12.75" x14ac:dyDescent="0.2">
      <c r="B858" s="68"/>
      <c r="C858" s="87"/>
      <c r="D858" s="87"/>
    </row>
    <row r="859" spans="2:4" ht="12.75" x14ac:dyDescent="0.2">
      <c r="B859" s="68"/>
      <c r="C859" s="87"/>
      <c r="D859" s="87"/>
    </row>
    <row r="860" spans="2:4" ht="12.75" x14ac:dyDescent="0.2">
      <c r="B860" s="68"/>
      <c r="C860" s="87"/>
      <c r="D860" s="87"/>
    </row>
    <row r="861" spans="2:4" ht="12.75" x14ac:dyDescent="0.2">
      <c r="B861" s="68"/>
      <c r="C861" s="87"/>
      <c r="D861" s="87"/>
    </row>
    <row r="862" spans="2:4" ht="12.75" x14ac:dyDescent="0.2">
      <c r="B862" s="68"/>
      <c r="C862" s="87"/>
      <c r="D862" s="87"/>
    </row>
    <row r="863" spans="2:4" ht="12.75" x14ac:dyDescent="0.2">
      <c r="B863" s="68"/>
      <c r="C863" s="87"/>
      <c r="D863" s="87"/>
    </row>
    <row r="864" spans="2:4" ht="12.75" x14ac:dyDescent="0.2">
      <c r="B864" s="68"/>
      <c r="C864" s="87"/>
      <c r="D864" s="87"/>
    </row>
    <row r="865" spans="2:4" ht="12.75" x14ac:dyDescent="0.2">
      <c r="B865" s="68"/>
      <c r="C865" s="87"/>
      <c r="D865" s="87"/>
    </row>
    <row r="866" spans="2:4" ht="12.75" x14ac:dyDescent="0.2">
      <c r="B866" s="68"/>
      <c r="C866" s="87"/>
      <c r="D866" s="87"/>
    </row>
    <row r="867" spans="2:4" ht="12.75" x14ac:dyDescent="0.2">
      <c r="B867" s="68"/>
      <c r="C867" s="87"/>
      <c r="D867" s="87"/>
    </row>
    <row r="868" spans="2:4" ht="12.75" x14ac:dyDescent="0.2">
      <c r="B868" s="68"/>
      <c r="C868" s="87"/>
      <c r="D868" s="87"/>
    </row>
    <row r="869" spans="2:4" ht="12.75" x14ac:dyDescent="0.2">
      <c r="B869" s="68"/>
      <c r="C869" s="87"/>
      <c r="D869" s="87"/>
    </row>
    <row r="870" spans="2:4" ht="12.75" x14ac:dyDescent="0.2">
      <c r="B870" s="68"/>
      <c r="C870" s="87"/>
      <c r="D870" s="87"/>
    </row>
    <row r="871" spans="2:4" ht="12.75" x14ac:dyDescent="0.2">
      <c r="B871" s="68"/>
      <c r="C871" s="87"/>
      <c r="D871" s="87"/>
    </row>
    <row r="872" spans="2:4" ht="12.75" x14ac:dyDescent="0.2">
      <c r="B872" s="68"/>
      <c r="C872" s="87"/>
      <c r="D872" s="87"/>
    </row>
    <row r="873" spans="2:4" ht="12.75" x14ac:dyDescent="0.2">
      <c r="B873" s="68"/>
      <c r="C873" s="87"/>
      <c r="D873" s="87"/>
    </row>
    <row r="874" spans="2:4" ht="12.75" x14ac:dyDescent="0.2">
      <c r="B874" s="68"/>
      <c r="C874" s="87"/>
      <c r="D874" s="87"/>
    </row>
    <row r="875" spans="2:4" ht="12.75" x14ac:dyDescent="0.2">
      <c r="B875" s="68"/>
      <c r="C875" s="87"/>
      <c r="D875" s="87"/>
    </row>
    <row r="876" spans="2:4" ht="12.75" x14ac:dyDescent="0.2">
      <c r="B876" s="68"/>
      <c r="C876" s="87"/>
      <c r="D876" s="87"/>
    </row>
    <row r="877" spans="2:4" ht="12.75" x14ac:dyDescent="0.2">
      <c r="B877" s="68"/>
      <c r="C877" s="87"/>
      <c r="D877" s="87"/>
    </row>
    <row r="878" spans="2:4" ht="12.75" x14ac:dyDescent="0.2">
      <c r="B878" s="68"/>
      <c r="C878" s="87"/>
      <c r="D878" s="87"/>
    </row>
    <row r="879" spans="2:4" ht="12.75" x14ac:dyDescent="0.2">
      <c r="B879" s="68"/>
      <c r="C879" s="87"/>
      <c r="D879" s="87"/>
    </row>
    <row r="880" spans="2:4" ht="12.75" x14ac:dyDescent="0.2">
      <c r="B880" s="68"/>
      <c r="C880" s="87"/>
      <c r="D880" s="87"/>
    </row>
    <row r="881" spans="2:4" ht="12.75" x14ac:dyDescent="0.2">
      <c r="B881" s="68"/>
      <c r="C881" s="87"/>
      <c r="D881" s="87"/>
    </row>
    <row r="882" spans="2:4" ht="12.75" x14ac:dyDescent="0.2">
      <c r="B882" s="68"/>
      <c r="C882" s="87"/>
      <c r="D882" s="87"/>
    </row>
    <row r="883" spans="2:4" ht="12.75" x14ac:dyDescent="0.2">
      <c r="B883" s="68"/>
      <c r="C883" s="87"/>
      <c r="D883" s="87"/>
    </row>
    <row r="884" spans="2:4" ht="12.75" x14ac:dyDescent="0.2">
      <c r="B884" s="68"/>
      <c r="C884" s="87"/>
      <c r="D884" s="87"/>
    </row>
    <row r="885" spans="2:4" ht="12.75" x14ac:dyDescent="0.2">
      <c r="B885" s="68"/>
      <c r="C885" s="87"/>
      <c r="D885" s="87"/>
    </row>
    <row r="886" spans="2:4" ht="12.75" x14ac:dyDescent="0.2">
      <c r="B886" s="68"/>
      <c r="C886" s="87"/>
      <c r="D886" s="87"/>
    </row>
    <row r="887" spans="2:4" ht="12.75" x14ac:dyDescent="0.2">
      <c r="B887" s="68"/>
      <c r="C887" s="87"/>
      <c r="D887" s="87"/>
    </row>
    <row r="888" spans="2:4" ht="12.75" x14ac:dyDescent="0.2">
      <c r="B888" s="68"/>
      <c r="C888" s="87"/>
      <c r="D888" s="87"/>
    </row>
    <row r="889" spans="2:4" ht="12.75" x14ac:dyDescent="0.2">
      <c r="B889" s="68"/>
      <c r="C889" s="87"/>
      <c r="D889" s="87"/>
    </row>
    <row r="890" spans="2:4" ht="12.75" x14ac:dyDescent="0.2">
      <c r="B890" s="68"/>
      <c r="C890" s="87"/>
      <c r="D890" s="87"/>
    </row>
    <row r="891" spans="2:4" ht="12.75" x14ac:dyDescent="0.2">
      <c r="B891" s="68"/>
      <c r="C891" s="87"/>
      <c r="D891" s="87"/>
    </row>
    <row r="892" spans="2:4" ht="12.75" x14ac:dyDescent="0.2">
      <c r="B892" s="68"/>
      <c r="C892" s="87"/>
      <c r="D892" s="87"/>
    </row>
    <row r="893" spans="2:4" ht="12.75" x14ac:dyDescent="0.2">
      <c r="B893" s="68"/>
      <c r="C893" s="87"/>
      <c r="D893" s="87"/>
    </row>
    <row r="894" spans="2:4" ht="12.75" x14ac:dyDescent="0.2">
      <c r="B894" s="68"/>
      <c r="C894" s="87"/>
      <c r="D894" s="87"/>
    </row>
    <row r="895" spans="2:4" ht="12.75" x14ac:dyDescent="0.2">
      <c r="B895" s="68"/>
      <c r="C895" s="87"/>
      <c r="D895" s="87"/>
    </row>
    <row r="896" spans="2:4" ht="12.75" x14ac:dyDescent="0.2">
      <c r="B896" s="68"/>
      <c r="C896" s="87"/>
      <c r="D896" s="87"/>
    </row>
    <row r="897" spans="2:4" ht="12.75" x14ac:dyDescent="0.2">
      <c r="B897" s="68"/>
      <c r="C897" s="87"/>
      <c r="D897" s="87"/>
    </row>
    <row r="898" spans="2:4" ht="12.75" x14ac:dyDescent="0.2">
      <c r="B898" s="68"/>
      <c r="C898" s="87"/>
      <c r="D898" s="87"/>
    </row>
    <row r="899" spans="2:4" ht="12.75" x14ac:dyDescent="0.2">
      <c r="B899" s="68"/>
      <c r="C899" s="87"/>
      <c r="D899" s="87"/>
    </row>
    <row r="900" spans="2:4" ht="12.75" x14ac:dyDescent="0.2">
      <c r="B900" s="68"/>
      <c r="C900" s="87"/>
      <c r="D900" s="87"/>
    </row>
    <row r="901" spans="2:4" ht="12.75" x14ac:dyDescent="0.2">
      <c r="B901" s="68"/>
      <c r="C901" s="87"/>
      <c r="D901" s="87"/>
    </row>
    <row r="902" spans="2:4" ht="12.75" x14ac:dyDescent="0.2">
      <c r="B902" s="68"/>
      <c r="C902" s="87"/>
      <c r="D902" s="87"/>
    </row>
    <row r="903" spans="2:4" ht="12.75" x14ac:dyDescent="0.2">
      <c r="B903" s="68"/>
      <c r="C903" s="87"/>
      <c r="D903" s="87"/>
    </row>
    <row r="904" spans="2:4" ht="12.75" x14ac:dyDescent="0.2">
      <c r="B904" s="68"/>
      <c r="C904" s="87"/>
      <c r="D904" s="87"/>
    </row>
    <row r="905" spans="2:4" ht="12.75" x14ac:dyDescent="0.2">
      <c r="B905" s="68"/>
      <c r="C905" s="87"/>
      <c r="D905" s="87"/>
    </row>
    <row r="906" spans="2:4" ht="12.75" x14ac:dyDescent="0.2">
      <c r="B906" s="68"/>
      <c r="C906" s="87"/>
      <c r="D906" s="87"/>
    </row>
    <row r="907" spans="2:4" ht="12.75" x14ac:dyDescent="0.2">
      <c r="B907" s="68"/>
      <c r="C907" s="87"/>
      <c r="D907" s="87"/>
    </row>
    <row r="908" spans="2:4" ht="12.75" x14ac:dyDescent="0.2">
      <c r="B908" s="68"/>
      <c r="C908" s="87"/>
      <c r="D908" s="87"/>
    </row>
    <row r="909" spans="2:4" ht="12.75" x14ac:dyDescent="0.2">
      <c r="B909" s="68"/>
      <c r="C909" s="87"/>
      <c r="D909" s="87"/>
    </row>
    <row r="910" spans="2:4" ht="12.75" x14ac:dyDescent="0.2">
      <c r="B910" s="68"/>
      <c r="C910" s="87"/>
      <c r="D910" s="87"/>
    </row>
    <row r="911" spans="2:4" ht="12.75" x14ac:dyDescent="0.2">
      <c r="B911" s="68"/>
      <c r="C911" s="87"/>
      <c r="D911" s="87"/>
    </row>
    <row r="912" spans="2:4" ht="12.75" x14ac:dyDescent="0.2">
      <c r="B912" s="68"/>
      <c r="C912" s="87"/>
      <c r="D912" s="87"/>
    </row>
    <row r="913" spans="2:4" ht="12.75" x14ac:dyDescent="0.2">
      <c r="B913" s="68"/>
      <c r="C913" s="87"/>
      <c r="D913" s="87"/>
    </row>
    <row r="914" spans="2:4" ht="12.75" x14ac:dyDescent="0.2">
      <c r="B914" s="68"/>
      <c r="C914" s="87"/>
      <c r="D914" s="87"/>
    </row>
    <row r="915" spans="2:4" ht="12.75" x14ac:dyDescent="0.2">
      <c r="B915" s="68"/>
      <c r="C915" s="87"/>
      <c r="D915" s="87"/>
    </row>
    <row r="916" spans="2:4" ht="12.75" x14ac:dyDescent="0.2">
      <c r="B916" s="68"/>
      <c r="C916" s="87"/>
      <c r="D916" s="87"/>
    </row>
    <row r="917" spans="2:4" ht="12.75" x14ac:dyDescent="0.2">
      <c r="B917" s="68"/>
      <c r="C917" s="87"/>
      <c r="D917" s="87"/>
    </row>
    <row r="918" spans="2:4" ht="12.75" x14ac:dyDescent="0.2">
      <c r="B918" s="68"/>
      <c r="C918" s="87"/>
      <c r="D918" s="87"/>
    </row>
    <row r="919" spans="2:4" ht="12.75" x14ac:dyDescent="0.2">
      <c r="B919" s="68"/>
      <c r="C919" s="87"/>
      <c r="D919" s="87"/>
    </row>
    <row r="920" spans="2:4" ht="12.75" x14ac:dyDescent="0.2">
      <c r="B920" s="68"/>
      <c r="C920" s="87"/>
      <c r="D920" s="87"/>
    </row>
    <row r="921" spans="2:4" ht="12.75" x14ac:dyDescent="0.2">
      <c r="B921" s="68"/>
      <c r="C921" s="87"/>
      <c r="D921" s="87"/>
    </row>
    <row r="922" spans="2:4" ht="12.75" x14ac:dyDescent="0.2">
      <c r="B922" s="68"/>
      <c r="C922" s="87"/>
      <c r="D922" s="87"/>
    </row>
    <row r="923" spans="2:4" ht="12.75" x14ac:dyDescent="0.2">
      <c r="B923" s="68"/>
      <c r="C923" s="87"/>
      <c r="D923" s="87"/>
    </row>
    <row r="924" spans="2:4" ht="12.75" x14ac:dyDescent="0.2">
      <c r="B924" s="68"/>
      <c r="C924" s="87"/>
      <c r="D924" s="87"/>
    </row>
    <row r="925" spans="2:4" ht="12.75" x14ac:dyDescent="0.2">
      <c r="B925" s="68"/>
      <c r="C925" s="87"/>
      <c r="D925" s="87"/>
    </row>
    <row r="926" spans="2:4" ht="12.75" x14ac:dyDescent="0.2">
      <c r="B926" s="68"/>
      <c r="C926" s="87"/>
      <c r="D926" s="87"/>
    </row>
    <row r="927" spans="2:4" ht="12.75" x14ac:dyDescent="0.2">
      <c r="B927" s="68"/>
      <c r="C927" s="87"/>
      <c r="D927" s="87"/>
    </row>
    <row r="928" spans="2:4" ht="12.75" x14ac:dyDescent="0.2">
      <c r="B928" s="68"/>
      <c r="C928" s="87"/>
      <c r="D928" s="87"/>
    </row>
    <row r="929" spans="2:4" ht="12.75" x14ac:dyDescent="0.2">
      <c r="B929" s="68"/>
      <c r="C929" s="87"/>
      <c r="D929" s="87"/>
    </row>
    <row r="930" spans="2:4" ht="12.75" x14ac:dyDescent="0.2">
      <c r="B930" s="68"/>
      <c r="C930" s="87"/>
      <c r="D930" s="87"/>
    </row>
    <row r="931" spans="2:4" ht="12.75" x14ac:dyDescent="0.2">
      <c r="B931" s="68"/>
      <c r="C931" s="87"/>
      <c r="D931" s="87"/>
    </row>
    <row r="932" spans="2:4" ht="12.75" x14ac:dyDescent="0.2">
      <c r="B932" s="68"/>
      <c r="C932" s="87"/>
      <c r="D932" s="87"/>
    </row>
    <row r="933" spans="2:4" ht="12.75" x14ac:dyDescent="0.2">
      <c r="B933" s="68"/>
      <c r="C933" s="87"/>
      <c r="D933" s="87"/>
    </row>
    <row r="934" spans="2:4" ht="12.75" x14ac:dyDescent="0.2">
      <c r="B934" s="68"/>
      <c r="C934" s="87"/>
      <c r="D934" s="87"/>
    </row>
    <row r="935" spans="2:4" ht="12.75" x14ac:dyDescent="0.2">
      <c r="B935" s="68"/>
      <c r="C935" s="87"/>
      <c r="D935" s="87"/>
    </row>
    <row r="936" spans="2:4" ht="12.75" x14ac:dyDescent="0.2">
      <c r="B936" s="68"/>
      <c r="C936" s="87"/>
      <c r="D936" s="87"/>
    </row>
    <row r="937" spans="2:4" ht="12.75" x14ac:dyDescent="0.2">
      <c r="B937" s="68"/>
      <c r="C937" s="87"/>
      <c r="D937" s="87"/>
    </row>
    <row r="938" spans="2:4" ht="12.75" x14ac:dyDescent="0.2">
      <c r="B938" s="68"/>
      <c r="C938" s="87"/>
      <c r="D938" s="87"/>
    </row>
    <row r="939" spans="2:4" ht="12.75" x14ac:dyDescent="0.2">
      <c r="B939" s="68"/>
      <c r="C939" s="87"/>
      <c r="D939" s="87"/>
    </row>
    <row r="940" spans="2:4" ht="12.75" x14ac:dyDescent="0.2">
      <c r="B940" s="68"/>
      <c r="C940" s="87"/>
      <c r="D940" s="87"/>
    </row>
    <row r="941" spans="2:4" ht="12.75" x14ac:dyDescent="0.2">
      <c r="B941" s="68"/>
      <c r="C941" s="87"/>
      <c r="D941" s="87"/>
    </row>
    <row r="942" spans="2:4" ht="12.75" x14ac:dyDescent="0.2">
      <c r="B942" s="68"/>
      <c r="C942" s="87"/>
      <c r="D942" s="87"/>
    </row>
    <row r="943" spans="2:4" ht="12.75" x14ac:dyDescent="0.2">
      <c r="B943" s="68"/>
      <c r="C943" s="87"/>
      <c r="D943" s="87"/>
    </row>
    <row r="944" spans="2:4" ht="12.75" x14ac:dyDescent="0.2">
      <c r="B944" s="68"/>
      <c r="C944" s="87"/>
      <c r="D944" s="87"/>
    </row>
    <row r="945" spans="2:4" ht="12.75" x14ac:dyDescent="0.2">
      <c r="B945" s="68"/>
      <c r="C945" s="87"/>
      <c r="D945" s="87"/>
    </row>
    <row r="946" spans="2:4" ht="12.75" x14ac:dyDescent="0.2">
      <c r="B946" s="68"/>
      <c r="C946" s="87"/>
      <c r="D946" s="87"/>
    </row>
    <row r="947" spans="2:4" ht="12.75" x14ac:dyDescent="0.2">
      <c r="B947" s="68"/>
      <c r="C947" s="87"/>
      <c r="D947" s="87"/>
    </row>
    <row r="948" spans="2:4" ht="12.75" x14ac:dyDescent="0.2">
      <c r="B948" s="68"/>
      <c r="C948" s="87"/>
      <c r="D948" s="87"/>
    </row>
    <row r="949" spans="2:4" ht="12.75" x14ac:dyDescent="0.2">
      <c r="B949" s="68"/>
      <c r="C949" s="87"/>
      <c r="D949" s="87"/>
    </row>
    <row r="950" spans="2:4" ht="12.75" x14ac:dyDescent="0.2">
      <c r="B950" s="68"/>
      <c r="C950" s="87"/>
      <c r="D950" s="87"/>
    </row>
    <row r="951" spans="2:4" ht="12.75" x14ac:dyDescent="0.2">
      <c r="B951" s="68"/>
      <c r="C951" s="87"/>
      <c r="D951" s="87"/>
    </row>
    <row r="952" spans="2:4" ht="12.75" x14ac:dyDescent="0.2">
      <c r="B952" s="68"/>
      <c r="C952" s="87"/>
      <c r="D952" s="87"/>
    </row>
    <row r="953" spans="2:4" ht="12.75" x14ac:dyDescent="0.2">
      <c r="B953" s="68"/>
      <c r="C953" s="87"/>
      <c r="D953" s="87"/>
    </row>
    <row r="954" spans="2:4" ht="12.75" x14ac:dyDescent="0.2">
      <c r="B954" s="68"/>
      <c r="C954" s="87"/>
      <c r="D954" s="87"/>
    </row>
    <row r="955" spans="2:4" ht="12.75" x14ac:dyDescent="0.2">
      <c r="B955" s="68"/>
      <c r="C955" s="87"/>
      <c r="D955" s="87"/>
    </row>
    <row r="956" spans="2:4" ht="12.75" x14ac:dyDescent="0.2">
      <c r="B956" s="68"/>
      <c r="C956" s="87"/>
      <c r="D956" s="87"/>
    </row>
    <row r="957" spans="2:4" ht="12.75" x14ac:dyDescent="0.2">
      <c r="B957" s="68"/>
      <c r="C957" s="87"/>
      <c r="D957" s="87"/>
    </row>
    <row r="958" spans="2:4" ht="12.75" x14ac:dyDescent="0.2">
      <c r="B958" s="68"/>
      <c r="C958" s="87"/>
      <c r="D958" s="87"/>
    </row>
    <row r="959" spans="2:4" ht="12.75" x14ac:dyDescent="0.2">
      <c r="B959" s="68"/>
      <c r="C959" s="87"/>
      <c r="D959" s="87"/>
    </row>
    <row r="960" spans="2:4" ht="12.75" x14ac:dyDescent="0.2">
      <c r="B960" s="68"/>
      <c r="C960" s="87"/>
      <c r="D960" s="87"/>
    </row>
    <row r="961" spans="2:4" ht="12.75" x14ac:dyDescent="0.2">
      <c r="B961" s="68"/>
      <c r="C961" s="87"/>
      <c r="D961" s="87"/>
    </row>
    <row r="962" spans="2:4" ht="12.75" x14ac:dyDescent="0.2">
      <c r="B962" s="68"/>
      <c r="C962" s="87"/>
      <c r="D962" s="87"/>
    </row>
    <row r="963" spans="2:4" ht="12.75" x14ac:dyDescent="0.2">
      <c r="B963" s="68"/>
      <c r="C963" s="87"/>
      <c r="D963" s="87"/>
    </row>
    <row r="964" spans="2:4" ht="12.75" x14ac:dyDescent="0.2">
      <c r="B964" s="68"/>
      <c r="C964" s="87"/>
      <c r="D964" s="87"/>
    </row>
    <row r="965" spans="2:4" ht="12.75" x14ac:dyDescent="0.2">
      <c r="B965" s="68"/>
      <c r="C965" s="87"/>
      <c r="D965" s="87"/>
    </row>
    <row r="966" spans="2:4" ht="12.75" x14ac:dyDescent="0.2">
      <c r="B966" s="68"/>
      <c r="C966" s="87"/>
      <c r="D966" s="87"/>
    </row>
    <row r="967" spans="2:4" ht="12.75" x14ac:dyDescent="0.2">
      <c r="B967" s="68"/>
      <c r="C967" s="87"/>
      <c r="D967" s="87"/>
    </row>
    <row r="968" spans="2:4" ht="12.75" x14ac:dyDescent="0.2">
      <c r="B968" s="68"/>
      <c r="C968" s="87"/>
      <c r="D968" s="87"/>
    </row>
    <row r="969" spans="2:4" ht="12.75" x14ac:dyDescent="0.2">
      <c r="B969" s="68"/>
      <c r="C969" s="87"/>
      <c r="D969" s="87"/>
    </row>
    <row r="970" spans="2:4" ht="12.75" x14ac:dyDescent="0.2">
      <c r="B970" s="68"/>
      <c r="C970" s="87"/>
      <c r="D970" s="87"/>
    </row>
    <row r="971" spans="2:4" ht="12.75" x14ac:dyDescent="0.2">
      <c r="B971" s="68"/>
      <c r="C971" s="87"/>
      <c r="D971" s="87"/>
    </row>
    <row r="972" spans="2:4" ht="12.75" x14ac:dyDescent="0.2">
      <c r="B972" s="68"/>
      <c r="C972" s="87"/>
      <c r="D972" s="87"/>
    </row>
    <row r="973" spans="2:4" ht="12.75" x14ac:dyDescent="0.2">
      <c r="B973" s="68"/>
      <c r="C973" s="87"/>
      <c r="D973" s="87"/>
    </row>
    <row r="974" spans="2:4" ht="12.75" x14ac:dyDescent="0.2">
      <c r="B974" s="68"/>
      <c r="C974" s="87"/>
      <c r="D974" s="87"/>
    </row>
    <row r="975" spans="2:4" ht="12.75" x14ac:dyDescent="0.2">
      <c r="B975" s="68"/>
      <c r="C975" s="87"/>
      <c r="D975" s="87"/>
    </row>
    <row r="976" spans="2:4" ht="12.75" x14ac:dyDescent="0.2">
      <c r="B976" s="68"/>
      <c r="C976" s="87"/>
      <c r="D976" s="87"/>
    </row>
    <row r="977" spans="2:4" ht="12.75" x14ac:dyDescent="0.2">
      <c r="B977" s="68"/>
      <c r="C977" s="87"/>
      <c r="D977" s="87"/>
    </row>
    <row r="978" spans="2:4" ht="12.75" x14ac:dyDescent="0.2">
      <c r="B978" s="68"/>
      <c r="C978" s="87"/>
      <c r="D978" s="87"/>
    </row>
    <row r="979" spans="2:4" ht="12.75" x14ac:dyDescent="0.2">
      <c r="B979" s="68"/>
      <c r="C979" s="87"/>
      <c r="D979" s="87"/>
    </row>
    <row r="980" spans="2:4" ht="12.75" x14ac:dyDescent="0.2">
      <c r="B980" s="68"/>
      <c r="C980" s="87"/>
      <c r="D980" s="87"/>
    </row>
    <row r="981" spans="2:4" ht="12.75" x14ac:dyDescent="0.2">
      <c r="B981" s="68"/>
      <c r="C981" s="87"/>
      <c r="D981" s="87"/>
    </row>
    <row r="982" spans="2:4" ht="12.75" x14ac:dyDescent="0.2">
      <c r="B982" s="68"/>
      <c r="C982" s="87"/>
      <c r="D982" s="87"/>
    </row>
    <row r="983" spans="2:4" ht="12.75" x14ac:dyDescent="0.2">
      <c r="B983" s="68"/>
      <c r="C983" s="87"/>
      <c r="D983" s="87"/>
    </row>
    <row r="984" spans="2:4" ht="12.75" x14ac:dyDescent="0.2">
      <c r="B984" s="68"/>
      <c r="C984" s="87"/>
      <c r="D984" s="87"/>
    </row>
    <row r="985" spans="2:4" ht="12.75" x14ac:dyDescent="0.2">
      <c r="B985" s="68"/>
      <c r="C985" s="87"/>
      <c r="D985" s="87"/>
    </row>
    <row r="986" spans="2:4" ht="12.75" x14ac:dyDescent="0.2">
      <c r="B986" s="68"/>
      <c r="C986" s="87"/>
      <c r="D986" s="87"/>
    </row>
    <row r="987" spans="2:4" ht="12.75" x14ac:dyDescent="0.2">
      <c r="B987" s="68"/>
      <c r="C987" s="87"/>
      <c r="D987" s="87"/>
    </row>
    <row r="988" spans="2:4" ht="12.75" x14ac:dyDescent="0.2">
      <c r="B988" s="68"/>
      <c r="C988" s="87"/>
      <c r="D988" s="87"/>
    </row>
    <row r="989" spans="2:4" ht="12.75" x14ac:dyDescent="0.2">
      <c r="B989" s="68"/>
      <c r="C989" s="87"/>
      <c r="D989" s="87"/>
    </row>
    <row r="990" spans="2:4" ht="12.75" x14ac:dyDescent="0.2">
      <c r="B990" s="68"/>
      <c r="C990" s="87"/>
      <c r="D990" s="87"/>
    </row>
    <row r="991" spans="2:4" ht="12.75" x14ac:dyDescent="0.2">
      <c r="B991" s="68"/>
      <c r="C991" s="87"/>
      <c r="D991" s="87"/>
    </row>
    <row r="992" spans="2:4" ht="12.75" x14ac:dyDescent="0.2">
      <c r="B992" s="68"/>
      <c r="C992" s="87"/>
      <c r="D992" s="87"/>
    </row>
    <row r="993" spans="2:4" ht="12.75" x14ac:dyDescent="0.2">
      <c r="B993" s="68"/>
      <c r="C993" s="87"/>
      <c r="D993" s="87"/>
    </row>
    <row r="994" spans="2:4" ht="12.75" x14ac:dyDescent="0.2">
      <c r="B994" s="68"/>
      <c r="C994" s="87"/>
      <c r="D994" s="87"/>
    </row>
    <row r="995" spans="2:4" ht="12.75" x14ac:dyDescent="0.2">
      <c r="B995" s="68"/>
      <c r="C995" s="87"/>
      <c r="D995" s="87"/>
    </row>
  </sheetData>
  <dataValidations count="1">
    <dataValidation type="custom" allowBlank="1" showDropDown="1" sqref="A2:D312" xr:uid="{00000000-0002-0000-0400-000000000000}">
      <formula1>AND(ISNUMBER(A2),(NOT(OR(NOT(ISERROR(DATEVALUE(A2))), AND(ISNUMBER(A2), LEFT(CELL("format", A2))="D")))))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defaultColWidth="12.5703125" defaultRowHeight="15.75" customHeight="1" x14ac:dyDescent="0.2"/>
  <cols>
    <col min="1" max="1" width="15.28515625" customWidth="1"/>
    <col min="2" max="2" width="86.85546875" customWidth="1"/>
    <col min="3" max="3" width="26.5703125" customWidth="1"/>
    <col min="4" max="4" width="31.140625" customWidth="1"/>
    <col min="5" max="5" width="44.42578125" customWidth="1"/>
  </cols>
  <sheetData>
    <row r="1" spans="1:26" ht="15.75" customHeight="1" x14ac:dyDescent="0.3">
      <c r="A1" s="88" t="s">
        <v>0</v>
      </c>
      <c r="B1" s="89" t="s">
        <v>263</v>
      </c>
      <c r="C1" s="90"/>
      <c r="D1" s="91"/>
      <c r="E1" s="91"/>
      <c r="F1" s="92"/>
      <c r="G1" s="92"/>
      <c r="H1" s="92"/>
      <c r="I1" s="92"/>
      <c r="J1" s="92"/>
      <c r="K1" s="92"/>
      <c r="L1" s="92"/>
      <c r="M1" s="92"/>
      <c r="N1" s="92"/>
      <c r="O1" s="92"/>
      <c r="P1" s="92"/>
      <c r="Q1" s="92"/>
      <c r="R1" s="92"/>
      <c r="S1" s="92"/>
      <c r="T1" s="92"/>
      <c r="U1" s="92"/>
      <c r="V1" s="92"/>
      <c r="W1" s="92"/>
      <c r="X1" s="92"/>
      <c r="Y1" s="92"/>
      <c r="Z1" s="92"/>
    </row>
    <row r="2" spans="1:26" ht="15.75" customHeight="1" x14ac:dyDescent="0.25">
      <c r="A2" s="93" t="s">
        <v>9</v>
      </c>
      <c r="B2" s="94" t="s">
        <v>264</v>
      </c>
      <c r="C2" s="94" t="s">
        <v>265</v>
      </c>
      <c r="D2" s="95"/>
      <c r="E2" s="95"/>
    </row>
    <row r="3" spans="1:26" ht="15.75" customHeight="1" x14ac:dyDescent="0.25">
      <c r="A3" s="93" t="s">
        <v>266</v>
      </c>
      <c r="B3" s="96" t="s">
        <v>267</v>
      </c>
      <c r="C3" s="96" t="s">
        <v>268</v>
      </c>
      <c r="D3" s="97" t="s">
        <v>269</v>
      </c>
      <c r="E3" s="97" t="s">
        <v>270</v>
      </c>
      <c r="F3" s="98" t="s">
        <v>271</v>
      </c>
    </row>
    <row r="4" spans="1:26" ht="15.75" customHeight="1" x14ac:dyDescent="0.25">
      <c r="A4" s="93" t="s">
        <v>272</v>
      </c>
      <c r="B4" s="99"/>
      <c r="C4" s="94" t="s">
        <v>273</v>
      </c>
      <c r="D4" s="95"/>
      <c r="E4" s="95"/>
    </row>
    <row r="5" spans="1:26" ht="15.75" customHeight="1" x14ac:dyDescent="0.25">
      <c r="A5" s="93" t="s">
        <v>274</v>
      </c>
      <c r="B5" s="96" t="s">
        <v>275</v>
      </c>
      <c r="C5" s="94" t="s">
        <v>276</v>
      </c>
      <c r="D5" s="94" t="s">
        <v>277</v>
      </c>
      <c r="E5" s="95"/>
    </row>
    <row r="6" spans="1:26" ht="15.75" customHeight="1" x14ac:dyDescent="0.25">
      <c r="A6" s="93" t="s">
        <v>278</v>
      </c>
      <c r="B6" s="99" t="s">
        <v>279</v>
      </c>
      <c r="C6" s="99"/>
      <c r="D6" s="95"/>
      <c r="E6" s="95"/>
    </row>
    <row r="7" spans="1:26" ht="15.75" customHeight="1" x14ac:dyDescent="0.25">
      <c r="A7" s="93" t="s">
        <v>280</v>
      </c>
      <c r="B7" s="100" t="s">
        <v>281</v>
      </c>
      <c r="C7" s="99"/>
      <c r="D7" s="95"/>
      <c r="E7" s="95"/>
    </row>
    <row r="8" spans="1:26" ht="15.75" customHeight="1" x14ac:dyDescent="0.25">
      <c r="A8" s="93" t="s">
        <v>282</v>
      </c>
      <c r="B8" s="99"/>
      <c r="C8" s="99"/>
      <c r="D8" s="95"/>
      <c r="E8" s="95"/>
    </row>
    <row r="9" spans="1:26" ht="15.75" customHeight="1" x14ac:dyDescent="0.25">
      <c r="A9" s="93" t="s">
        <v>283</v>
      </c>
      <c r="B9" s="96" t="s">
        <v>284</v>
      </c>
      <c r="C9" s="99"/>
      <c r="D9" s="95"/>
      <c r="E9" s="95"/>
    </row>
    <row r="10" spans="1:26" ht="15.75" customHeight="1" x14ac:dyDescent="0.25">
      <c r="A10" s="93" t="s">
        <v>285</v>
      </c>
      <c r="B10" s="100" t="s">
        <v>286</v>
      </c>
      <c r="C10" s="94" t="s">
        <v>287</v>
      </c>
      <c r="D10" s="100" t="s">
        <v>288</v>
      </c>
      <c r="E10" s="95"/>
    </row>
    <row r="11" spans="1:26" ht="15.75" customHeight="1" x14ac:dyDescent="0.25">
      <c r="A11" s="93" t="s">
        <v>289</v>
      </c>
      <c r="B11" s="94" t="s">
        <v>290</v>
      </c>
      <c r="C11" s="99"/>
      <c r="D11" s="95"/>
      <c r="E11" s="95"/>
    </row>
    <row r="12" spans="1:26" ht="15.75" customHeight="1" x14ac:dyDescent="0.25">
      <c r="A12" s="93" t="s">
        <v>291</v>
      </c>
      <c r="B12" s="94" t="s">
        <v>292</v>
      </c>
      <c r="C12" s="99"/>
      <c r="D12" s="95"/>
      <c r="E12" s="95"/>
    </row>
    <row r="13" spans="1:26" ht="15.75" customHeight="1" x14ac:dyDescent="0.25">
      <c r="A13" s="93" t="s">
        <v>293</v>
      </c>
      <c r="B13" s="101" t="s">
        <v>294</v>
      </c>
      <c r="C13" s="99"/>
      <c r="D13" s="95"/>
      <c r="E13" s="95"/>
    </row>
    <row r="14" spans="1:26" ht="15.75" customHeight="1" x14ac:dyDescent="0.25">
      <c r="A14" s="93" t="s">
        <v>295</v>
      </c>
      <c r="B14" s="99"/>
      <c r="C14" s="99"/>
      <c r="D14" s="95"/>
      <c r="E14" s="95"/>
    </row>
    <row r="15" spans="1:26" ht="15.75" customHeight="1" x14ac:dyDescent="0.25">
      <c r="A15" s="93" t="s">
        <v>296</v>
      </c>
      <c r="B15" s="99"/>
      <c r="C15" s="99"/>
      <c r="D15" s="95"/>
      <c r="E15" s="95"/>
    </row>
    <row r="16" spans="1:26" ht="15.75" customHeight="1" x14ac:dyDescent="0.25">
      <c r="A16" s="93" t="s">
        <v>297</v>
      </c>
      <c r="B16" s="99"/>
      <c r="C16" s="99"/>
      <c r="D16" s="95"/>
      <c r="E16" s="95"/>
    </row>
    <row r="17" spans="1:5" ht="15.75" customHeight="1" x14ac:dyDescent="0.25">
      <c r="A17" s="93" t="s">
        <v>298</v>
      </c>
      <c r="B17" s="96" t="s">
        <v>299</v>
      </c>
      <c r="C17" s="94" t="s">
        <v>300</v>
      </c>
      <c r="D17" s="94" t="s">
        <v>301</v>
      </c>
      <c r="E17" s="94" t="s">
        <v>302</v>
      </c>
    </row>
    <row r="18" spans="1:5" ht="15.75" customHeight="1" x14ac:dyDescent="0.25">
      <c r="A18" s="93" t="s">
        <v>303</v>
      </c>
      <c r="B18" s="99"/>
      <c r="C18" s="99"/>
      <c r="D18" s="95"/>
      <c r="E18" s="95"/>
    </row>
    <row r="19" spans="1:5" ht="15.75" customHeight="1" x14ac:dyDescent="0.25">
      <c r="A19" s="93" t="s">
        <v>304</v>
      </c>
      <c r="B19" s="95" t="s">
        <v>305</v>
      </c>
      <c r="C19" s="99"/>
      <c r="D19" s="95"/>
      <c r="E19" s="95"/>
    </row>
    <row r="20" spans="1:5" ht="15.75" customHeight="1" x14ac:dyDescent="0.25">
      <c r="A20" s="93" t="s">
        <v>306</v>
      </c>
      <c r="B20" s="96" t="s">
        <v>307</v>
      </c>
      <c r="C20" s="99"/>
      <c r="D20" s="95"/>
      <c r="E20" s="95"/>
    </row>
    <row r="21" spans="1:5" ht="15.75" customHeight="1" x14ac:dyDescent="0.25">
      <c r="A21" s="93" t="s">
        <v>308</v>
      </c>
      <c r="B21" s="96" t="s">
        <v>309</v>
      </c>
      <c r="C21" s="99"/>
      <c r="D21" s="95"/>
      <c r="E21" s="95"/>
    </row>
    <row r="22" spans="1:5" ht="15.75" customHeight="1" x14ac:dyDescent="0.25">
      <c r="A22" s="93" t="s">
        <v>310</v>
      </c>
      <c r="B22" s="96" t="s">
        <v>311</v>
      </c>
      <c r="C22" s="99"/>
      <c r="D22" s="95"/>
      <c r="E22" s="95"/>
    </row>
    <row r="23" spans="1:5" ht="105" x14ac:dyDescent="0.25">
      <c r="A23" s="93" t="s">
        <v>312</v>
      </c>
      <c r="B23" s="96" t="s">
        <v>313</v>
      </c>
      <c r="C23" s="99"/>
      <c r="D23" s="95"/>
      <c r="E23" s="95"/>
    </row>
    <row r="24" spans="1:5" ht="60" x14ac:dyDescent="0.25">
      <c r="A24" s="93" t="s">
        <v>314</v>
      </c>
      <c r="B24" s="96" t="s">
        <v>315</v>
      </c>
      <c r="C24" s="99"/>
      <c r="D24" s="95"/>
      <c r="E24" s="95"/>
    </row>
    <row r="25" spans="1:5" ht="60" x14ac:dyDescent="0.25">
      <c r="A25" s="93" t="s">
        <v>316</v>
      </c>
      <c r="B25" s="96" t="s">
        <v>317</v>
      </c>
      <c r="C25" s="99"/>
      <c r="D25" s="95"/>
      <c r="E25" s="95"/>
    </row>
    <row r="26" spans="1:5" ht="45" x14ac:dyDescent="0.25">
      <c r="A26" s="93" t="s">
        <v>318</v>
      </c>
      <c r="B26" s="96" t="s">
        <v>319</v>
      </c>
      <c r="C26" s="99"/>
      <c r="D26" s="95"/>
      <c r="E26" s="95"/>
    </row>
    <row r="27" spans="1:5" ht="45" x14ac:dyDescent="0.25">
      <c r="A27" s="93" t="s">
        <v>320</v>
      </c>
      <c r="B27" s="96" t="s">
        <v>321</v>
      </c>
      <c r="C27" s="99"/>
      <c r="D27" s="95"/>
      <c r="E27" s="95"/>
    </row>
    <row r="28" spans="1:5" ht="45" x14ac:dyDescent="0.25">
      <c r="A28" s="93" t="s">
        <v>322</v>
      </c>
      <c r="B28" s="96" t="s">
        <v>323</v>
      </c>
      <c r="C28" s="99"/>
      <c r="D28" s="95"/>
      <c r="E28" s="95"/>
    </row>
    <row r="29" spans="1:5" ht="30" x14ac:dyDescent="0.25">
      <c r="A29" s="93" t="s">
        <v>324</v>
      </c>
      <c r="B29" s="96" t="s">
        <v>325</v>
      </c>
      <c r="C29" s="99"/>
      <c r="D29" s="95"/>
      <c r="E29" s="95"/>
    </row>
    <row r="30" spans="1:5" ht="45" x14ac:dyDescent="0.25">
      <c r="A30" s="93" t="s">
        <v>326</v>
      </c>
      <c r="B30" s="99" t="s">
        <v>327</v>
      </c>
      <c r="C30" s="99"/>
      <c r="D30" s="95"/>
      <c r="E30" s="95"/>
    </row>
    <row r="31" spans="1:5" ht="90" x14ac:dyDescent="0.25">
      <c r="A31" s="93" t="s">
        <v>328</v>
      </c>
      <c r="B31" s="96" t="s">
        <v>329</v>
      </c>
      <c r="C31" s="99"/>
      <c r="D31" s="95"/>
      <c r="E31" s="95"/>
    </row>
    <row r="32" spans="1:5" ht="45" x14ac:dyDescent="0.25">
      <c r="A32" s="93" t="s">
        <v>330</v>
      </c>
      <c r="B32" s="96" t="s">
        <v>331</v>
      </c>
      <c r="C32" s="99"/>
      <c r="D32" s="95"/>
      <c r="E32" s="95"/>
    </row>
    <row r="33" spans="1:5" ht="45" x14ac:dyDescent="0.25">
      <c r="A33" s="93" t="s">
        <v>332</v>
      </c>
      <c r="B33" s="96" t="s">
        <v>333</v>
      </c>
      <c r="C33" s="99"/>
      <c r="D33" s="95"/>
      <c r="E33" s="95"/>
    </row>
    <row r="34" spans="1:5" ht="30" x14ac:dyDescent="0.25">
      <c r="A34" s="93" t="s">
        <v>334</v>
      </c>
      <c r="B34" s="96" t="s">
        <v>335</v>
      </c>
      <c r="C34" s="99"/>
      <c r="D34" s="95"/>
      <c r="E34" s="95"/>
    </row>
    <row r="35" spans="1:5" ht="30" x14ac:dyDescent="0.25">
      <c r="A35" s="93" t="s">
        <v>336</v>
      </c>
      <c r="B35" s="96" t="s">
        <v>337</v>
      </c>
      <c r="C35" s="99"/>
      <c r="D35" s="95"/>
      <c r="E35" s="95"/>
    </row>
    <row r="36" spans="1:5" ht="45" x14ac:dyDescent="0.25">
      <c r="A36" s="93" t="s">
        <v>338</v>
      </c>
      <c r="B36" s="96" t="s">
        <v>339</v>
      </c>
      <c r="C36" s="94" t="s">
        <v>340</v>
      </c>
      <c r="D36" s="95"/>
      <c r="E36" s="95"/>
    </row>
    <row r="37" spans="1:5" ht="75" x14ac:dyDescent="0.25">
      <c r="A37" s="93" t="s">
        <v>341</v>
      </c>
      <c r="B37" s="96" t="s">
        <v>342</v>
      </c>
      <c r="C37" s="99"/>
      <c r="D37" s="95"/>
      <c r="E37" s="95"/>
    </row>
    <row r="38" spans="1:5" ht="75" x14ac:dyDescent="0.25">
      <c r="A38" s="93" t="s">
        <v>343</v>
      </c>
      <c r="B38" s="96" t="s">
        <v>344</v>
      </c>
      <c r="C38" s="94" t="s">
        <v>345</v>
      </c>
      <c r="D38" s="95"/>
      <c r="E38" s="95"/>
    </row>
    <row r="39" spans="1:5" ht="75" x14ac:dyDescent="0.25">
      <c r="A39" s="93" t="s">
        <v>346</v>
      </c>
      <c r="B39" s="99" t="s">
        <v>347</v>
      </c>
      <c r="C39" s="94" t="s">
        <v>348</v>
      </c>
      <c r="D39" s="95"/>
      <c r="E39" s="95"/>
    </row>
    <row r="40" spans="1:5" x14ac:dyDescent="0.25">
      <c r="A40" s="93" t="s">
        <v>349</v>
      </c>
      <c r="B40" s="96" t="s">
        <v>350</v>
      </c>
      <c r="C40" s="99"/>
      <c r="D40" s="95"/>
      <c r="E40" s="95"/>
    </row>
    <row r="41" spans="1:5" ht="105" x14ac:dyDescent="0.25">
      <c r="A41" s="93" t="s">
        <v>351</v>
      </c>
      <c r="B41" s="99" t="s">
        <v>352</v>
      </c>
      <c r="C41" s="94" t="s">
        <v>353</v>
      </c>
      <c r="D41" s="95"/>
      <c r="E41" s="95"/>
    </row>
    <row r="42" spans="1:5" x14ac:dyDescent="0.25">
      <c r="A42" s="93" t="s">
        <v>354</v>
      </c>
      <c r="B42" s="99"/>
      <c r="C42" s="99"/>
      <c r="D42" s="95"/>
      <c r="E42" s="95"/>
    </row>
    <row r="43" spans="1:5" ht="135" x14ac:dyDescent="0.25">
      <c r="A43" s="93" t="s">
        <v>355</v>
      </c>
      <c r="B43" s="96" t="s">
        <v>356</v>
      </c>
      <c r="C43" s="94" t="s">
        <v>357</v>
      </c>
      <c r="D43" s="95"/>
      <c r="E43" s="95"/>
    </row>
    <row r="44" spans="1:5" ht="60" x14ac:dyDescent="0.25">
      <c r="A44" s="93" t="s">
        <v>358</v>
      </c>
      <c r="B44" s="94" t="s">
        <v>359</v>
      </c>
      <c r="C44" s="96" t="s">
        <v>360</v>
      </c>
      <c r="D44" s="95"/>
      <c r="E44" s="95"/>
    </row>
    <row r="45" spans="1:5" ht="60" x14ac:dyDescent="0.25">
      <c r="A45" s="93" t="s">
        <v>361</v>
      </c>
      <c r="B45" s="96" t="s">
        <v>362</v>
      </c>
      <c r="C45" s="99"/>
      <c r="D45" s="95"/>
      <c r="E45" s="95"/>
    </row>
    <row r="46" spans="1:5" x14ac:dyDescent="0.25">
      <c r="A46" s="93" t="s">
        <v>363</v>
      </c>
      <c r="B46" s="99"/>
      <c r="C46" s="99"/>
      <c r="D46" s="95"/>
      <c r="E46" s="95"/>
    </row>
    <row r="47" spans="1:5" ht="30" x14ac:dyDescent="0.25">
      <c r="A47" s="93" t="s">
        <v>364</v>
      </c>
      <c r="B47" s="96" t="s">
        <v>365</v>
      </c>
      <c r="C47" s="99"/>
      <c r="D47" s="95"/>
      <c r="E47" s="95"/>
    </row>
    <row r="48" spans="1:5" ht="30" x14ac:dyDescent="0.25">
      <c r="A48" s="93" t="s">
        <v>366</v>
      </c>
      <c r="B48" s="94" t="s">
        <v>367</v>
      </c>
      <c r="C48" s="99"/>
      <c r="D48" s="95"/>
      <c r="E48" s="95"/>
    </row>
    <row r="49" spans="1:5" ht="45" x14ac:dyDescent="0.25">
      <c r="A49" s="93" t="s">
        <v>368</v>
      </c>
      <c r="B49" s="96" t="s">
        <v>369</v>
      </c>
      <c r="C49" s="99"/>
      <c r="D49" s="95"/>
      <c r="E49" s="95"/>
    </row>
    <row r="50" spans="1:5" ht="75" x14ac:dyDescent="0.25">
      <c r="A50" s="93" t="s">
        <v>370</v>
      </c>
      <c r="B50" s="99" t="s">
        <v>371</v>
      </c>
      <c r="C50" s="99"/>
      <c r="D50" s="95"/>
      <c r="E50" s="95"/>
    </row>
    <row r="51" spans="1:5" ht="90" x14ac:dyDescent="0.25">
      <c r="A51" s="93" t="s">
        <v>372</v>
      </c>
      <c r="B51" s="94" t="s">
        <v>373</v>
      </c>
      <c r="C51" s="96" t="s">
        <v>374</v>
      </c>
      <c r="D51" s="94" t="s">
        <v>375</v>
      </c>
      <c r="E51" s="95"/>
    </row>
    <row r="52" spans="1:5" x14ac:dyDescent="0.25">
      <c r="A52" s="102"/>
      <c r="B52" s="103"/>
      <c r="C52" s="103"/>
    </row>
    <row r="53" spans="1:5" x14ac:dyDescent="0.25">
      <c r="A53" s="102"/>
      <c r="B53" s="103"/>
      <c r="C53" s="103"/>
    </row>
    <row r="54" spans="1:5" x14ac:dyDescent="0.25">
      <c r="A54" s="102"/>
      <c r="B54" s="103"/>
      <c r="C54" s="103"/>
    </row>
    <row r="55" spans="1:5" x14ac:dyDescent="0.25">
      <c r="A55" s="102"/>
      <c r="B55" s="103"/>
      <c r="C55" s="103"/>
    </row>
    <row r="56" spans="1:5" x14ac:dyDescent="0.25">
      <c r="A56" s="102"/>
      <c r="B56" s="103"/>
      <c r="C56" s="103"/>
    </row>
    <row r="57" spans="1:5" x14ac:dyDescent="0.25">
      <c r="A57" s="102"/>
      <c r="B57" s="103"/>
      <c r="C57" s="103"/>
    </row>
    <row r="58" spans="1:5" x14ac:dyDescent="0.25">
      <c r="A58" s="102"/>
      <c r="B58" s="103"/>
      <c r="C58" s="103"/>
    </row>
    <row r="59" spans="1:5" x14ac:dyDescent="0.25">
      <c r="A59" s="102"/>
      <c r="B59" s="103"/>
      <c r="C59" s="103"/>
    </row>
    <row r="60" spans="1:5" x14ac:dyDescent="0.25">
      <c r="A60" s="102"/>
      <c r="B60" s="103"/>
      <c r="C60" s="103"/>
    </row>
    <row r="61" spans="1:5" x14ac:dyDescent="0.25">
      <c r="A61" s="102"/>
      <c r="B61" s="103"/>
      <c r="C61" s="103"/>
    </row>
    <row r="62" spans="1:5" x14ac:dyDescent="0.25">
      <c r="A62" s="102"/>
      <c r="B62" s="103"/>
      <c r="C62" s="103"/>
    </row>
    <row r="63" spans="1:5" x14ac:dyDescent="0.25">
      <c r="A63" s="102"/>
      <c r="B63" s="103"/>
      <c r="C63" s="103"/>
    </row>
    <row r="64" spans="1:5" x14ac:dyDescent="0.25">
      <c r="A64" s="102"/>
      <c r="B64" s="103"/>
      <c r="C64" s="103"/>
    </row>
    <row r="65" spans="1:3" x14ac:dyDescent="0.25">
      <c r="A65" s="102"/>
      <c r="B65" s="103"/>
      <c r="C65" s="103"/>
    </row>
    <row r="66" spans="1:3" x14ac:dyDescent="0.25">
      <c r="A66" s="102"/>
      <c r="B66" s="103"/>
      <c r="C66" s="103"/>
    </row>
    <row r="67" spans="1:3" x14ac:dyDescent="0.25">
      <c r="A67" s="102"/>
      <c r="B67" s="103"/>
      <c r="C67" s="103"/>
    </row>
    <row r="68" spans="1:3" x14ac:dyDescent="0.25">
      <c r="A68" s="102"/>
      <c r="B68" s="103"/>
      <c r="C68" s="103"/>
    </row>
    <row r="69" spans="1:3" x14ac:dyDescent="0.25">
      <c r="A69" s="102"/>
      <c r="B69" s="103"/>
      <c r="C69" s="103"/>
    </row>
    <row r="70" spans="1:3" x14ac:dyDescent="0.25">
      <c r="A70" s="102"/>
      <c r="B70" s="103"/>
      <c r="C70" s="103"/>
    </row>
    <row r="71" spans="1:3" x14ac:dyDescent="0.25">
      <c r="A71" s="102"/>
      <c r="B71" s="103"/>
      <c r="C71" s="103"/>
    </row>
    <row r="72" spans="1:3" x14ac:dyDescent="0.25">
      <c r="A72" s="102"/>
      <c r="B72" s="103"/>
      <c r="C72" s="103"/>
    </row>
    <row r="73" spans="1:3" x14ac:dyDescent="0.25">
      <c r="A73" s="102"/>
      <c r="B73" s="103"/>
      <c r="C73" s="103"/>
    </row>
    <row r="74" spans="1:3" x14ac:dyDescent="0.25">
      <c r="A74" s="102"/>
      <c r="B74" s="103"/>
      <c r="C74" s="103"/>
    </row>
    <row r="75" spans="1:3" x14ac:dyDescent="0.25">
      <c r="A75" s="102"/>
      <c r="B75" s="103"/>
      <c r="C75" s="103"/>
    </row>
    <row r="76" spans="1:3" x14ac:dyDescent="0.25">
      <c r="A76" s="102"/>
      <c r="B76" s="103"/>
      <c r="C76" s="103"/>
    </row>
    <row r="77" spans="1:3" x14ac:dyDescent="0.25">
      <c r="A77" s="102"/>
      <c r="B77" s="103"/>
      <c r="C77" s="103"/>
    </row>
    <row r="78" spans="1:3" x14ac:dyDescent="0.25">
      <c r="A78" s="102"/>
      <c r="B78" s="103"/>
      <c r="C78" s="103"/>
    </row>
    <row r="79" spans="1:3" x14ac:dyDescent="0.25">
      <c r="A79" s="102"/>
      <c r="B79" s="103"/>
      <c r="C79" s="103"/>
    </row>
    <row r="80" spans="1:3" x14ac:dyDescent="0.25">
      <c r="A80" s="102"/>
      <c r="B80" s="103"/>
      <c r="C80" s="103"/>
    </row>
    <row r="81" spans="1:3" x14ac:dyDescent="0.25">
      <c r="A81" s="102"/>
      <c r="B81" s="103"/>
      <c r="C81" s="103"/>
    </row>
    <row r="82" spans="1:3" x14ac:dyDescent="0.25">
      <c r="A82" s="102"/>
      <c r="B82" s="103"/>
      <c r="C82" s="103"/>
    </row>
    <row r="83" spans="1:3" x14ac:dyDescent="0.25">
      <c r="A83" s="102"/>
      <c r="B83" s="103"/>
      <c r="C83" s="103"/>
    </row>
    <row r="84" spans="1:3" x14ac:dyDescent="0.25">
      <c r="A84" s="102"/>
      <c r="B84" s="103"/>
      <c r="C84" s="103"/>
    </row>
    <row r="85" spans="1:3" x14ac:dyDescent="0.25">
      <c r="A85" s="102"/>
      <c r="B85" s="103"/>
      <c r="C85" s="103"/>
    </row>
    <row r="86" spans="1:3" x14ac:dyDescent="0.25">
      <c r="A86" s="102"/>
      <c r="B86" s="103"/>
      <c r="C86" s="103"/>
    </row>
    <row r="87" spans="1:3" x14ac:dyDescent="0.25">
      <c r="A87" s="102"/>
      <c r="B87" s="103"/>
      <c r="C87" s="103"/>
    </row>
    <row r="88" spans="1:3" x14ac:dyDescent="0.25">
      <c r="A88" s="102"/>
      <c r="B88" s="103"/>
      <c r="C88" s="103"/>
    </row>
    <row r="89" spans="1:3" x14ac:dyDescent="0.25">
      <c r="A89" s="102"/>
      <c r="B89" s="103"/>
      <c r="C89" s="103"/>
    </row>
    <row r="90" spans="1:3" x14ac:dyDescent="0.25">
      <c r="A90" s="102"/>
      <c r="B90" s="103"/>
      <c r="C90" s="103"/>
    </row>
    <row r="91" spans="1:3" x14ac:dyDescent="0.25">
      <c r="A91" s="102"/>
      <c r="B91" s="103"/>
      <c r="C91" s="103"/>
    </row>
    <row r="92" spans="1:3" x14ac:dyDescent="0.25">
      <c r="A92" s="102"/>
      <c r="B92" s="103"/>
      <c r="C92" s="103"/>
    </row>
    <row r="93" spans="1:3" x14ac:dyDescent="0.25">
      <c r="A93" s="102"/>
      <c r="B93" s="103"/>
      <c r="C93" s="103"/>
    </row>
    <row r="94" spans="1:3" x14ac:dyDescent="0.25">
      <c r="A94" s="102"/>
      <c r="B94" s="103"/>
      <c r="C94" s="103"/>
    </row>
    <row r="95" spans="1:3" x14ac:dyDescent="0.25">
      <c r="A95" s="102"/>
      <c r="B95" s="103"/>
      <c r="C95" s="103"/>
    </row>
    <row r="96" spans="1:3" x14ac:dyDescent="0.25">
      <c r="A96" s="102"/>
      <c r="B96" s="103"/>
      <c r="C96" s="103"/>
    </row>
    <row r="97" spans="1:3" x14ac:dyDescent="0.25">
      <c r="A97" s="102"/>
      <c r="B97" s="103"/>
      <c r="C97" s="103"/>
    </row>
    <row r="98" spans="1:3" x14ac:dyDescent="0.25">
      <c r="A98" s="102"/>
      <c r="B98" s="103"/>
      <c r="C98" s="103"/>
    </row>
    <row r="99" spans="1:3" x14ac:dyDescent="0.25">
      <c r="A99" s="102"/>
      <c r="B99" s="103"/>
      <c r="C99" s="103"/>
    </row>
    <row r="100" spans="1:3" x14ac:dyDescent="0.25">
      <c r="A100" s="102"/>
      <c r="B100" s="103"/>
      <c r="C100" s="103"/>
    </row>
    <row r="101" spans="1:3" x14ac:dyDescent="0.25">
      <c r="A101" s="102"/>
      <c r="B101" s="103"/>
      <c r="C101" s="103"/>
    </row>
    <row r="102" spans="1:3" x14ac:dyDescent="0.25">
      <c r="A102" s="102"/>
      <c r="B102" s="103"/>
      <c r="C102" s="103"/>
    </row>
    <row r="103" spans="1:3" x14ac:dyDescent="0.25">
      <c r="A103" s="102"/>
      <c r="B103" s="103"/>
      <c r="C103" s="103"/>
    </row>
    <row r="104" spans="1:3" x14ac:dyDescent="0.25">
      <c r="A104" s="102"/>
      <c r="B104" s="103"/>
      <c r="C104" s="103"/>
    </row>
    <row r="105" spans="1:3" x14ac:dyDescent="0.25">
      <c r="A105" s="102"/>
      <c r="B105" s="103"/>
      <c r="C105" s="103"/>
    </row>
    <row r="106" spans="1:3" x14ac:dyDescent="0.25">
      <c r="A106" s="102"/>
      <c r="B106" s="103"/>
      <c r="C106" s="103"/>
    </row>
    <row r="107" spans="1:3" x14ac:dyDescent="0.25">
      <c r="A107" s="102"/>
      <c r="B107" s="103"/>
      <c r="C107" s="103"/>
    </row>
    <row r="108" spans="1:3" x14ac:dyDescent="0.25">
      <c r="A108" s="102"/>
      <c r="B108" s="103"/>
      <c r="C108" s="103"/>
    </row>
    <row r="109" spans="1:3" x14ac:dyDescent="0.25">
      <c r="A109" s="102"/>
      <c r="B109" s="103"/>
      <c r="C109" s="103"/>
    </row>
    <row r="110" spans="1:3" x14ac:dyDescent="0.25">
      <c r="A110" s="102"/>
      <c r="B110" s="103"/>
      <c r="C110" s="103"/>
    </row>
    <row r="111" spans="1:3" x14ac:dyDescent="0.25">
      <c r="A111" s="102"/>
      <c r="B111" s="103"/>
      <c r="C111" s="103"/>
    </row>
    <row r="112" spans="1:3" x14ac:dyDescent="0.25">
      <c r="A112" s="102"/>
      <c r="B112" s="103"/>
      <c r="C112" s="103"/>
    </row>
    <row r="113" spans="1:3" x14ac:dyDescent="0.25">
      <c r="A113" s="102"/>
      <c r="B113" s="103"/>
      <c r="C113" s="103"/>
    </row>
    <row r="114" spans="1:3" x14ac:dyDescent="0.25">
      <c r="A114" s="102"/>
      <c r="B114" s="103"/>
      <c r="C114" s="103"/>
    </row>
    <row r="115" spans="1:3" x14ac:dyDescent="0.25">
      <c r="A115" s="102"/>
      <c r="B115" s="103"/>
      <c r="C115" s="103"/>
    </row>
    <row r="116" spans="1:3" x14ac:dyDescent="0.25">
      <c r="A116" s="102"/>
      <c r="B116" s="103"/>
      <c r="C116" s="103"/>
    </row>
    <row r="117" spans="1:3" x14ac:dyDescent="0.25">
      <c r="A117" s="102"/>
      <c r="B117" s="103"/>
      <c r="C117" s="103"/>
    </row>
    <row r="118" spans="1:3" x14ac:dyDescent="0.25">
      <c r="A118" s="102"/>
      <c r="B118" s="103"/>
      <c r="C118" s="103"/>
    </row>
    <row r="119" spans="1:3" x14ac:dyDescent="0.25">
      <c r="A119" s="102"/>
      <c r="B119" s="103"/>
      <c r="C119" s="103"/>
    </row>
    <row r="120" spans="1:3" x14ac:dyDescent="0.25">
      <c r="A120" s="102"/>
      <c r="B120" s="103"/>
      <c r="C120" s="103"/>
    </row>
    <row r="121" spans="1:3" x14ac:dyDescent="0.25">
      <c r="A121" s="102"/>
      <c r="B121" s="103"/>
      <c r="C121" s="103"/>
    </row>
    <row r="122" spans="1:3" x14ac:dyDescent="0.25">
      <c r="A122" s="102"/>
      <c r="B122" s="103"/>
      <c r="C122" s="103"/>
    </row>
    <row r="123" spans="1:3" x14ac:dyDescent="0.25">
      <c r="A123" s="102"/>
      <c r="B123" s="103"/>
      <c r="C123" s="103"/>
    </row>
    <row r="124" spans="1:3" x14ac:dyDescent="0.25">
      <c r="A124" s="102"/>
      <c r="B124" s="103"/>
      <c r="C124" s="103"/>
    </row>
    <row r="125" spans="1:3" x14ac:dyDescent="0.25">
      <c r="A125" s="102"/>
      <c r="B125" s="103"/>
      <c r="C125" s="103"/>
    </row>
    <row r="126" spans="1:3" x14ac:dyDescent="0.25">
      <c r="A126" s="102"/>
      <c r="B126" s="103"/>
      <c r="C126" s="103"/>
    </row>
    <row r="127" spans="1:3" x14ac:dyDescent="0.25">
      <c r="A127" s="102"/>
      <c r="B127" s="103"/>
      <c r="C127" s="103"/>
    </row>
    <row r="128" spans="1:3" x14ac:dyDescent="0.25">
      <c r="A128" s="102"/>
      <c r="B128" s="103"/>
      <c r="C128" s="103"/>
    </row>
    <row r="129" spans="1:3" x14ac:dyDescent="0.25">
      <c r="A129" s="102"/>
      <c r="B129" s="103"/>
      <c r="C129" s="103"/>
    </row>
    <row r="130" spans="1:3" x14ac:dyDescent="0.25">
      <c r="A130" s="102"/>
      <c r="B130" s="103"/>
      <c r="C130" s="103"/>
    </row>
    <row r="131" spans="1:3" x14ac:dyDescent="0.25">
      <c r="A131" s="102"/>
      <c r="B131" s="103"/>
      <c r="C131" s="103"/>
    </row>
    <row r="132" spans="1:3" x14ac:dyDescent="0.25">
      <c r="A132" s="102"/>
      <c r="B132" s="103"/>
      <c r="C132" s="103"/>
    </row>
    <row r="133" spans="1:3" x14ac:dyDescent="0.25">
      <c r="A133" s="102"/>
      <c r="B133" s="103"/>
      <c r="C133" s="103"/>
    </row>
    <row r="134" spans="1:3" x14ac:dyDescent="0.25">
      <c r="A134" s="102"/>
      <c r="B134" s="103"/>
      <c r="C134" s="103"/>
    </row>
    <row r="135" spans="1:3" x14ac:dyDescent="0.25">
      <c r="A135" s="102"/>
      <c r="B135" s="103"/>
      <c r="C135" s="103"/>
    </row>
    <row r="136" spans="1:3" x14ac:dyDescent="0.25">
      <c r="A136" s="102"/>
      <c r="B136" s="103"/>
      <c r="C136" s="103"/>
    </row>
    <row r="137" spans="1:3" x14ac:dyDescent="0.25">
      <c r="A137" s="102"/>
      <c r="B137" s="103"/>
      <c r="C137" s="103"/>
    </row>
    <row r="138" spans="1:3" x14ac:dyDescent="0.25">
      <c r="A138" s="102"/>
      <c r="B138" s="103"/>
      <c r="C138" s="103"/>
    </row>
    <row r="139" spans="1:3" x14ac:dyDescent="0.25">
      <c r="A139" s="102"/>
      <c r="B139" s="103"/>
      <c r="C139" s="103"/>
    </row>
    <row r="140" spans="1:3" x14ac:dyDescent="0.25">
      <c r="A140" s="102"/>
      <c r="B140" s="103"/>
      <c r="C140" s="103"/>
    </row>
    <row r="141" spans="1:3" x14ac:dyDescent="0.25">
      <c r="A141" s="102"/>
      <c r="B141" s="103"/>
      <c r="C141" s="103"/>
    </row>
    <row r="142" spans="1:3" x14ac:dyDescent="0.25">
      <c r="A142" s="102"/>
      <c r="B142" s="103"/>
      <c r="C142" s="103"/>
    </row>
    <row r="143" spans="1:3" x14ac:dyDescent="0.25">
      <c r="A143" s="102"/>
      <c r="B143" s="103"/>
      <c r="C143" s="103"/>
    </row>
    <row r="144" spans="1:3" x14ac:dyDescent="0.25">
      <c r="A144" s="102"/>
      <c r="B144" s="103"/>
      <c r="C144" s="103"/>
    </row>
    <row r="145" spans="1:3" x14ac:dyDescent="0.25">
      <c r="A145" s="102"/>
      <c r="B145" s="103"/>
      <c r="C145" s="103"/>
    </row>
    <row r="146" spans="1:3" x14ac:dyDescent="0.25">
      <c r="A146" s="102"/>
      <c r="B146" s="103"/>
      <c r="C146" s="103"/>
    </row>
    <row r="147" spans="1:3" x14ac:dyDescent="0.25">
      <c r="A147" s="102"/>
      <c r="B147" s="103"/>
      <c r="C147" s="103"/>
    </row>
    <row r="148" spans="1:3" x14ac:dyDescent="0.25">
      <c r="A148" s="102"/>
      <c r="B148" s="103"/>
      <c r="C148" s="103"/>
    </row>
    <row r="149" spans="1:3" x14ac:dyDescent="0.25">
      <c r="A149" s="102"/>
      <c r="B149" s="103"/>
      <c r="C149" s="103"/>
    </row>
    <row r="150" spans="1:3" x14ac:dyDescent="0.25">
      <c r="A150" s="102"/>
      <c r="B150" s="103"/>
      <c r="C150" s="103"/>
    </row>
    <row r="151" spans="1:3" x14ac:dyDescent="0.25">
      <c r="A151" s="102"/>
      <c r="B151" s="103"/>
      <c r="C151" s="103"/>
    </row>
    <row r="152" spans="1:3" x14ac:dyDescent="0.25">
      <c r="A152" s="102"/>
      <c r="B152" s="103"/>
      <c r="C152" s="103"/>
    </row>
    <row r="153" spans="1:3" x14ac:dyDescent="0.25">
      <c r="A153" s="102"/>
      <c r="B153" s="103"/>
      <c r="C153" s="103"/>
    </row>
    <row r="154" spans="1:3" x14ac:dyDescent="0.25">
      <c r="A154" s="102"/>
      <c r="B154" s="103"/>
      <c r="C154" s="103"/>
    </row>
    <row r="155" spans="1:3" x14ac:dyDescent="0.25">
      <c r="A155" s="102"/>
      <c r="B155" s="103"/>
      <c r="C155" s="103"/>
    </row>
    <row r="156" spans="1:3" x14ac:dyDescent="0.25">
      <c r="A156" s="102"/>
      <c r="B156" s="103"/>
      <c r="C156" s="103"/>
    </row>
    <row r="157" spans="1:3" x14ac:dyDescent="0.25">
      <c r="A157" s="102"/>
      <c r="B157" s="103"/>
      <c r="C157" s="103"/>
    </row>
    <row r="158" spans="1:3" x14ac:dyDescent="0.25">
      <c r="A158" s="102"/>
      <c r="B158" s="103"/>
      <c r="C158" s="103"/>
    </row>
    <row r="159" spans="1:3" x14ac:dyDescent="0.25">
      <c r="A159" s="102"/>
      <c r="B159" s="103"/>
      <c r="C159" s="103"/>
    </row>
    <row r="160" spans="1:3" x14ac:dyDescent="0.25">
      <c r="A160" s="102"/>
      <c r="B160" s="103"/>
      <c r="C160" s="103"/>
    </row>
    <row r="161" spans="1:3" x14ac:dyDescent="0.25">
      <c r="A161" s="102"/>
      <c r="B161" s="103"/>
      <c r="C161" s="103"/>
    </row>
    <row r="162" spans="1:3" x14ac:dyDescent="0.25">
      <c r="A162" s="102"/>
      <c r="B162" s="103"/>
      <c r="C162" s="103"/>
    </row>
    <row r="163" spans="1:3" x14ac:dyDescent="0.25">
      <c r="A163" s="102"/>
      <c r="B163" s="103"/>
      <c r="C163" s="103"/>
    </row>
    <row r="164" spans="1:3" x14ac:dyDescent="0.25">
      <c r="A164" s="102"/>
      <c r="B164" s="103"/>
      <c r="C164" s="103"/>
    </row>
    <row r="165" spans="1:3" x14ac:dyDescent="0.25">
      <c r="A165" s="102"/>
      <c r="B165" s="103"/>
      <c r="C165" s="103"/>
    </row>
    <row r="166" spans="1:3" x14ac:dyDescent="0.25">
      <c r="A166" s="102"/>
      <c r="B166" s="103"/>
      <c r="C166" s="103"/>
    </row>
    <row r="167" spans="1:3" x14ac:dyDescent="0.25">
      <c r="A167" s="102"/>
      <c r="B167" s="103"/>
      <c r="C167" s="103"/>
    </row>
    <row r="168" spans="1:3" x14ac:dyDescent="0.25">
      <c r="A168" s="102"/>
      <c r="B168" s="103"/>
      <c r="C168" s="103"/>
    </row>
    <row r="169" spans="1:3" x14ac:dyDescent="0.25">
      <c r="A169" s="102"/>
      <c r="B169" s="103"/>
      <c r="C169" s="103"/>
    </row>
    <row r="170" spans="1:3" x14ac:dyDescent="0.25">
      <c r="A170" s="102"/>
      <c r="B170" s="103"/>
      <c r="C170" s="103"/>
    </row>
    <row r="171" spans="1:3" x14ac:dyDescent="0.25">
      <c r="A171" s="102"/>
      <c r="B171" s="103"/>
      <c r="C171" s="103"/>
    </row>
    <row r="172" spans="1:3" x14ac:dyDescent="0.25">
      <c r="A172" s="102"/>
      <c r="B172" s="103"/>
      <c r="C172" s="103"/>
    </row>
    <row r="173" spans="1:3" x14ac:dyDescent="0.25">
      <c r="A173" s="102"/>
      <c r="B173" s="103"/>
      <c r="C173" s="103"/>
    </row>
    <row r="174" spans="1:3" x14ac:dyDescent="0.25">
      <c r="A174" s="102"/>
      <c r="B174" s="103"/>
      <c r="C174" s="103"/>
    </row>
    <row r="175" spans="1:3" x14ac:dyDescent="0.25">
      <c r="A175" s="102"/>
      <c r="B175" s="103"/>
      <c r="C175" s="103"/>
    </row>
    <row r="176" spans="1:3" x14ac:dyDescent="0.25">
      <c r="A176" s="102"/>
      <c r="B176" s="103"/>
      <c r="C176" s="103"/>
    </row>
    <row r="177" spans="1:3" x14ac:dyDescent="0.25">
      <c r="A177" s="102"/>
      <c r="B177" s="103"/>
      <c r="C177" s="103"/>
    </row>
    <row r="178" spans="1:3" x14ac:dyDescent="0.25">
      <c r="A178" s="102"/>
      <c r="B178" s="103"/>
      <c r="C178" s="103"/>
    </row>
    <row r="179" spans="1:3" x14ac:dyDescent="0.25">
      <c r="A179" s="102"/>
      <c r="B179" s="103"/>
      <c r="C179" s="103"/>
    </row>
    <row r="180" spans="1:3" x14ac:dyDescent="0.25">
      <c r="A180" s="102"/>
      <c r="B180" s="103"/>
      <c r="C180" s="103"/>
    </row>
    <row r="181" spans="1:3" x14ac:dyDescent="0.25">
      <c r="A181" s="102"/>
      <c r="B181" s="103"/>
      <c r="C181" s="103"/>
    </row>
    <row r="182" spans="1:3" x14ac:dyDescent="0.25">
      <c r="A182" s="102"/>
      <c r="B182" s="103"/>
      <c r="C182" s="103"/>
    </row>
    <row r="183" spans="1:3" x14ac:dyDescent="0.25">
      <c r="A183" s="102"/>
      <c r="B183" s="103"/>
      <c r="C183" s="103"/>
    </row>
    <row r="184" spans="1:3" x14ac:dyDescent="0.25">
      <c r="A184" s="102"/>
      <c r="B184" s="103"/>
      <c r="C184" s="103"/>
    </row>
    <row r="185" spans="1:3" x14ac:dyDescent="0.25">
      <c r="A185" s="102"/>
      <c r="B185" s="103"/>
      <c r="C185" s="103"/>
    </row>
    <row r="186" spans="1:3" x14ac:dyDescent="0.25">
      <c r="A186" s="102"/>
      <c r="B186" s="103"/>
      <c r="C186" s="103"/>
    </row>
    <row r="187" spans="1:3" x14ac:dyDescent="0.25">
      <c r="A187" s="102"/>
      <c r="B187" s="103"/>
      <c r="C187" s="103"/>
    </row>
    <row r="188" spans="1:3" x14ac:dyDescent="0.25">
      <c r="A188" s="102"/>
      <c r="B188" s="103"/>
      <c r="C188" s="103"/>
    </row>
    <row r="189" spans="1:3" x14ac:dyDescent="0.25">
      <c r="A189" s="102"/>
      <c r="B189" s="103"/>
      <c r="C189" s="103"/>
    </row>
    <row r="190" spans="1:3" x14ac:dyDescent="0.25">
      <c r="A190" s="102"/>
      <c r="B190" s="103"/>
      <c r="C190" s="103"/>
    </row>
    <row r="191" spans="1:3" x14ac:dyDescent="0.25">
      <c r="A191" s="102"/>
      <c r="B191" s="103"/>
      <c r="C191" s="103"/>
    </row>
    <row r="192" spans="1:3" x14ac:dyDescent="0.25">
      <c r="A192" s="102"/>
      <c r="B192" s="103"/>
      <c r="C192" s="103"/>
    </row>
    <row r="193" spans="1:3" x14ac:dyDescent="0.25">
      <c r="A193" s="102"/>
      <c r="B193" s="103"/>
      <c r="C193" s="103"/>
    </row>
    <row r="194" spans="1:3" x14ac:dyDescent="0.25">
      <c r="A194" s="102"/>
      <c r="B194" s="103"/>
      <c r="C194" s="103"/>
    </row>
    <row r="195" spans="1:3" x14ac:dyDescent="0.25">
      <c r="A195" s="102"/>
      <c r="B195" s="103"/>
      <c r="C195" s="103"/>
    </row>
    <row r="196" spans="1:3" x14ac:dyDescent="0.25">
      <c r="A196" s="102"/>
      <c r="B196" s="103"/>
      <c r="C196" s="103"/>
    </row>
    <row r="197" spans="1:3" x14ac:dyDescent="0.25">
      <c r="A197" s="102"/>
      <c r="B197" s="103"/>
      <c r="C197" s="103"/>
    </row>
    <row r="198" spans="1:3" x14ac:dyDescent="0.25">
      <c r="A198" s="102"/>
      <c r="B198" s="103"/>
      <c r="C198" s="103"/>
    </row>
    <row r="199" spans="1:3" x14ac:dyDescent="0.25">
      <c r="A199" s="102"/>
      <c r="B199" s="103"/>
      <c r="C199" s="103"/>
    </row>
    <row r="200" spans="1:3" x14ac:dyDescent="0.25">
      <c r="A200" s="102"/>
      <c r="B200" s="103"/>
      <c r="C200" s="103"/>
    </row>
    <row r="201" spans="1:3" x14ac:dyDescent="0.25">
      <c r="A201" s="102"/>
      <c r="B201" s="103"/>
      <c r="C201" s="103"/>
    </row>
    <row r="202" spans="1:3" x14ac:dyDescent="0.25">
      <c r="A202" s="102"/>
      <c r="B202" s="103"/>
      <c r="C202" s="103"/>
    </row>
    <row r="203" spans="1:3" x14ac:dyDescent="0.25">
      <c r="A203" s="102"/>
      <c r="B203" s="103"/>
      <c r="C203" s="103"/>
    </row>
    <row r="204" spans="1:3" x14ac:dyDescent="0.25">
      <c r="A204" s="102"/>
      <c r="B204" s="103"/>
      <c r="C204" s="103"/>
    </row>
    <row r="205" spans="1:3" x14ac:dyDescent="0.25">
      <c r="A205" s="102"/>
      <c r="B205" s="103"/>
      <c r="C205" s="103"/>
    </row>
    <row r="206" spans="1:3" x14ac:dyDescent="0.25">
      <c r="A206" s="102"/>
      <c r="B206" s="103"/>
      <c r="C206" s="103"/>
    </row>
    <row r="207" spans="1:3" x14ac:dyDescent="0.25">
      <c r="A207" s="102"/>
      <c r="B207" s="103"/>
      <c r="C207" s="103"/>
    </row>
    <row r="208" spans="1:3" x14ac:dyDescent="0.25">
      <c r="A208" s="102"/>
      <c r="B208" s="103"/>
      <c r="C208" s="103"/>
    </row>
    <row r="209" spans="1:3" x14ac:dyDescent="0.25">
      <c r="A209" s="102"/>
      <c r="B209" s="103"/>
      <c r="C209" s="103"/>
    </row>
    <row r="210" spans="1:3" x14ac:dyDescent="0.25">
      <c r="A210" s="102"/>
      <c r="B210" s="103"/>
      <c r="C210" s="103"/>
    </row>
    <row r="211" spans="1:3" x14ac:dyDescent="0.25">
      <c r="A211" s="102"/>
      <c r="B211" s="103"/>
      <c r="C211" s="103"/>
    </row>
    <row r="212" spans="1:3" x14ac:dyDescent="0.25">
      <c r="A212" s="102"/>
      <c r="B212" s="103"/>
      <c r="C212" s="103"/>
    </row>
    <row r="213" spans="1:3" x14ac:dyDescent="0.25">
      <c r="A213" s="102"/>
      <c r="B213" s="103"/>
      <c r="C213" s="103"/>
    </row>
    <row r="214" spans="1:3" x14ac:dyDescent="0.25">
      <c r="A214" s="102"/>
      <c r="B214" s="103"/>
      <c r="C214" s="103"/>
    </row>
    <row r="215" spans="1:3" x14ac:dyDescent="0.25">
      <c r="A215" s="102"/>
      <c r="B215" s="103"/>
      <c r="C215" s="103"/>
    </row>
    <row r="216" spans="1:3" x14ac:dyDescent="0.25">
      <c r="A216" s="102"/>
      <c r="B216" s="103"/>
      <c r="C216" s="103"/>
    </row>
    <row r="217" spans="1:3" x14ac:dyDescent="0.25">
      <c r="A217" s="102"/>
      <c r="B217" s="103"/>
      <c r="C217" s="103"/>
    </row>
    <row r="218" spans="1:3" x14ac:dyDescent="0.25">
      <c r="A218" s="102"/>
      <c r="B218" s="103"/>
      <c r="C218" s="103"/>
    </row>
    <row r="219" spans="1:3" x14ac:dyDescent="0.25">
      <c r="A219" s="102"/>
      <c r="B219" s="103"/>
      <c r="C219" s="103"/>
    </row>
    <row r="220" spans="1:3" x14ac:dyDescent="0.25">
      <c r="A220" s="102"/>
      <c r="B220" s="103"/>
      <c r="C220" s="103"/>
    </row>
    <row r="221" spans="1:3" x14ac:dyDescent="0.25">
      <c r="A221" s="102"/>
      <c r="B221" s="103"/>
      <c r="C221" s="103"/>
    </row>
    <row r="222" spans="1:3" x14ac:dyDescent="0.25">
      <c r="A222" s="102"/>
      <c r="B222" s="103"/>
      <c r="C222" s="103"/>
    </row>
    <row r="223" spans="1:3" x14ac:dyDescent="0.25">
      <c r="A223" s="102"/>
      <c r="B223" s="103"/>
      <c r="C223" s="103"/>
    </row>
    <row r="224" spans="1:3" x14ac:dyDescent="0.25">
      <c r="A224" s="102"/>
      <c r="B224" s="103"/>
      <c r="C224" s="103"/>
    </row>
    <row r="225" spans="1:3" x14ac:dyDescent="0.25">
      <c r="A225" s="102"/>
      <c r="B225" s="103"/>
      <c r="C225" s="103"/>
    </row>
    <row r="226" spans="1:3" x14ac:dyDescent="0.25">
      <c r="A226" s="102"/>
      <c r="B226" s="103"/>
      <c r="C226" s="103"/>
    </row>
    <row r="227" spans="1:3" x14ac:dyDescent="0.25">
      <c r="A227" s="102"/>
      <c r="B227" s="103"/>
      <c r="C227" s="103"/>
    </row>
    <row r="228" spans="1:3" x14ac:dyDescent="0.25">
      <c r="A228" s="102"/>
      <c r="B228" s="103"/>
      <c r="C228" s="103"/>
    </row>
    <row r="229" spans="1:3" x14ac:dyDescent="0.25">
      <c r="A229" s="102"/>
      <c r="B229" s="103"/>
      <c r="C229" s="103"/>
    </row>
    <row r="230" spans="1:3" x14ac:dyDescent="0.25">
      <c r="A230" s="102"/>
      <c r="B230" s="103"/>
      <c r="C230" s="103"/>
    </row>
    <row r="231" spans="1:3" x14ac:dyDescent="0.25">
      <c r="A231" s="102"/>
      <c r="B231" s="103"/>
      <c r="C231" s="103"/>
    </row>
    <row r="232" spans="1:3" x14ac:dyDescent="0.25">
      <c r="A232" s="102"/>
      <c r="B232" s="103"/>
      <c r="C232" s="103"/>
    </row>
    <row r="233" spans="1:3" x14ac:dyDescent="0.25">
      <c r="A233" s="102"/>
      <c r="B233" s="103"/>
      <c r="C233" s="103"/>
    </row>
    <row r="234" spans="1:3" x14ac:dyDescent="0.25">
      <c r="A234" s="102"/>
      <c r="B234" s="103"/>
      <c r="C234" s="103"/>
    </row>
    <row r="235" spans="1:3" x14ac:dyDescent="0.25">
      <c r="A235" s="102"/>
      <c r="B235" s="103"/>
      <c r="C235" s="103"/>
    </row>
    <row r="236" spans="1:3" x14ac:dyDescent="0.25">
      <c r="A236" s="102"/>
      <c r="B236" s="103"/>
      <c r="C236" s="103"/>
    </row>
    <row r="237" spans="1:3" x14ac:dyDescent="0.25">
      <c r="A237" s="102"/>
      <c r="B237" s="103"/>
      <c r="C237" s="103"/>
    </row>
    <row r="238" spans="1:3" x14ac:dyDescent="0.25">
      <c r="A238" s="102"/>
      <c r="B238" s="103"/>
      <c r="C238" s="103"/>
    </row>
    <row r="239" spans="1:3" x14ac:dyDescent="0.25">
      <c r="A239" s="102"/>
      <c r="B239" s="103"/>
      <c r="C239" s="103"/>
    </row>
    <row r="240" spans="1:3" x14ac:dyDescent="0.25">
      <c r="A240" s="102"/>
      <c r="B240" s="103"/>
      <c r="C240" s="103"/>
    </row>
    <row r="241" spans="1:3" x14ac:dyDescent="0.25">
      <c r="A241" s="102"/>
      <c r="B241" s="103"/>
      <c r="C241" s="103"/>
    </row>
    <row r="242" spans="1:3" x14ac:dyDescent="0.25">
      <c r="A242" s="102"/>
      <c r="B242" s="103"/>
      <c r="C242" s="103"/>
    </row>
    <row r="243" spans="1:3" x14ac:dyDescent="0.25">
      <c r="A243" s="102"/>
      <c r="B243" s="103"/>
      <c r="C243" s="103"/>
    </row>
    <row r="244" spans="1:3" x14ac:dyDescent="0.25">
      <c r="A244" s="102"/>
      <c r="B244" s="103"/>
      <c r="C244" s="103"/>
    </row>
    <row r="245" spans="1:3" x14ac:dyDescent="0.25">
      <c r="A245" s="102"/>
      <c r="B245" s="103"/>
      <c r="C245" s="103"/>
    </row>
    <row r="246" spans="1:3" x14ac:dyDescent="0.25">
      <c r="A246" s="102"/>
      <c r="B246" s="103"/>
      <c r="C246" s="103"/>
    </row>
    <row r="247" spans="1:3" x14ac:dyDescent="0.25">
      <c r="A247" s="102"/>
      <c r="B247" s="103"/>
      <c r="C247" s="103"/>
    </row>
    <row r="248" spans="1:3" x14ac:dyDescent="0.25">
      <c r="A248" s="102"/>
      <c r="B248" s="103"/>
      <c r="C248" s="103"/>
    </row>
    <row r="249" spans="1:3" x14ac:dyDescent="0.25">
      <c r="A249" s="102"/>
      <c r="B249" s="103"/>
      <c r="C249" s="103"/>
    </row>
    <row r="250" spans="1:3" x14ac:dyDescent="0.25">
      <c r="A250" s="102"/>
      <c r="B250" s="103"/>
      <c r="C250" s="103"/>
    </row>
    <row r="251" spans="1:3" x14ac:dyDescent="0.25">
      <c r="A251" s="102"/>
      <c r="B251" s="103"/>
      <c r="C251" s="103"/>
    </row>
    <row r="252" spans="1:3" x14ac:dyDescent="0.25">
      <c r="A252" s="102"/>
      <c r="B252" s="103"/>
      <c r="C252" s="103"/>
    </row>
    <row r="253" spans="1:3" x14ac:dyDescent="0.25">
      <c r="A253" s="102"/>
      <c r="B253" s="103"/>
      <c r="C253" s="103"/>
    </row>
    <row r="254" spans="1:3" x14ac:dyDescent="0.25">
      <c r="A254" s="102"/>
      <c r="B254" s="103"/>
      <c r="C254" s="103"/>
    </row>
    <row r="255" spans="1:3" x14ac:dyDescent="0.25">
      <c r="A255" s="102"/>
      <c r="B255" s="103"/>
      <c r="C255" s="103"/>
    </row>
    <row r="256" spans="1:3" x14ac:dyDescent="0.25">
      <c r="A256" s="102"/>
      <c r="B256" s="103"/>
      <c r="C256" s="103"/>
    </row>
    <row r="257" spans="1:3" x14ac:dyDescent="0.25">
      <c r="A257" s="102"/>
      <c r="B257" s="103"/>
      <c r="C257" s="103"/>
    </row>
    <row r="258" spans="1:3" x14ac:dyDescent="0.25">
      <c r="A258" s="102"/>
      <c r="B258" s="103"/>
      <c r="C258" s="103"/>
    </row>
    <row r="259" spans="1:3" x14ac:dyDescent="0.25">
      <c r="A259" s="102"/>
      <c r="B259" s="103"/>
      <c r="C259" s="103"/>
    </row>
    <row r="260" spans="1:3" x14ac:dyDescent="0.25">
      <c r="A260" s="102"/>
      <c r="B260" s="103"/>
      <c r="C260" s="103"/>
    </row>
    <row r="261" spans="1:3" x14ac:dyDescent="0.25">
      <c r="A261" s="102"/>
      <c r="B261" s="103"/>
      <c r="C261" s="103"/>
    </row>
    <row r="262" spans="1:3" x14ac:dyDescent="0.25">
      <c r="A262" s="102"/>
      <c r="B262" s="103"/>
      <c r="C262" s="103"/>
    </row>
    <row r="263" spans="1:3" x14ac:dyDescent="0.25">
      <c r="A263" s="102"/>
      <c r="B263" s="103"/>
      <c r="C263" s="103"/>
    </row>
    <row r="264" spans="1:3" x14ac:dyDescent="0.25">
      <c r="A264" s="102"/>
      <c r="B264" s="103"/>
      <c r="C264" s="103"/>
    </row>
    <row r="265" spans="1:3" x14ac:dyDescent="0.25">
      <c r="A265" s="102"/>
      <c r="B265" s="103"/>
      <c r="C265" s="103"/>
    </row>
    <row r="266" spans="1:3" x14ac:dyDescent="0.25">
      <c r="A266" s="102"/>
      <c r="B266" s="103"/>
      <c r="C266" s="103"/>
    </row>
    <row r="267" spans="1:3" x14ac:dyDescent="0.25">
      <c r="A267" s="102"/>
      <c r="B267" s="103"/>
      <c r="C267" s="103"/>
    </row>
    <row r="268" spans="1:3" x14ac:dyDescent="0.25">
      <c r="A268" s="102"/>
      <c r="B268" s="103"/>
      <c r="C268" s="103"/>
    </row>
    <row r="269" spans="1:3" x14ac:dyDescent="0.25">
      <c r="A269" s="102"/>
      <c r="B269" s="103"/>
      <c r="C269" s="103"/>
    </row>
    <row r="270" spans="1:3" x14ac:dyDescent="0.25">
      <c r="A270" s="102"/>
      <c r="B270" s="103"/>
      <c r="C270" s="103"/>
    </row>
    <row r="271" spans="1:3" x14ac:dyDescent="0.25">
      <c r="A271" s="102"/>
      <c r="B271" s="103"/>
      <c r="C271" s="103"/>
    </row>
    <row r="272" spans="1:3" x14ac:dyDescent="0.25">
      <c r="A272" s="102"/>
      <c r="B272" s="103"/>
      <c r="C272" s="103"/>
    </row>
    <row r="273" spans="1:3" x14ac:dyDescent="0.25">
      <c r="A273" s="102"/>
      <c r="B273" s="103"/>
      <c r="C273" s="103"/>
    </row>
    <row r="274" spans="1:3" x14ac:dyDescent="0.25">
      <c r="A274" s="102"/>
      <c r="B274" s="103"/>
      <c r="C274" s="103"/>
    </row>
    <row r="275" spans="1:3" x14ac:dyDescent="0.25">
      <c r="A275" s="102"/>
      <c r="B275" s="103"/>
      <c r="C275" s="103"/>
    </row>
    <row r="276" spans="1:3" x14ac:dyDescent="0.25">
      <c r="A276" s="102"/>
      <c r="B276" s="103"/>
      <c r="C276" s="103"/>
    </row>
    <row r="277" spans="1:3" x14ac:dyDescent="0.25">
      <c r="A277" s="102"/>
      <c r="B277" s="103"/>
      <c r="C277" s="103"/>
    </row>
    <row r="278" spans="1:3" x14ac:dyDescent="0.25">
      <c r="A278" s="102"/>
      <c r="B278" s="103"/>
      <c r="C278" s="103"/>
    </row>
    <row r="279" spans="1:3" x14ac:dyDescent="0.25">
      <c r="A279" s="102"/>
      <c r="B279" s="103"/>
      <c r="C279" s="103"/>
    </row>
    <row r="280" spans="1:3" x14ac:dyDescent="0.25">
      <c r="A280" s="102"/>
      <c r="B280" s="103"/>
      <c r="C280" s="103"/>
    </row>
    <row r="281" spans="1:3" x14ac:dyDescent="0.25">
      <c r="A281" s="102"/>
      <c r="B281" s="103"/>
      <c r="C281" s="103"/>
    </row>
    <row r="282" spans="1:3" x14ac:dyDescent="0.25">
      <c r="A282" s="102"/>
      <c r="B282" s="103"/>
      <c r="C282" s="103"/>
    </row>
    <row r="283" spans="1:3" x14ac:dyDescent="0.25">
      <c r="A283" s="102"/>
      <c r="B283" s="103"/>
      <c r="C283" s="103"/>
    </row>
    <row r="284" spans="1:3" x14ac:dyDescent="0.25">
      <c r="A284" s="102"/>
      <c r="B284" s="103"/>
      <c r="C284" s="103"/>
    </row>
    <row r="285" spans="1:3" x14ac:dyDescent="0.25">
      <c r="A285" s="102"/>
      <c r="B285" s="103"/>
      <c r="C285" s="103"/>
    </row>
    <row r="286" spans="1:3" x14ac:dyDescent="0.25">
      <c r="A286" s="102"/>
      <c r="B286" s="103"/>
      <c r="C286" s="103"/>
    </row>
    <row r="287" spans="1:3" x14ac:dyDescent="0.25">
      <c r="A287" s="102"/>
      <c r="B287" s="103"/>
      <c r="C287" s="103"/>
    </row>
    <row r="288" spans="1:3" x14ac:dyDescent="0.25">
      <c r="A288" s="102"/>
      <c r="B288" s="103"/>
      <c r="C288" s="103"/>
    </row>
    <row r="289" spans="1:3" x14ac:dyDescent="0.25">
      <c r="A289" s="102"/>
      <c r="B289" s="103"/>
      <c r="C289" s="103"/>
    </row>
    <row r="290" spans="1:3" x14ac:dyDescent="0.25">
      <c r="A290" s="102"/>
      <c r="B290" s="103"/>
      <c r="C290" s="103"/>
    </row>
    <row r="291" spans="1:3" x14ac:dyDescent="0.25">
      <c r="A291" s="102"/>
      <c r="B291" s="103"/>
      <c r="C291" s="103"/>
    </row>
    <row r="292" spans="1:3" x14ac:dyDescent="0.25">
      <c r="A292" s="102"/>
      <c r="B292" s="103"/>
      <c r="C292" s="103"/>
    </row>
    <row r="293" spans="1:3" x14ac:dyDescent="0.25">
      <c r="A293" s="102"/>
      <c r="B293" s="103"/>
      <c r="C293" s="103"/>
    </row>
    <row r="294" spans="1:3" x14ac:dyDescent="0.25">
      <c r="A294" s="102"/>
      <c r="B294" s="103"/>
      <c r="C294" s="103"/>
    </row>
    <row r="295" spans="1:3" x14ac:dyDescent="0.25">
      <c r="A295" s="102"/>
      <c r="B295" s="103"/>
      <c r="C295" s="103"/>
    </row>
    <row r="296" spans="1:3" x14ac:dyDescent="0.25">
      <c r="A296" s="102"/>
      <c r="B296" s="103"/>
      <c r="C296" s="103"/>
    </row>
    <row r="297" spans="1:3" x14ac:dyDescent="0.25">
      <c r="A297" s="102"/>
      <c r="B297" s="103"/>
      <c r="C297" s="103"/>
    </row>
    <row r="298" spans="1:3" x14ac:dyDescent="0.25">
      <c r="A298" s="102"/>
      <c r="B298" s="103"/>
      <c r="C298" s="103"/>
    </row>
    <row r="299" spans="1:3" x14ac:dyDescent="0.25">
      <c r="A299" s="102"/>
      <c r="B299" s="103"/>
      <c r="C299" s="103"/>
    </row>
    <row r="300" spans="1:3" x14ac:dyDescent="0.25">
      <c r="A300" s="102"/>
      <c r="B300" s="103"/>
      <c r="C300" s="103"/>
    </row>
    <row r="301" spans="1:3" x14ac:dyDescent="0.25">
      <c r="A301" s="102"/>
      <c r="B301" s="103"/>
      <c r="C301" s="103"/>
    </row>
    <row r="302" spans="1:3" x14ac:dyDescent="0.25">
      <c r="A302" s="102"/>
      <c r="B302" s="103"/>
      <c r="C302" s="103"/>
    </row>
    <row r="303" spans="1:3" x14ac:dyDescent="0.25">
      <c r="A303" s="102"/>
      <c r="B303" s="103"/>
      <c r="C303" s="103"/>
    </row>
    <row r="304" spans="1:3" x14ac:dyDescent="0.25">
      <c r="A304" s="102"/>
      <c r="B304" s="103"/>
      <c r="C304" s="103"/>
    </row>
    <row r="305" spans="1:3" x14ac:dyDescent="0.25">
      <c r="A305" s="102"/>
      <c r="B305" s="103"/>
      <c r="C305" s="103"/>
    </row>
    <row r="306" spans="1:3" x14ac:dyDescent="0.25">
      <c r="A306" s="102"/>
      <c r="B306" s="103"/>
      <c r="C306" s="103"/>
    </row>
    <row r="307" spans="1:3" x14ac:dyDescent="0.25">
      <c r="A307" s="102"/>
      <c r="B307" s="103"/>
      <c r="C307" s="103"/>
    </row>
    <row r="308" spans="1:3" x14ac:dyDescent="0.25">
      <c r="A308" s="102"/>
      <c r="B308" s="103"/>
      <c r="C308" s="103"/>
    </row>
    <row r="309" spans="1:3" x14ac:dyDescent="0.25">
      <c r="A309" s="102"/>
      <c r="B309" s="103"/>
      <c r="C309" s="103"/>
    </row>
    <row r="310" spans="1:3" x14ac:dyDescent="0.25">
      <c r="A310" s="102"/>
      <c r="B310" s="103"/>
      <c r="C310" s="103"/>
    </row>
    <row r="311" spans="1:3" x14ac:dyDescent="0.25">
      <c r="A311" s="102"/>
      <c r="B311" s="103"/>
      <c r="C311" s="103"/>
    </row>
    <row r="312" spans="1:3" x14ac:dyDescent="0.25">
      <c r="A312" s="102"/>
      <c r="B312" s="103"/>
      <c r="C312" s="103"/>
    </row>
    <row r="313" spans="1:3" x14ac:dyDescent="0.25">
      <c r="A313" s="102"/>
      <c r="B313" s="103"/>
      <c r="C313" s="103"/>
    </row>
    <row r="314" spans="1:3" x14ac:dyDescent="0.25">
      <c r="A314" s="102"/>
      <c r="B314" s="103"/>
      <c r="C314" s="103"/>
    </row>
    <row r="315" spans="1:3" x14ac:dyDescent="0.25">
      <c r="A315" s="102"/>
      <c r="B315" s="103"/>
      <c r="C315" s="103"/>
    </row>
    <row r="316" spans="1:3" x14ac:dyDescent="0.25">
      <c r="A316" s="102"/>
      <c r="B316" s="103"/>
      <c r="C316" s="103"/>
    </row>
    <row r="317" spans="1:3" x14ac:dyDescent="0.25">
      <c r="A317" s="102"/>
      <c r="B317" s="103"/>
      <c r="C317" s="103"/>
    </row>
    <row r="318" spans="1:3" x14ac:dyDescent="0.25">
      <c r="A318" s="102"/>
      <c r="B318" s="103"/>
      <c r="C318" s="103"/>
    </row>
    <row r="319" spans="1:3" x14ac:dyDescent="0.25">
      <c r="A319" s="102"/>
      <c r="B319" s="103"/>
      <c r="C319" s="103"/>
    </row>
    <row r="320" spans="1:3" x14ac:dyDescent="0.25">
      <c r="A320" s="102"/>
      <c r="B320" s="103"/>
      <c r="C320" s="103"/>
    </row>
    <row r="321" spans="1:3" x14ac:dyDescent="0.25">
      <c r="A321" s="102"/>
      <c r="B321" s="103"/>
      <c r="C321" s="103"/>
    </row>
    <row r="322" spans="1:3" x14ac:dyDescent="0.25">
      <c r="A322" s="102"/>
      <c r="B322" s="103"/>
      <c r="C322" s="103"/>
    </row>
    <row r="323" spans="1:3" x14ac:dyDescent="0.25">
      <c r="A323" s="102"/>
      <c r="B323" s="103"/>
      <c r="C323" s="103"/>
    </row>
    <row r="324" spans="1:3" x14ac:dyDescent="0.25">
      <c r="A324" s="102"/>
      <c r="B324" s="103"/>
      <c r="C324" s="103"/>
    </row>
    <row r="325" spans="1:3" x14ac:dyDescent="0.25">
      <c r="A325" s="102"/>
      <c r="B325" s="103"/>
      <c r="C325" s="103"/>
    </row>
    <row r="326" spans="1:3" x14ac:dyDescent="0.25">
      <c r="A326" s="102"/>
      <c r="B326" s="103"/>
      <c r="C326" s="103"/>
    </row>
    <row r="327" spans="1:3" x14ac:dyDescent="0.25">
      <c r="A327" s="102"/>
      <c r="B327" s="103"/>
      <c r="C327" s="103"/>
    </row>
    <row r="328" spans="1:3" x14ac:dyDescent="0.25">
      <c r="A328" s="102"/>
      <c r="B328" s="103"/>
      <c r="C328" s="103"/>
    </row>
    <row r="329" spans="1:3" x14ac:dyDescent="0.25">
      <c r="A329" s="102"/>
      <c r="B329" s="103"/>
      <c r="C329" s="103"/>
    </row>
    <row r="330" spans="1:3" x14ac:dyDescent="0.25">
      <c r="A330" s="102"/>
      <c r="B330" s="103"/>
      <c r="C330" s="103"/>
    </row>
    <row r="331" spans="1:3" x14ac:dyDescent="0.25">
      <c r="A331" s="102"/>
      <c r="B331" s="103"/>
      <c r="C331" s="103"/>
    </row>
    <row r="332" spans="1:3" x14ac:dyDescent="0.25">
      <c r="A332" s="102"/>
      <c r="B332" s="103"/>
      <c r="C332" s="103"/>
    </row>
    <row r="333" spans="1:3" x14ac:dyDescent="0.25">
      <c r="A333" s="102"/>
      <c r="B333" s="103"/>
      <c r="C333" s="103"/>
    </row>
    <row r="334" spans="1:3" x14ac:dyDescent="0.25">
      <c r="A334" s="102"/>
      <c r="B334" s="103"/>
      <c r="C334" s="103"/>
    </row>
    <row r="335" spans="1:3" x14ac:dyDescent="0.25">
      <c r="A335" s="102"/>
      <c r="B335" s="103"/>
      <c r="C335" s="103"/>
    </row>
    <row r="336" spans="1:3" x14ac:dyDescent="0.25">
      <c r="A336" s="102"/>
      <c r="B336" s="103"/>
      <c r="C336" s="103"/>
    </row>
    <row r="337" spans="1:3" x14ac:dyDescent="0.25">
      <c r="A337" s="102"/>
      <c r="B337" s="103"/>
      <c r="C337" s="103"/>
    </row>
    <row r="338" spans="1:3" x14ac:dyDescent="0.25">
      <c r="A338" s="102"/>
      <c r="B338" s="103"/>
      <c r="C338" s="103"/>
    </row>
    <row r="339" spans="1:3" x14ac:dyDescent="0.25">
      <c r="A339" s="102"/>
      <c r="B339" s="103"/>
      <c r="C339" s="103"/>
    </row>
    <row r="340" spans="1:3" x14ac:dyDescent="0.25">
      <c r="A340" s="102"/>
      <c r="B340" s="103"/>
      <c r="C340" s="103"/>
    </row>
    <row r="341" spans="1:3" x14ac:dyDescent="0.25">
      <c r="A341" s="102"/>
      <c r="B341" s="103"/>
      <c r="C341" s="103"/>
    </row>
    <row r="342" spans="1:3" x14ac:dyDescent="0.25">
      <c r="A342" s="102"/>
      <c r="B342" s="103"/>
      <c r="C342" s="103"/>
    </row>
    <row r="343" spans="1:3" x14ac:dyDescent="0.25">
      <c r="A343" s="102"/>
      <c r="B343" s="103"/>
      <c r="C343" s="103"/>
    </row>
    <row r="344" spans="1:3" x14ac:dyDescent="0.25">
      <c r="A344" s="102"/>
      <c r="B344" s="103"/>
      <c r="C344" s="103"/>
    </row>
    <row r="345" spans="1:3" x14ac:dyDescent="0.25">
      <c r="A345" s="102"/>
      <c r="B345" s="103"/>
      <c r="C345" s="103"/>
    </row>
    <row r="346" spans="1:3" x14ac:dyDescent="0.25">
      <c r="A346" s="102"/>
      <c r="B346" s="103"/>
      <c r="C346" s="103"/>
    </row>
    <row r="347" spans="1:3" x14ac:dyDescent="0.25">
      <c r="A347" s="102"/>
      <c r="B347" s="103"/>
      <c r="C347" s="103"/>
    </row>
    <row r="348" spans="1:3" x14ac:dyDescent="0.25">
      <c r="A348" s="102"/>
      <c r="B348" s="103"/>
      <c r="C348" s="103"/>
    </row>
    <row r="349" spans="1:3" x14ac:dyDescent="0.25">
      <c r="A349" s="102"/>
      <c r="B349" s="103"/>
      <c r="C349" s="103"/>
    </row>
    <row r="350" spans="1:3" x14ac:dyDescent="0.25">
      <c r="A350" s="102"/>
      <c r="B350" s="103"/>
      <c r="C350" s="103"/>
    </row>
    <row r="351" spans="1:3" x14ac:dyDescent="0.25">
      <c r="A351" s="102"/>
      <c r="B351" s="103"/>
      <c r="C351" s="103"/>
    </row>
    <row r="352" spans="1:3" x14ac:dyDescent="0.25">
      <c r="A352" s="102"/>
      <c r="B352" s="103"/>
      <c r="C352" s="103"/>
    </row>
    <row r="353" spans="1:3" x14ac:dyDescent="0.25">
      <c r="A353" s="102"/>
      <c r="B353" s="103"/>
      <c r="C353" s="103"/>
    </row>
    <row r="354" spans="1:3" x14ac:dyDescent="0.25">
      <c r="A354" s="102"/>
      <c r="B354" s="103"/>
      <c r="C354" s="103"/>
    </row>
    <row r="355" spans="1:3" x14ac:dyDescent="0.25">
      <c r="A355" s="102"/>
      <c r="B355" s="103"/>
      <c r="C355" s="103"/>
    </row>
    <row r="356" spans="1:3" x14ac:dyDescent="0.25">
      <c r="A356" s="102"/>
      <c r="B356" s="103"/>
      <c r="C356" s="103"/>
    </row>
    <row r="357" spans="1:3" x14ac:dyDescent="0.25">
      <c r="A357" s="102"/>
      <c r="B357" s="103"/>
      <c r="C357" s="103"/>
    </row>
    <row r="358" spans="1:3" x14ac:dyDescent="0.25">
      <c r="A358" s="102"/>
      <c r="B358" s="103"/>
      <c r="C358" s="103"/>
    </row>
    <row r="359" spans="1:3" x14ac:dyDescent="0.25">
      <c r="A359" s="102"/>
      <c r="B359" s="103"/>
      <c r="C359" s="103"/>
    </row>
    <row r="360" spans="1:3" x14ac:dyDescent="0.25">
      <c r="A360" s="102"/>
      <c r="B360" s="103"/>
      <c r="C360" s="103"/>
    </row>
    <row r="361" spans="1:3" x14ac:dyDescent="0.25">
      <c r="A361" s="102"/>
      <c r="B361" s="103"/>
      <c r="C361" s="103"/>
    </row>
    <row r="362" spans="1:3" x14ac:dyDescent="0.25">
      <c r="A362" s="102"/>
      <c r="B362" s="103"/>
      <c r="C362" s="103"/>
    </row>
    <row r="363" spans="1:3" x14ac:dyDescent="0.25">
      <c r="A363" s="102"/>
      <c r="B363" s="103"/>
      <c r="C363" s="103"/>
    </row>
    <row r="364" spans="1:3" x14ac:dyDescent="0.25">
      <c r="A364" s="102"/>
      <c r="B364" s="103"/>
      <c r="C364" s="103"/>
    </row>
    <row r="365" spans="1:3" x14ac:dyDescent="0.25">
      <c r="A365" s="102"/>
      <c r="B365" s="103"/>
      <c r="C365" s="103"/>
    </row>
    <row r="366" spans="1:3" x14ac:dyDescent="0.25">
      <c r="A366" s="102"/>
      <c r="B366" s="103"/>
      <c r="C366" s="103"/>
    </row>
    <row r="367" spans="1:3" x14ac:dyDescent="0.25">
      <c r="A367" s="102"/>
      <c r="B367" s="103"/>
      <c r="C367" s="103"/>
    </row>
    <row r="368" spans="1:3" x14ac:dyDescent="0.25">
      <c r="A368" s="102"/>
      <c r="B368" s="103"/>
      <c r="C368" s="103"/>
    </row>
    <row r="369" spans="1:3" x14ac:dyDescent="0.25">
      <c r="A369" s="102"/>
      <c r="B369" s="103"/>
      <c r="C369" s="103"/>
    </row>
    <row r="370" spans="1:3" x14ac:dyDescent="0.25">
      <c r="A370" s="102"/>
      <c r="B370" s="103"/>
      <c r="C370" s="103"/>
    </row>
    <row r="371" spans="1:3" x14ac:dyDescent="0.25">
      <c r="A371" s="102"/>
      <c r="B371" s="103"/>
      <c r="C371" s="103"/>
    </row>
    <row r="372" spans="1:3" x14ac:dyDescent="0.25">
      <c r="A372" s="102"/>
      <c r="B372" s="103"/>
      <c r="C372" s="103"/>
    </row>
    <row r="373" spans="1:3" x14ac:dyDescent="0.25">
      <c r="A373" s="102"/>
      <c r="B373" s="103"/>
      <c r="C373" s="103"/>
    </row>
    <row r="374" spans="1:3" x14ac:dyDescent="0.25">
      <c r="A374" s="102"/>
      <c r="B374" s="103"/>
      <c r="C374" s="103"/>
    </row>
    <row r="375" spans="1:3" x14ac:dyDescent="0.25">
      <c r="A375" s="102"/>
      <c r="B375" s="103"/>
      <c r="C375" s="103"/>
    </row>
    <row r="376" spans="1:3" x14ac:dyDescent="0.25">
      <c r="A376" s="102"/>
      <c r="B376" s="103"/>
      <c r="C376" s="103"/>
    </row>
    <row r="377" spans="1:3" x14ac:dyDescent="0.25">
      <c r="A377" s="102"/>
      <c r="B377" s="103"/>
      <c r="C377" s="103"/>
    </row>
    <row r="378" spans="1:3" x14ac:dyDescent="0.25">
      <c r="A378" s="102"/>
      <c r="B378" s="103"/>
      <c r="C378" s="103"/>
    </row>
    <row r="379" spans="1:3" x14ac:dyDescent="0.25">
      <c r="A379" s="102"/>
      <c r="B379" s="103"/>
      <c r="C379" s="103"/>
    </row>
    <row r="380" spans="1:3" x14ac:dyDescent="0.25">
      <c r="A380" s="102"/>
      <c r="B380" s="103"/>
      <c r="C380" s="103"/>
    </row>
    <row r="381" spans="1:3" x14ac:dyDescent="0.25">
      <c r="A381" s="102"/>
      <c r="B381" s="103"/>
      <c r="C381" s="103"/>
    </row>
    <row r="382" spans="1:3" x14ac:dyDescent="0.25">
      <c r="A382" s="102"/>
      <c r="B382" s="103"/>
      <c r="C382" s="103"/>
    </row>
    <row r="383" spans="1:3" x14ac:dyDescent="0.25">
      <c r="A383" s="102"/>
      <c r="B383" s="103"/>
      <c r="C383" s="103"/>
    </row>
    <row r="384" spans="1:3" x14ac:dyDescent="0.25">
      <c r="A384" s="102"/>
      <c r="B384" s="103"/>
      <c r="C384" s="103"/>
    </row>
    <row r="385" spans="1:3" x14ac:dyDescent="0.25">
      <c r="A385" s="102"/>
      <c r="B385" s="103"/>
      <c r="C385" s="103"/>
    </row>
    <row r="386" spans="1:3" x14ac:dyDescent="0.25">
      <c r="A386" s="102"/>
      <c r="B386" s="103"/>
      <c r="C386" s="103"/>
    </row>
    <row r="387" spans="1:3" x14ac:dyDescent="0.25">
      <c r="A387" s="102"/>
      <c r="B387" s="103"/>
      <c r="C387" s="103"/>
    </row>
    <row r="388" spans="1:3" x14ac:dyDescent="0.25">
      <c r="A388" s="102"/>
      <c r="B388" s="103"/>
      <c r="C388" s="103"/>
    </row>
    <row r="389" spans="1:3" x14ac:dyDescent="0.25">
      <c r="A389" s="102"/>
      <c r="B389" s="103"/>
      <c r="C389" s="103"/>
    </row>
    <row r="390" spans="1:3" x14ac:dyDescent="0.25">
      <c r="A390" s="102"/>
      <c r="B390" s="103"/>
      <c r="C390" s="103"/>
    </row>
    <row r="391" spans="1:3" x14ac:dyDescent="0.25">
      <c r="A391" s="102"/>
      <c r="B391" s="103"/>
      <c r="C391" s="103"/>
    </row>
    <row r="392" spans="1:3" x14ac:dyDescent="0.25">
      <c r="A392" s="102"/>
      <c r="B392" s="103"/>
      <c r="C392" s="103"/>
    </row>
    <row r="393" spans="1:3" x14ac:dyDescent="0.25">
      <c r="A393" s="102"/>
      <c r="B393" s="103"/>
      <c r="C393" s="103"/>
    </row>
    <row r="394" spans="1:3" x14ac:dyDescent="0.25">
      <c r="A394" s="102"/>
      <c r="B394" s="103"/>
      <c r="C394" s="103"/>
    </row>
    <row r="395" spans="1:3" x14ac:dyDescent="0.25">
      <c r="A395" s="102"/>
      <c r="B395" s="103"/>
      <c r="C395" s="103"/>
    </row>
    <row r="396" spans="1:3" x14ac:dyDescent="0.25">
      <c r="A396" s="102"/>
      <c r="B396" s="103"/>
      <c r="C396" s="103"/>
    </row>
    <row r="397" spans="1:3" x14ac:dyDescent="0.25">
      <c r="A397" s="102"/>
      <c r="B397" s="103"/>
      <c r="C397" s="103"/>
    </row>
    <row r="398" spans="1:3" x14ac:dyDescent="0.25">
      <c r="A398" s="102"/>
      <c r="B398" s="103"/>
      <c r="C398" s="103"/>
    </row>
    <row r="399" spans="1:3" x14ac:dyDescent="0.25">
      <c r="A399" s="102"/>
      <c r="B399" s="103"/>
      <c r="C399" s="103"/>
    </row>
    <row r="400" spans="1:3" x14ac:dyDescent="0.25">
      <c r="A400" s="102"/>
      <c r="B400" s="103"/>
      <c r="C400" s="103"/>
    </row>
    <row r="401" spans="1:3" x14ac:dyDescent="0.25">
      <c r="A401" s="102"/>
      <c r="B401" s="103"/>
      <c r="C401" s="103"/>
    </row>
    <row r="402" spans="1:3" x14ac:dyDescent="0.25">
      <c r="A402" s="102"/>
      <c r="B402" s="103"/>
      <c r="C402" s="103"/>
    </row>
    <row r="403" spans="1:3" x14ac:dyDescent="0.25">
      <c r="A403" s="102"/>
      <c r="B403" s="103"/>
      <c r="C403" s="103"/>
    </row>
    <row r="404" spans="1:3" x14ac:dyDescent="0.25">
      <c r="A404" s="102"/>
      <c r="B404" s="103"/>
      <c r="C404" s="103"/>
    </row>
    <row r="405" spans="1:3" x14ac:dyDescent="0.25">
      <c r="A405" s="102"/>
      <c r="B405" s="103"/>
      <c r="C405" s="103"/>
    </row>
    <row r="406" spans="1:3" x14ac:dyDescent="0.25">
      <c r="A406" s="102"/>
      <c r="B406" s="103"/>
      <c r="C406" s="103"/>
    </row>
    <row r="407" spans="1:3" x14ac:dyDescent="0.25">
      <c r="A407" s="102"/>
      <c r="B407" s="103"/>
      <c r="C407" s="103"/>
    </row>
    <row r="408" spans="1:3" x14ac:dyDescent="0.25">
      <c r="A408" s="102"/>
      <c r="B408" s="103"/>
      <c r="C408" s="103"/>
    </row>
    <row r="409" spans="1:3" x14ac:dyDescent="0.25">
      <c r="A409" s="102"/>
      <c r="B409" s="103"/>
      <c r="C409" s="103"/>
    </row>
    <row r="410" spans="1:3" x14ac:dyDescent="0.25">
      <c r="A410" s="102"/>
      <c r="B410" s="103"/>
      <c r="C410" s="103"/>
    </row>
    <row r="411" spans="1:3" x14ac:dyDescent="0.25">
      <c r="A411" s="102"/>
      <c r="B411" s="103"/>
      <c r="C411" s="103"/>
    </row>
    <row r="412" spans="1:3" x14ac:dyDescent="0.25">
      <c r="A412" s="102"/>
      <c r="B412" s="103"/>
      <c r="C412" s="103"/>
    </row>
    <row r="413" spans="1:3" x14ac:dyDescent="0.25">
      <c r="A413" s="102"/>
      <c r="B413" s="103"/>
      <c r="C413" s="103"/>
    </row>
    <row r="414" spans="1:3" x14ac:dyDescent="0.25">
      <c r="A414" s="102"/>
      <c r="B414" s="103"/>
      <c r="C414" s="103"/>
    </row>
    <row r="415" spans="1:3" x14ac:dyDescent="0.25">
      <c r="A415" s="102"/>
      <c r="B415" s="103"/>
      <c r="C415" s="103"/>
    </row>
    <row r="416" spans="1:3" x14ac:dyDescent="0.25">
      <c r="A416" s="102"/>
      <c r="B416" s="103"/>
      <c r="C416" s="103"/>
    </row>
    <row r="417" spans="1:3" x14ac:dyDescent="0.25">
      <c r="A417" s="102"/>
      <c r="B417" s="103"/>
      <c r="C417" s="103"/>
    </row>
    <row r="418" spans="1:3" x14ac:dyDescent="0.25">
      <c r="A418" s="102"/>
      <c r="B418" s="103"/>
      <c r="C418" s="103"/>
    </row>
    <row r="419" spans="1:3" x14ac:dyDescent="0.25">
      <c r="A419" s="102"/>
      <c r="B419" s="103"/>
      <c r="C419" s="103"/>
    </row>
    <row r="420" spans="1:3" x14ac:dyDescent="0.25">
      <c r="A420" s="102"/>
      <c r="B420" s="103"/>
      <c r="C420" s="103"/>
    </row>
    <row r="421" spans="1:3" x14ac:dyDescent="0.25">
      <c r="A421" s="102"/>
      <c r="B421" s="103"/>
      <c r="C421" s="103"/>
    </row>
    <row r="422" spans="1:3" x14ac:dyDescent="0.25">
      <c r="A422" s="102"/>
      <c r="B422" s="103"/>
      <c r="C422" s="103"/>
    </row>
    <row r="423" spans="1:3" x14ac:dyDescent="0.25">
      <c r="A423" s="102"/>
      <c r="B423" s="103"/>
      <c r="C423" s="103"/>
    </row>
    <row r="424" spans="1:3" x14ac:dyDescent="0.25">
      <c r="A424" s="102"/>
      <c r="B424" s="103"/>
      <c r="C424" s="103"/>
    </row>
    <row r="425" spans="1:3" x14ac:dyDescent="0.25">
      <c r="A425" s="102"/>
      <c r="B425" s="103"/>
      <c r="C425" s="103"/>
    </row>
    <row r="426" spans="1:3" x14ac:dyDescent="0.25">
      <c r="A426" s="102"/>
      <c r="B426" s="103"/>
      <c r="C426" s="103"/>
    </row>
    <row r="427" spans="1:3" x14ac:dyDescent="0.25">
      <c r="A427" s="102"/>
      <c r="B427" s="103"/>
      <c r="C427" s="103"/>
    </row>
    <row r="428" spans="1:3" x14ac:dyDescent="0.25">
      <c r="A428" s="102"/>
      <c r="B428" s="103"/>
      <c r="C428" s="103"/>
    </row>
    <row r="429" spans="1:3" x14ac:dyDescent="0.25">
      <c r="A429" s="102"/>
      <c r="B429" s="103"/>
      <c r="C429" s="103"/>
    </row>
    <row r="430" spans="1:3" x14ac:dyDescent="0.25">
      <c r="A430" s="102"/>
      <c r="B430" s="103"/>
      <c r="C430" s="103"/>
    </row>
    <row r="431" spans="1:3" x14ac:dyDescent="0.25">
      <c r="A431" s="102"/>
      <c r="B431" s="103"/>
      <c r="C431" s="103"/>
    </row>
    <row r="432" spans="1:3" x14ac:dyDescent="0.25">
      <c r="A432" s="102"/>
      <c r="B432" s="103"/>
      <c r="C432" s="103"/>
    </row>
    <row r="433" spans="1:3" x14ac:dyDescent="0.25">
      <c r="A433" s="102"/>
      <c r="B433" s="103"/>
      <c r="C433" s="103"/>
    </row>
    <row r="434" spans="1:3" x14ac:dyDescent="0.25">
      <c r="A434" s="102"/>
      <c r="B434" s="103"/>
      <c r="C434" s="103"/>
    </row>
    <row r="435" spans="1:3" x14ac:dyDescent="0.25">
      <c r="A435" s="102"/>
      <c r="B435" s="103"/>
      <c r="C435" s="103"/>
    </row>
    <row r="436" spans="1:3" x14ac:dyDescent="0.25">
      <c r="A436" s="102"/>
      <c r="B436" s="103"/>
      <c r="C436" s="103"/>
    </row>
    <row r="437" spans="1:3" x14ac:dyDescent="0.25">
      <c r="A437" s="102"/>
      <c r="B437" s="103"/>
      <c r="C437" s="103"/>
    </row>
    <row r="438" spans="1:3" x14ac:dyDescent="0.25">
      <c r="A438" s="102"/>
      <c r="B438" s="103"/>
      <c r="C438" s="103"/>
    </row>
    <row r="439" spans="1:3" x14ac:dyDescent="0.25">
      <c r="A439" s="102"/>
      <c r="B439" s="103"/>
      <c r="C439" s="103"/>
    </row>
    <row r="440" spans="1:3" x14ac:dyDescent="0.25">
      <c r="A440" s="102"/>
      <c r="B440" s="103"/>
      <c r="C440" s="103"/>
    </row>
    <row r="441" spans="1:3" x14ac:dyDescent="0.25">
      <c r="A441" s="102"/>
      <c r="B441" s="103"/>
      <c r="C441" s="103"/>
    </row>
    <row r="442" spans="1:3" x14ac:dyDescent="0.25">
      <c r="A442" s="102"/>
      <c r="B442" s="103"/>
      <c r="C442" s="103"/>
    </row>
    <row r="443" spans="1:3" x14ac:dyDescent="0.25">
      <c r="A443" s="102"/>
      <c r="B443" s="103"/>
      <c r="C443" s="103"/>
    </row>
    <row r="444" spans="1:3" x14ac:dyDescent="0.25">
      <c r="A444" s="102"/>
      <c r="B444" s="103"/>
      <c r="C444" s="103"/>
    </row>
    <row r="445" spans="1:3" x14ac:dyDescent="0.25">
      <c r="A445" s="102"/>
      <c r="B445" s="103"/>
      <c r="C445" s="103"/>
    </row>
    <row r="446" spans="1:3" x14ac:dyDescent="0.25">
      <c r="A446" s="102"/>
      <c r="B446" s="103"/>
      <c r="C446" s="103"/>
    </row>
    <row r="447" spans="1:3" x14ac:dyDescent="0.25">
      <c r="A447" s="102"/>
      <c r="B447" s="103"/>
      <c r="C447" s="103"/>
    </row>
    <row r="448" spans="1:3" x14ac:dyDescent="0.25">
      <c r="A448" s="102"/>
      <c r="B448" s="103"/>
      <c r="C448" s="103"/>
    </row>
    <row r="449" spans="1:3" x14ac:dyDescent="0.25">
      <c r="A449" s="102"/>
      <c r="B449" s="103"/>
      <c r="C449" s="103"/>
    </row>
    <row r="450" spans="1:3" x14ac:dyDescent="0.25">
      <c r="A450" s="102"/>
      <c r="B450" s="103"/>
      <c r="C450" s="103"/>
    </row>
    <row r="451" spans="1:3" x14ac:dyDescent="0.25">
      <c r="A451" s="102"/>
      <c r="B451" s="103"/>
      <c r="C451" s="103"/>
    </row>
    <row r="452" spans="1:3" x14ac:dyDescent="0.25">
      <c r="A452" s="102"/>
      <c r="B452" s="103"/>
      <c r="C452" s="103"/>
    </row>
    <row r="453" spans="1:3" x14ac:dyDescent="0.25">
      <c r="A453" s="102"/>
      <c r="B453" s="103"/>
      <c r="C453" s="103"/>
    </row>
    <row r="454" spans="1:3" x14ac:dyDescent="0.25">
      <c r="A454" s="102"/>
      <c r="B454" s="103"/>
      <c r="C454" s="103"/>
    </row>
    <row r="455" spans="1:3" x14ac:dyDescent="0.25">
      <c r="A455" s="102"/>
      <c r="B455" s="103"/>
      <c r="C455" s="103"/>
    </row>
    <row r="456" spans="1:3" x14ac:dyDescent="0.25">
      <c r="A456" s="102"/>
      <c r="B456" s="103"/>
      <c r="C456" s="103"/>
    </row>
    <row r="457" spans="1:3" x14ac:dyDescent="0.25">
      <c r="A457" s="102"/>
      <c r="B457" s="103"/>
      <c r="C457" s="103"/>
    </row>
    <row r="458" spans="1:3" x14ac:dyDescent="0.25">
      <c r="A458" s="102"/>
      <c r="B458" s="103"/>
      <c r="C458" s="103"/>
    </row>
    <row r="459" spans="1:3" x14ac:dyDescent="0.25">
      <c r="A459" s="102"/>
      <c r="B459" s="103"/>
      <c r="C459" s="103"/>
    </row>
    <row r="460" spans="1:3" x14ac:dyDescent="0.25">
      <c r="A460" s="102"/>
      <c r="B460" s="103"/>
      <c r="C460" s="103"/>
    </row>
    <row r="461" spans="1:3" x14ac:dyDescent="0.25">
      <c r="A461" s="102"/>
      <c r="B461" s="103"/>
      <c r="C461" s="103"/>
    </row>
    <row r="462" spans="1:3" x14ac:dyDescent="0.25">
      <c r="A462" s="102"/>
      <c r="B462" s="103"/>
      <c r="C462" s="103"/>
    </row>
    <row r="463" spans="1:3" x14ac:dyDescent="0.25">
      <c r="A463" s="102"/>
      <c r="B463" s="103"/>
      <c r="C463" s="103"/>
    </row>
    <row r="464" spans="1:3" x14ac:dyDescent="0.25">
      <c r="A464" s="102"/>
      <c r="B464" s="103"/>
      <c r="C464" s="103"/>
    </row>
    <row r="465" spans="1:3" x14ac:dyDescent="0.25">
      <c r="A465" s="102"/>
      <c r="B465" s="103"/>
      <c r="C465" s="103"/>
    </row>
    <row r="466" spans="1:3" x14ac:dyDescent="0.25">
      <c r="A466" s="102"/>
      <c r="B466" s="103"/>
      <c r="C466" s="103"/>
    </row>
    <row r="467" spans="1:3" x14ac:dyDescent="0.25">
      <c r="A467" s="102"/>
      <c r="B467" s="103"/>
      <c r="C467" s="103"/>
    </row>
    <row r="468" spans="1:3" x14ac:dyDescent="0.25">
      <c r="A468" s="102"/>
      <c r="B468" s="103"/>
      <c r="C468" s="103"/>
    </row>
    <row r="469" spans="1:3" x14ac:dyDescent="0.25">
      <c r="A469" s="102"/>
      <c r="B469" s="103"/>
      <c r="C469" s="103"/>
    </row>
    <row r="470" spans="1:3" x14ac:dyDescent="0.25">
      <c r="A470" s="102"/>
      <c r="B470" s="103"/>
      <c r="C470" s="103"/>
    </row>
    <row r="471" spans="1:3" x14ac:dyDescent="0.25">
      <c r="A471" s="102"/>
      <c r="B471" s="103"/>
      <c r="C471" s="103"/>
    </row>
    <row r="472" spans="1:3" x14ac:dyDescent="0.25">
      <c r="A472" s="102"/>
      <c r="B472" s="103"/>
      <c r="C472" s="103"/>
    </row>
    <row r="473" spans="1:3" x14ac:dyDescent="0.25">
      <c r="A473" s="102"/>
      <c r="B473" s="103"/>
      <c r="C473" s="103"/>
    </row>
    <row r="474" spans="1:3" x14ac:dyDescent="0.25">
      <c r="A474" s="102"/>
      <c r="B474" s="103"/>
      <c r="C474" s="103"/>
    </row>
    <row r="475" spans="1:3" x14ac:dyDescent="0.25">
      <c r="A475" s="102"/>
      <c r="B475" s="103"/>
      <c r="C475" s="103"/>
    </row>
    <row r="476" spans="1:3" x14ac:dyDescent="0.25">
      <c r="A476" s="102"/>
      <c r="B476" s="103"/>
      <c r="C476" s="103"/>
    </row>
    <row r="477" spans="1:3" x14ac:dyDescent="0.25">
      <c r="A477" s="102"/>
      <c r="B477" s="103"/>
      <c r="C477" s="103"/>
    </row>
    <row r="478" spans="1:3" x14ac:dyDescent="0.25">
      <c r="A478" s="102"/>
      <c r="B478" s="103"/>
      <c r="C478" s="103"/>
    </row>
    <row r="479" spans="1:3" x14ac:dyDescent="0.25">
      <c r="A479" s="102"/>
      <c r="B479" s="103"/>
      <c r="C479" s="103"/>
    </row>
    <row r="480" spans="1:3" x14ac:dyDescent="0.25">
      <c r="A480" s="102"/>
      <c r="B480" s="103"/>
      <c r="C480" s="103"/>
    </row>
    <row r="481" spans="1:3" x14ac:dyDescent="0.25">
      <c r="A481" s="102"/>
      <c r="B481" s="103"/>
      <c r="C481" s="103"/>
    </row>
    <row r="482" spans="1:3" x14ac:dyDescent="0.25">
      <c r="A482" s="102"/>
      <c r="B482" s="103"/>
      <c r="C482" s="103"/>
    </row>
    <row r="483" spans="1:3" x14ac:dyDescent="0.25">
      <c r="A483" s="102"/>
      <c r="B483" s="103"/>
      <c r="C483" s="103"/>
    </row>
    <row r="484" spans="1:3" x14ac:dyDescent="0.25">
      <c r="A484" s="102"/>
      <c r="B484" s="103"/>
      <c r="C484" s="103"/>
    </row>
    <row r="485" spans="1:3" x14ac:dyDescent="0.25">
      <c r="A485" s="102"/>
      <c r="B485" s="103"/>
      <c r="C485" s="103"/>
    </row>
    <row r="486" spans="1:3" x14ac:dyDescent="0.25">
      <c r="A486" s="102"/>
      <c r="B486" s="103"/>
      <c r="C486" s="103"/>
    </row>
    <row r="487" spans="1:3" x14ac:dyDescent="0.25">
      <c r="A487" s="102"/>
      <c r="B487" s="103"/>
      <c r="C487" s="103"/>
    </row>
    <row r="488" spans="1:3" x14ac:dyDescent="0.25">
      <c r="A488" s="102"/>
      <c r="B488" s="103"/>
      <c r="C488" s="103"/>
    </row>
    <row r="489" spans="1:3" x14ac:dyDescent="0.25">
      <c r="A489" s="102"/>
      <c r="B489" s="103"/>
      <c r="C489" s="103"/>
    </row>
    <row r="490" spans="1:3" x14ac:dyDescent="0.25">
      <c r="A490" s="102"/>
      <c r="B490" s="103"/>
      <c r="C490" s="103"/>
    </row>
    <row r="491" spans="1:3" x14ac:dyDescent="0.25">
      <c r="A491" s="102"/>
      <c r="B491" s="103"/>
      <c r="C491" s="103"/>
    </row>
    <row r="492" spans="1:3" x14ac:dyDescent="0.25">
      <c r="A492" s="102"/>
      <c r="B492" s="103"/>
      <c r="C492" s="103"/>
    </row>
    <row r="493" spans="1:3" x14ac:dyDescent="0.25">
      <c r="A493" s="102"/>
      <c r="B493" s="103"/>
      <c r="C493" s="103"/>
    </row>
    <row r="494" spans="1:3" x14ac:dyDescent="0.25">
      <c r="A494" s="102"/>
      <c r="B494" s="103"/>
      <c r="C494" s="103"/>
    </row>
    <row r="495" spans="1:3" x14ac:dyDescent="0.25">
      <c r="A495" s="102"/>
      <c r="B495" s="103"/>
      <c r="C495" s="103"/>
    </row>
    <row r="496" spans="1:3" x14ac:dyDescent="0.25">
      <c r="A496" s="102"/>
      <c r="B496" s="103"/>
      <c r="C496" s="103"/>
    </row>
    <row r="497" spans="1:3" x14ac:dyDescent="0.25">
      <c r="A497" s="102"/>
      <c r="B497" s="103"/>
      <c r="C497" s="103"/>
    </row>
    <row r="498" spans="1:3" x14ac:dyDescent="0.25">
      <c r="A498" s="102"/>
      <c r="B498" s="103"/>
      <c r="C498" s="103"/>
    </row>
    <row r="499" spans="1:3" x14ac:dyDescent="0.25">
      <c r="A499" s="102"/>
      <c r="B499" s="103"/>
      <c r="C499" s="103"/>
    </row>
    <row r="500" spans="1:3" x14ac:dyDescent="0.25">
      <c r="A500" s="102"/>
      <c r="B500" s="103"/>
      <c r="C500" s="103"/>
    </row>
    <row r="501" spans="1:3" x14ac:dyDescent="0.25">
      <c r="A501" s="102"/>
      <c r="B501" s="103"/>
      <c r="C501" s="103"/>
    </row>
    <row r="502" spans="1:3" x14ac:dyDescent="0.25">
      <c r="A502" s="102"/>
      <c r="B502" s="103"/>
      <c r="C502" s="103"/>
    </row>
    <row r="503" spans="1:3" x14ac:dyDescent="0.25">
      <c r="A503" s="102"/>
      <c r="B503" s="103"/>
      <c r="C503" s="103"/>
    </row>
    <row r="504" spans="1:3" x14ac:dyDescent="0.25">
      <c r="A504" s="102"/>
      <c r="B504" s="103"/>
      <c r="C504" s="103"/>
    </row>
    <row r="505" spans="1:3" x14ac:dyDescent="0.25">
      <c r="A505" s="102"/>
      <c r="B505" s="103"/>
      <c r="C505" s="103"/>
    </row>
    <row r="506" spans="1:3" x14ac:dyDescent="0.25">
      <c r="A506" s="102"/>
      <c r="B506" s="103"/>
      <c r="C506" s="103"/>
    </row>
    <row r="507" spans="1:3" x14ac:dyDescent="0.25">
      <c r="A507" s="102"/>
      <c r="B507" s="103"/>
      <c r="C507" s="103"/>
    </row>
    <row r="508" spans="1:3" x14ac:dyDescent="0.25">
      <c r="A508" s="102"/>
      <c r="B508" s="103"/>
      <c r="C508" s="103"/>
    </row>
    <row r="509" spans="1:3" x14ac:dyDescent="0.25">
      <c r="A509" s="102"/>
      <c r="B509" s="103"/>
      <c r="C509" s="103"/>
    </row>
    <row r="510" spans="1:3" x14ac:dyDescent="0.25">
      <c r="A510" s="102"/>
      <c r="B510" s="103"/>
      <c r="C510" s="103"/>
    </row>
    <row r="511" spans="1:3" x14ac:dyDescent="0.25">
      <c r="A511" s="102"/>
      <c r="B511" s="103"/>
      <c r="C511" s="103"/>
    </row>
    <row r="512" spans="1:3" x14ac:dyDescent="0.25">
      <c r="A512" s="102"/>
      <c r="B512" s="103"/>
      <c r="C512" s="103"/>
    </row>
    <row r="513" spans="1:3" x14ac:dyDescent="0.25">
      <c r="A513" s="102"/>
      <c r="B513" s="103"/>
      <c r="C513" s="103"/>
    </row>
    <row r="514" spans="1:3" x14ac:dyDescent="0.25">
      <c r="A514" s="102"/>
      <c r="B514" s="103"/>
      <c r="C514" s="103"/>
    </row>
    <row r="515" spans="1:3" x14ac:dyDescent="0.25">
      <c r="A515" s="102"/>
      <c r="B515" s="103"/>
      <c r="C515" s="103"/>
    </row>
    <row r="516" spans="1:3" x14ac:dyDescent="0.25">
      <c r="A516" s="102"/>
      <c r="B516" s="103"/>
      <c r="C516" s="103"/>
    </row>
    <row r="517" spans="1:3" x14ac:dyDescent="0.25">
      <c r="A517" s="102"/>
      <c r="B517" s="103"/>
      <c r="C517" s="103"/>
    </row>
    <row r="518" spans="1:3" x14ac:dyDescent="0.25">
      <c r="A518" s="102"/>
      <c r="B518" s="103"/>
      <c r="C518" s="103"/>
    </row>
    <row r="519" spans="1:3" x14ac:dyDescent="0.25">
      <c r="A519" s="102"/>
      <c r="B519" s="103"/>
      <c r="C519" s="103"/>
    </row>
    <row r="520" spans="1:3" x14ac:dyDescent="0.25">
      <c r="A520" s="102"/>
      <c r="B520" s="103"/>
      <c r="C520" s="103"/>
    </row>
    <row r="521" spans="1:3" x14ac:dyDescent="0.25">
      <c r="A521" s="102"/>
      <c r="B521" s="103"/>
      <c r="C521" s="103"/>
    </row>
    <row r="522" spans="1:3" x14ac:dyDescent="0.25">
      <c r="A522" s="102"/>
      <c r="B522" s="103"/>
      <c r="C522" s="103"/>
    </row>
    <row r="523" spans="1:3" x14ac:dyDescent="0.25">
      <c r="A523" s="102"/>
      <c r="B523" s="103"/>
      <c r="C523" s="103"/>
    </row>
    <row r="524" spans="1:3" x14ac:dyDescent="0.25">
      <c r="A524" s="102"/>
      <c r="B524" s="103"/>
      <c r="C524" s="103"/>
    </row>
    <row r="525" spans="1:3" x14ac:dyDescent="0.25">
      <c r="A525" s="102"/>
      <c r="B525" s="103"/>
      <c r="C525" s="103"/>
    </row>
    <row r="526" spans="1:3" x14ac:dyDescent="0.25">
      <c r="A526" s="102"/>
      <c r="B526" s="103"/>
      <c r="C526" s="103"/>
    </row>
    <row r="527" spans="1:3" x14ac:dyDescent="0.25">
      <c r="A527" s="102"/>
      <c r="B527" s="103"/>
      <c r="C527" s="103"/>
    </row>
    <row r="528" spans="1:3" x14ac:dyDescent="0.25">
      <c r="A528" s="102"/>
      <c r="B528" s="103"/>
      <c r="C528" s="103"/>
    </row>
    <row r="529" spans="1:3" x14ac:dyDescent="0.25">
      <c r="A529" s="102"/>
      <c r="B529" s="103"/>
      <c r="C529" s="103"/>
    </row>
    <row r="530" spans="1:3" x14ac:dyDescent="0.25">
      <c r="A530" s="102"/>
      <c r="B530" s="103"/>
      <c r="C530" s="103"/>
    </row>
    <row r="531" spans="1:3" x14ac:dyDescent="0.25">
      <c r="A531" s="102"/>
      <c r="B531" s="103"/>
      <c r="C531" s="103"/>
    </row>
    <row r="532" spans="1:3" x14ac:dyDescent="0.25">
      <c r="A532" s="102"/>
      <c r="B532" s="103"/>
      <c r="C532" s="103"/>
    </row>
    <row r="533" spans="1:3" x14ac:dyDescent="0.25">
      <c r="A533" s="102"/>
      <c r="B533" s="103"/>
      <c r="C533" s="103"/>
    </row>
    <row r="534" spans="1:3" x14ac:dyDescent="0.25">
      <c r="A534" s="102"/>
      <c r="B534" s="103"/>
      <c r="C534" s="103"/>
    </row>
    <row r="535" spans="1:3" x14ac:dyDescent="0.25">
      <c r="A535" s="102"/>
      <c r="B535" s="103"/>
      <c r="C535" s="103"/>
    </row>
    <row r="536" spans="1:3" x14ac:dyDescent="0.25">
      <c r="A536" s="102"/>
      <c r="B536" s="103"/>
      <c r="C536" s="103"/>
    </row>
    <row r="537" spans="1:3" x14ac:dyDescent="0.25">
      <c r="A537" s="102"/>
      <c r="B537" s="103"/>
      <c r="C537" s="103"/>
    </row>
    <row r="538" spans="1:3" x14ac:dyDescent="0.25">
      <c r="A538" s="102"/>
      <c r="B538" s="103"/>
      <c r="C538" s="103"/>
    </row>
    <row r="539" spans="1:3" x14ac:dyDescent="0.25">
      <c r="A539" s="102"/>
      <c r="B539" s="103"/>
      <c r="C539" s="103"/>
    </row>
    <row r="540" spans="1:3" x14ac:dyDescent="0.25">
      <c r="A540" s="102"/>
      <c r="B540" s="103"/>
      <c r="C540" s="103"/>
    </row>
    <row r="541" spans="1:3" x14ac:dyDescent="0.25">
      <c r="A541" s="102"/>
      <c r="B541" s="103"/>
      <c r="C541" s="103"/>
    </row>
    <row r="542" spans="1:3" x14ac:dyDescent="0.25">
      <c r="A542" s="102"/>
      <c r="B542" s="103"/>
      <c r="C542" s="103"/>
    </row>
    <row r="543" spans="1:3" x14ac:dyDescent="0.25">
      <c r="A543" s="102"/>
      <c r="B543" s="103"/>
      <c r="C543" s="103"/>
    </row>
    <row r="544" spans="1:3" x14ac:dyDescent="0.25">
      <c r="A544" s="102"/>
      <c r="B544" s="103"/>
      <c r="C544" s="103"/>
    </row>
    <row r="545" spans="1:3" x14ac:dyDescent="0.25">
      <c r="A545" s="102"/>
      <c r="B545" s="103"/>
      <c r="C545" s="103"/>
    </row>
    <row r="546" spans="1:3" x14ac:dyDescent="0.25">
      <c r="A546" s="102"/>
      <c r="B546" s="103"/>
      <c r="C546" s="103"/>
    </row>
    <row r="547" spans="1:3" x14ac:dyDescent="0.25">
      <c r="A547" s="102"/>
      <c r="B547" s="103"/>
      <c r="C547" s="103"/>
    </row>
    <row r="548" spans="1:3" x14ac:dyDescent="0.25">
      <c r="A548" s="102"/>
      <c r="B548" s="103"/>
      <c r="C548" s="103"/>
    </row>
    <row r="549" spans="1:3" x14ac:dyDescent="0.25">
      <c r="A549" s="102"/>
      <c r="B549" s="103"/>
      <c r="C549" s="103"/>
    </row>
    <row r="550" spans="1:3" x14ac:dyDescent="0.25">
      <c r="A550" s="102"/>
      <c r="B550" s="103"/>
      <c r="C550" s="103"/>
    </row>
    <row r="551" spans="1:3" x14ac:dyDescent="0.25">
      <c r="A551" s="102"/>
      <c r="B551" s="103"/>
      <c r="C551" s="103"/>
    </row>
    <row r="552" spans="1:3" x14ac:dyDescent="0.25">
      <c r="A552" s="102"/>
      <c r="B552" s="103"/>
      <c r="C552" s="103"/>
    </row>
    <row r="553" spans="1:3" x14ac:dyDescent="0.25">
      <c r="A553" s="102"/>
      <c r="B553" s="103"/>
      <c r="C553" s="103"/>
    </row>
    <row r="554" spans="1:3" x14ac:dyDescent="0.25">
      <c r="A554" s="102"/>
      <c r="B554" s="103"/>
      <c r="C554" s="103"/>
    </row>
    <row r="555" spans="1:3" x14ac:dyDescent="0.25">
      <c r="A555" s="102"/>
      <c r="B555" s="103"/>
      <c r="C555" s="103"/>
    </row>
    <row r="556" spans="1:3" x14ac:dyDescent="0.25">
      <c r="A556" s="102"/>
      <c r="B556" s="103"/>
      <c r="C556" s="103"/>
    </row>
    <row r="557" spans="1:3" x14ac:dyDescent="0.25">
      <c r="A557" s="102"/>
      <c r="B557" s="103"/>
      <c r="C557" s="103"/>
    </row>
    <row r="558" spans="1:3" x14ac:dyDescent="0.25">
      <c r="A558" s="102"/>
      <c r="B558" s="103"/>
      <c r="C558" s="103"/>
    </row>
    <row r="559" spans="1:3" x14ac:dyDescent="0.25">
      <c r="A559" s="102"/>
      <c r="B559" s="103"/>
      <c r="C559" s="103"/>
    </row>
    <row r="560" spans="1:3" x14ac:dyDescent="0.25">
      <c r="A560" s="102"/>
      <c r="B560" s="103"/>
      <c r="C560" s="103"/>
    </row>
    <row r="561" spans="1:3" x14ac:dyDescent="0.25">
      <c r="A561" s="102"/>
      <c r="B561" s="103"/>
      <c r="C561" s="103"/>
    </row>
    <row r="562" spans="1:3" x14ac:dyDescent="0.25">
      <c r="A562" s="102"/>
      <c r="B562" s="103"/>
      <c r="C562" s="103"/>
    </row>
    <row r="563" spans="1:3" x14ac:dyDescent="0.25">
      <c r="A563" s="102"/>
      <c r="B563" s="103"/>
      <c r="C563" s="103"/>
    </row>
    <row r="564" spans="1:3" x14ac:dyDescent="0.25">
      <c r="A564" s="102"/>
      <c r="B564" s="103"/>
      <c r="C564" s="103"/>
    </row>
    <row r="565" spans="1:3" x14ac:dyDescent="0.25">
      <c r="A565" s="102"/>
      <c r="B565" s="103"/>
      <c r="C565" s="103"/>
    </row>
    <row r="566" spans="1:3" x14ac:dyDescent="0.25">
      <c r="A566" s="102"/>
      <c r="B566" s="103"/>
      <c r="C566" s="103"/>
    </row>
    <row r="567" spans="1:3" x14ac:dyDescent="0.25">
      <c r="A567" s="102"/>
      <c r="B567" s="103"/>
      <c r="C567" s="103"/>
    </row>
    <row r="568" spans="1:3" x14ac:dyDescent="0.25">
      <c r="A568" s="102"/>
      <c r="B568" s="103"/>
      <c r="C568" s="103"/>
    </row>
    <row r="569" spans="1:3" x14ac:dyDescent="0.25">
      <c r="A569" s="102"/>
      <c r="B569" s="103"/>
      <c r="C569" s="103"/>
    </row>
    <row r="570" spans="1:3" x14ac:dyDescent="0.25">
      <c r="A570" s="102"/>
      <c r="B570" s="103"/>
      <c r="C570" s="103"/>
    </row>
    <row r="571" spans="1:3" x14ac:dyDescent="0.25">
      <c r="A571" s="102"/>
      <c r="B571" s="103"/>
      <c r="C571" s="103"/>
    </row>
    <row r="572" spans="1:3" x14ac:dyDescent="0.25">
      <c r="A572" s="102"/>
      <c r="B572" s="103"/>
      <c r="C572" s="103"/>
    </row>
    <row r="573" spans="1:3" x14ac:dyDescent="0.25">
      <c r="A573" s="102"/>
      <c r="B573" s="103"/>
      <c r="C573" s="103"/>
    </row>
    <row r="574" spans="1:3" x14ac:dyDescent="0.25">
      <c r="A574" s="102"/>
      <c r="B574" s="103"/>
      <c r="C574" s="103"/>
    </row>
    <row r="575" spans="1:3" x14ac:dyDescent="0.25">
      <c r="A575" s="102"/>
      <c r="B575" s="103"/>
      <c r="C575" s="103"/>
    </row>
    <row r="576" spans="1:3" x14ac:dyDescent="0.25">
      <c r="A576" s="102"/>
      <c r="B576" s="103"/>
      <c r="C576" s="103"/>
    </row>
    <row r="577" spans="1:3" x14ac:dyDescent="0.25">
      <c r="A577" s="102"/>
      <c r="B577" s="103"/>
      <c r="C577" s="103"/>
    </row>
    <row r="578" spans="1:3" x14ac:dyDescent="0.25">
      <c r="A578" s="102"/>
      <c r="B578" s="103"/>
      <c r="C578" s="103"/>
    </row>
    <row r="579" spans="1:3" x14ac:dyDescent="0.25">
      <c r="A579" s="102"/>
      <c r="B579" s="103"/>
      <c r="C579" s="103"/>
    </row>
    <row r="580" spans="1:3" x14ac:dyDescent="0.25">
      <c r="A580" s="102"/>
      <c r="B580" s="103"/>
      <c r="C580" s="103"/>
    </row>
    <row r="581" spans="1:3" x14ac:dyDescent="0.25">
      <c r="A581" s="102"/>
      <c r="B581" s="103"/>
      <c r="C581" s="103"/>
    </row>
    <row r="582" spans="1:3" x14ac:dyDescent="0.25">
      <c r="A582" s="102"/>
      <c r="B582" s="103"/>
      <c r="C582" s="103"/>
    </row>
    <row r="583" spans="1:3" x14ac:dyDescent="0.25">
      <c r="A583" s="102"/>
      <c r="B583" s="103"/>
      <c r="C583" s="103"/>
    </row>
    <row r="584" spans="1:3" x14ac:dyDescent="0.25">
      <c r="A584" s="102"/>
      <c r="B584" s="103"/>
      <c r="C584" s="103"/>
    </row>
    <row r="585" spans="1:3" x14ac:dyDescent="0.25">
      <c r="A585" s="102"/>
      <c r="B585" s="103"/>
      <c r="C585" s="103"/>
    </row>
    <row r="586" spans="1:3" x14ac:dyDescent="0.25">
      <c r="A586" s="102"/>
      <c r="B586" s="103"/>
      <c r="C586" s="103"/>
    </row>
    <row r="587" spans="1:3" x14ac:dyDescent="0.25">
      <c r="A587" s="102"/>
      <c r="B587" s="103"/>
      <c r="C587" s="103"/>
    </row>
    <row r="588" spans="1:3" x14ac:dyDescent="0.25">
      <c r="A588" s="102"/>
      <c r="B588" s="103"/>
      <c r="C588" s="103"/>
    </row>
    <row r="589" spans="1:3" x14ac:dyDescent="0.25">
      <c r="A589" s="102"/>
      <c r="B589" s="103"/>
      <c r="C589" s="103"/>
    </row>
    <row r="590" spans="1:3" x14ac:dyDescent="0.25">
      <c r="A590" s="102"/>
      <c r="B590" s="103"/>
      <c r="C590" s="103"/>
    </row>
    <row r="591" spans="1:3" x14ac:dyDescent="0.25">
      <c r="A591" s="102"/>
      <c r="B591" s="103"/>
      <c r="C591" s="103"/>
    </row>
    <row r="592" spans="1:3" x14ac:dyDescent="0.25">
      <c r="A592" s="102"/>
      <c r="B592" s="103"/>
      <c r="C592" s="103"/>
    </row>
    <row r="593" spans="1:3" x14ac:dyDescent="0.25">
      <c r="A593" s="102"/>
      <c r="B593" s="103"/>
      <c r="C593" s="103"/>
    </row>
    <row r="594" spans="1:3" x14ac:dyDescent="0.25">
      <c r="A594" s="102"/>
      <c r="B594" s="103"/>
      <c r="C594" s="103"/>
    </row>
    <row r="595" spans="1:3" x14ac:dyDescent="0.25">
      <c r="A595" s="102"/>
      <c r="B595" s="103"/>
      <c r="C595" s="103"/>
    </row>
    <row r="596" spans="1:3" x14ac:dyDescent="0.25">
      <c r="A596" s="102"/>
      <c r="B596" s="103"/>
      <c r="C596" s="103"/>
    </row>
    <row r="597" spans="1:3" x14ac:dyDescent="0.25">
      <c r="A597" s="102"/>
      <c r="B597" s="103"/>
      <c r="C597" s="103"/>
    </row>
    <row r="598" spans="1:3" x14ac:dyDescent="0.25">
      <c r="A598" s="102"/>
      <c r="B598" s="103"/>
      <c r="C598" s="103"/>
    </row>
    <row r="599" spans="1:3" x14ac:dyDescent="0.25">
      <c r="A599" s="102"/>
      <c r="B599" s="103"/>
      <c r="C599" s="103"/>
    </row>
    <row r="600" spans="1:3" x14ac:dyDescent="0.25">
      <c r="A600" s="102"/>
      <c r="B600" s="103"/>
      <c r="C600" s="103"/>
    </row>
    <row r="601" spans="1:3" x14ac:dyDescent="0.25">
      <c r="A601" s="102"/>
      <c r="B601" s="103"/>
      <c r="C601" s="103"/>
    </row>
    <row r="602" spans="1:3" x14ac:dyDescent="0.25">
      <c r="A602" s="102"/>
      <c r="B602" s="103"/>
      <c r="C602" s="103"/>
    </row>
    <row r="603" spans="1:3" x14ac:dyDescent="0.25">
      <c r="A603" s="102"/>
      <c r="B603" s="103"/>
      <c r="C603" s="103"/>
    </row>
    <row r="604" spans="1:3" x14ac:dyDescent="0.25">
      <c r="A604" s="102"/>
      <c r="B604" s="103"/>
      <c r="C604" s="103"/>
    </row>
    <row r="605" spans="1:3" x14ac:dyDescent="0.25">
      <c r="A605" s="102"/>
      <c r="B605" s="103"/>
      <c r="C605" s="103"/>
    </row>
    <row r="606" spans="1:3" x14ac:dyDescent="0.25">
      <c r="A606" s="102"/>
      <c r="B606" s="103"/>
      <c r="C606" s="103"/>
    </row>
    <row r="607" spans="1:3" x14ac:dyDescent="0.25">
      <c r="A607" s="102"/>
      <c r="B607" s="103"/>
      <c r="C607" s="103"/>
    </row>
    <row r="608" spans="1:3" x14ac:dyDescent="0.25">
      <c r="A608" s="102"/>
      <c r="B608" s="103"/>
      <c r="C608" s="103"/>
    </row>
    <row r="609" spans="1:3" x14ac:dyDescent="0.25">
      <c r="A609" s="102"/>
      <c r="B609" s="103"/>
      <c r="C609" s="103"/>
    </row>
    <row r="610" spans="1:3" x14ac:dyDescent="0.25">
      <c r="A610" s="102"/>
      <c r="B610" s="103"/>
      <c r="C610" s="103"/>
    </row>
    <row r="611" spans="1:3" x14ac:dyDescent="0.25">
      <c r="A611" s="102"/>
      <c r="B611" s="103"/>
      <c r="C611" s="103"/>
    </row>
    <row r="612" spans="1:3" x14ac:dyDescent="0.25">
      <c r="A612" s="102"/>
      <c r="B612" s="103"/>
      <c r="C612" s="103"/>
    </row>
    <row r="613" spans="1:3" x14ac:dyDescent="0.25">
      <c r="A613" s="102"/>
      <c r="B613" s="103"/>
      <c r="C613" s="103"/>
    </row>
    <row r="614" spans="1:3" x14ac:dyDescent="0.25">
      <c r="A614" s="102"/>
      <c r="B614" s="103"/>
      <c r="C614" s="103"/>
    </row>
    <row r="615" spans="1:3" x14ac:dyDescent="0.25">
      <c r="A615" s="102"/>
      <c r="B615" s="103"/>
      <c r="C615" s="103"/>
    </row>
    <row r="616" spans="1:3" x14ac:dyDescent="0.25">
      <c r="A616" s="102"/>
      <c r="B616" s="103"/>
      <c r="C616" s="103"/>
    </row>
    <row r="617" spans="1:3" x14ac:dyDescent="0.25">
      <c r="A617" s="102"/>
      <c r="B617" s="103"/>
      <c r="C617" s="103"/>
    </row>
    <row r="618" spans="1:3" x14ac:dyDescent="0.25">
      <c r="A618" s="102"/>
      <c r="B618" s="103"/>
      <c r="C618" s="103"/>
    </row>
    <row r="619" spans="1:3" x14ac:dyDescent="0.25">
      <c r="A619" s="102"/>
      <c r="B619" s="103"/>
      <c r="C619" s="103"/>
    </row>
    <row r="620" spans="1:3" x14ac:dyDescent="0.25">
      <c r="A620" s="102"/>
      <c r="B620" s="103"/>
      <c r="C620" s="103"/>
    </row>
    <row r="621" spans="1:3" x14ac:dyDescent="0.25">
      <c r="A621" s="102"/>
      <c r="B621" s="103"/>
      <c r="C621" s="103"/>
    </row>
    <row r="622" spans="1:3" x14ac:dyDescent="0.25">
      <c r="A622" s="102"/>
      <c r="B622" s="103"/>
      <c r="C622" s="103"/>
    </row>
    <row r="623" spans="1:3" x14ac:dyDescent="0.25">
      <c r="A623" s="102"/>
      <c r="B623" s="103"/>
      <c r="C623" s="103"/>
    </row>
    <row r="624" spans="1:3" x14ac:dyDescent="0.25">
      <c r="A624" s="102"/>
      <c r="B624" s="103"/>
      <c r="C624" s="103"/>
    </row>
    <row r="625" spans="1:3" x14ac:dyDescent="0.25">
      <c r="A625" s="102"/>
      <c r="B625" s="103"/>
      <c r="C625" s="103"/>
    </row>
    <row r="626" spans="1:3" x14ac:dyDescent="0.25">
      <c r="A626" s="102"/>
      <c r="B626" s="103"/>
      <c r="C626" s="103"/>
    </row>
    <row r="627" spans="1:3" x14ac:dyDescent="0.25">
      <c r="A627" s="102"/>
      <c r="B627" s="103"/>
      <c r="C627" s="103"/>
    </row>
    <row r="628" spans="1:3" x14ac:dyDescent="0.25">
      <c r="A628" s="102"/>
      <c r="B628" s="103"/>
      <c r="C628" s="103"/>
    </row>
    <row r="629" spans="1:3" x14ac:dyDescent="0.25">
      <c r="A629" s="102"/>
      <c r="B629" s="103"/>
      <c r="C629" s="103"/>
    </row>
    <row r="630" spans="1:3" x14ac:dyDescent="0.25">
      <c r="A630" s="102"/>
      <c r="B630" s="103"/>
      <c r="C630" s="103"/>
    </row>
    <row r="631" spans="1:3" x14ac:dyDescent="0.25">
      <c r="A631" s="102"/>
      <c r="B631" s="103"/>
      <c r="C631" s="103"/>
    </row>
    <row r="632" spans="1:3" x14ac:dyDescent="0.25">
      <c r="A632" s="102"/>
      <c r="B632" s="103"/>
      <c r="C632" s="103"/>
    </row>
    <row r="633" spans="1:3" x14ac:dyDescent="0.25">
      <c r="A633" s="102"/>
      <c r="B633" s="103"/>
      <c r="C633" s="103"/>
    </row>
    <row r="634" spans="1:3" x14ac:dyDescent="0.25">
      <c r="A634" s="102"/>
      <c r="B634" s="103"/>
      <c r="C634" s="103"/>
    </row>
    <row r="635" spans="1:3" x14ac:dyDescent="0.25">
      <c r="A635" s="102"/>
      <c r="B635" s="103"/>
      <c r="C635" s="103"/>
    </row>
    <row r="636" spans="1:3" x14ac:dyDescent="0.25">
      <c r="A636" s="102"/>
      <c r="B636" s="103"/>
      <c r="C636" s="103"/>
    </row>
    <row r="637" spans="1:3" x14ac:dyDescent="0.25">
      <c r="A637" s="102"/>
      <c r="B637" s="103"/>
      <c r="C637" s="103"/>
    </row>
    <row r="638" spans="1:3" x14ac:dyDescent="0.25">
      <c r="A638" s="102"/>
      <c r="B638" s="103"/>
      <c r="C638" s="103"/>
    </row>
    <row r="639" spans="1:3" x14ac:dyDescent="0.25">
      <c r="A639" s="102"/>
      <c r="B639" s="103"/>
      <c r="C639" s="103"/>
    </row>
    <row r="640" spans="1:3" x14ac:dyDescent="0.25">
      <c r="A640" s="102"/>
      <c r="B640" s="103"/>
      <c r="C640" s="103"/>
    </row>
    <row r="641" spans="1:3" x14ac:dyDescent="0.25">
      <c r="A641" s="102"/>
      <c r="B641" s="103"/>
      <c r="C641" s="103"/>
    </row>
    <row r="642" spans="1:3" x14ac:dyDescent="0.25">
      <c r="A642" s="102"/>
      <c r="B642" s="103"/>
      <c r="C642" s="103"/>
    </row>
    <row r="643" spans="1:3" x14ac:dyDescent="0.25">
      <c r="A643" s="102"/>
      <c r="B643" s="103"/>
      <c r="C643" s="103"/>
    </row>
    <row r="644" spans="1:3" x14ac:dyDescent="0.25">
      <c r="A644" s="102"/>
      <c r="B644" s="103"/>
      <c r="C644" s="103"/>
    </row>
    <row r="645" spans="1:3" x14ac:dyDescent="0.25">
      <c r="A645" s="102"/>
      <c r="B645" s="103"/>
      <c r="C645" s="103"/>
    </row>
    <row r="646" spans="1:3" x14ac:dyDescent="0.25">
      <c r="A646" s="102"/>
      <c r="B646" s="103"/>
      <c r="C646" s="103"/>
    </row>
    <row r="647" spans="1:3" x14ac:dyDescent="0.25">
      <c r="A647" s="102"/>
      <c r="B647" s="103"/>
      <c r="C647" s="103"/>
    </row>
    <row r="648" spans="1:3" x14ac:dyDescent="0.25">
      <c r="A648" s="102"/>
      <c r="B648" s="103"/>
      <c r="C648" s="103"/>
    </row>
    <row r="649" spans="1:3" x14ac:dyDescent="0.25">
      <c r="A649" s="102"/>
      <c r="B649" s="103"/>
      <c r="C649" s="103"/>
    </row>
    <row r="650" spans="1:3" x14ac:dyDescent="0.25">
      <c r="A650" s="102"/>
      <c r="B650" s="103"/>
      <c r="C650" s="103"/>
    </row>
    <row r="651" spans="1:3" x14ac:dyDescent="0.25">
      <c r="A651" s="102"/>
      <c r="B651" s="103"/>
      <c r="C651" s="103"/>
    </row>
    <row r="652" spans="1:3" x14ac:dyDescent="0.25">
      <c r="A652" s="102"/>
      <c r="B652" s="103"/>
      <c r="C652" s="103"/>
    </row>
    <row r="653" spans="1:3" x14ac:dyDescent="0.25">
      <c r="A653" s="102"/>
      <c r="B653" s="103"/>
      <c r="C653" s="103"/>
    </row>
    <row r="654" spans="1:3" x14ac:dyDescent="0.25">
      <c r="A654" s="102"/>
      <c r="B654" s="103"/>
      <c r="C654" s="103"/>
    </row>
    <row r="655" spans="1:3" x14ac:dyDescent="0.25">
      <c r="A655" s="102"/>
      <c r="B655" s="103"/>
      <c r="C655" s="103"/>
    </row>
    <row r="656" spans="1:3" x14ac:dyDescent="0.25">
      <c r="A656" s="102"/>
      <c r="B656" s="103"/>
      <c r="C656" s="103"/>
    </row>
    <row r="657" spans="1:3" x14ac:dyDescent="0.25">
      <c r="A657" s="102"/>
      <c r="B657" s="103"/>
      <c r="C657" s="103"/>
    </row>
    <row r="658" spans="1:3" x14ac:dyDescent="0.25">
      <c r="A658" s="102"/>
      <c r="B658" s="103"/>
      <c r="C658" s="103"/>
    </row>
    <row r="659" spans="1:3" x14ac:dyDescent="0.25">
      <c r="A659" s="102"/>
      <c r="B659" s="103"/>
      <c r="C659" s="103"/>
    </row>
    <row r="660" spans="1:3" x14ac:dyDescent="0.25">
      <c r="A660" s="102"/>
      <c r="B660" s="103"/>
      <c r="C660" s="103"/>
    </row>
    <row r="661" spans="1:3" x14ac:dyDescent="0.25">
      <c r="A661" s="102"/>
      <c r="B661" s="103"/>
      <c r="C661" s="103"/>
    </row>
    <row r="662" spans="1:3" x14ac:dyDescent="0.25">
      <c r="A662" s="102"/>
      <c r="B662" s="103"/>
      <c r="C662" s="103"/>
    </row>
    <row r="663" spans="1:3" x14ac:dyDescent="0.25">
      <c r="A663" s="102"/>
      <c r="B663" s="103"/>
      <c r="C663" s="103"/>
    </row>
    <row r="664" spans="1:3" x14ac:dyDescent="0.25">
      <c r="A664" s="102"/>
      <c r="B664" s="103"/>
      <c r="C664" s="103"/>
    </row>
    <row r="665" spans="1:3" x14ac:dyDescent="0.25">
      <c r="A665" s="102"/>
      <c r="B665" s="103"/>
      <c r="C665" s="103"/>
    </row>
    <row r="666" spans="1:3" x14ac:dyDescent="0.25">
      <c r="A666" s="102"/>
      <c r="B666" s="103"/>
      <c r="C666" s="103"/>
    </row>
    <row r="667" spans="1:3" x14ac:dyDescent="0.25">
      <c r="A667" s="102"/>
      <c r="B667" s="103"/>
      <c r="C667" s="103"/>
    </row>
    <row r="668" spans="1:3" x14ac:dyDescent="0.25">
      <c r="A668" s="102"/>
      <c r="B668" s="103"/>
      <c r="C668" s="103"/>
    </row>
    <row r="669" spans="1:3" x14ac:dyDescent="0.25">
      <c r="A669" s="102"/>
      <c r="B669" s="103"/>
      <c r="C669" s="103"/>
    </row>
    <row r="670" spans="1:3" x14ac:dyDescent="0.25">
      <c r="A670" s="102"/>
      <c r="B670" s="103"/>
      <c r="C670" s="103"/>
    </row>
    <row r="671" spans="1:3" x14ac:dyDescent="0.25">
      <c r="A671" s="102"/>
      <c r="B671" s="103"/>
      <c r="C671" s="103"/>
    </row>
    <row r="672" spans="1:3" x14ac:dyDescent="0.25">
      <c r="A672" s="102"/>
      <c r="B672" s="103"/>
      <c r="C672" s="103"/>
    </row>
    <row r="673" spans="1:3" x14ac:dyDescent="0.25">
      <c r="A673" s="102"/>
      <c r="B673" s="103"/>
      <c r="C673" s="103"/>
    </row>
    <row r="674" spans="1:3" x14ac:dyDescent="0.25">
      <c r="A674" s="102"/>
      <c r="B674" s="103"/>
      <c r="C674" s="103"/>
    </row>
    <row r="675" spans="1:3" x14ac:dyDescent="0.25">
      <c r="A675" s="102"/>
      <c r="B675" s="103"/>
      <c r="C675" s="103"/>
    </row>
    <row r="676" spans="1:3" x14ac:dyDescent="0.25">
      <c r="A676" s="102"/>
      <c r="B676" s="103"/>
      <c r="C676" s="103"/>
    </row>
    <row r="677" spans="1:3" x14ac:dyDescent="0.25">
      <c r="A677" s="102"/>
      <c r="B677" s="103"/>
      <c r="C677" s="103"/>
    </row>
    <row r="678" spans="1:3" x14ac:dyDescent="0.25">
      <c r="A678" s="102"/>
      <c r="B678" s="103"/>
      <c r="C678" s="103"/>
    </row>
    <row r="679" spans="1:3" x14ac:dyDescent="0.25">
      <c r="A679" s="102"/>
      <c r="B679" s="103"/>
      <c r="C679" s="103"/>
    </row>
    <row r="680" spans="1:3" x14ac:dyDescent="0.25">
      <c r="A680" s="102"/>
      <c r="B680" s="103"/>
      <c r="C680" s="103"/>
    </row>
    <row r="681" spans="1:3" x14ac:dyDescent="0.25">
      <c r="A681" s="102"/>
      <c r="B681" s="103"/>
      <c r="C681" s="103"/>
    </row>
    <row r="682" spans="1:3" x14ac:dyDescent="0.25">
      <c r="A682" s="102"/>
      <c r="B682" s="103"/>
      <c r="C682" s="103"/>
    </row>
    <row r="683" spans="1:3" x14ac:dyDescent="0.25">
      <c r="A683" s="102"/>
      <c r="B683" s="103"/>
      <c r="C683" s="103"/>
    </row>
    <row r="684" spans="1:3" x14ac:dyDescent="0.25">
      <c r="A684" s="102"/>
      <c r="B684" s="103"/>
      <c r="C684" s="103"/>
    </row>
    <row r="685" spans="1:3" x14ac:dyDescent="0.25">
      <c r="A685" s="102"/>
      <c r="B685" s="103"/>
      <c r="C685" s="103"/>
    </row>
    <row r="686" spans="1:3" x14ac:dyDescent="0.25">
      <c r="A686" s="102"/>
      <c r="B686" s="103"/>
      <c r="C686" s="103"/>
    </row>
    <row r="687" spans="1:3" x14ac:dyDescent="0.25">
      <c r="A687" s="102"/>
      <c r="B687" s="103"/>
      <c r="C687" s="103"/>
    </row>
    <row r="688" spans="1:3" x14ac:dyDescent="0.25">
      <c r="A688" s="102"/>
      <c r="B688" s="103"/>
      <c r="C688" s="103"/>
    </row>
    <row r="689" spans="1:3" x14ac:dyDescent="0.25">
      <c r="A689" s="102"/>
      <c r="B689" s="103"/>
      <c r="C689" s="103"/>
    </row>
    <row r="690" spans="1:3" x14ac:dyDescent="0.25">
      <c r="A690" s="102"/>
      <c r="B690" s="103"/>
      <c r="C690" s="103"/>
    </row>
    <row r="691" spans="1:3" x14ac:dyDescent="0.25">
      <c r="A691" s="102"/>
      <c r="B691" s="103"/>
      <c r="C691" s="103"/>
    </row>
    <row r="692" spans="1:3" x14ac:dyDescent="0.25">
      <c r="A692" s="102"/>
      <c r="B692" s="103"/>
      <c r="C692" s="103"/>
    </row>
    <row r="693" spans="1:3" x14ac:dyDescent="0.25">
      <c r="A693" s="102"/>
      <c r="B693" s="103"/>
      <c r="C693" s="103"/>
    </row>
    <row r="694" spans="1:3" x14ac:dyDescent="0.25">
      <c r="A694" s="102"/>
      <c r="B694" s="103"/>
      <c r="C694" s="103"/>
    </row>
    <row r="695" spans="1:3" x14ac:dyDescent="0.25">
      <c r="A695" s="102"/>
      <c r="B695" s="103"/>
      <c r="C695" s="103"/>
    </row>
    <row r="696" spans="1:3" x14ac:dyDescent="0.25">
      <c r="A696" s="102"/>
      <c r="B696" s="103"/>
      <c r="C696" s="103"/>
    </row>
    <row r="697" spans="1:3" x14ac:dyDescent="0.25">
      <c r="A697" s="102"/>
      <c r="B697" s="103"/>
      <c r="C697" s="103"/>
    </row>
    <row r="698" spans="1:3" x14ac:dyDescent="0.25">
      <c r="A698" s="102"/>
      <c r="B698" s="103"/>
      <c r="C698" s="103"/>
    </row>
    <row r="699" spans="1:3" x14ac:dyDescent="0.25">
      <c r="A699" s="102"/>
      <c r="B699" s="103"/>
      <c r="C699" s="103"/>
    </row>
    <row r="700" spans="1:3" x14ac:dyDescent="0.25">
      <c r="A700" s="102"/>
      <c r="B700" s="103"/>
      <c r="C700" s="103"/>
    </row>
    <row r="701" spans="1:3" x14ac:dyDescent="0.25">
      <c r="A701" s="102"/>
      <c r="B701" s="103"/>
      <c r="C701" s="103"/>
    </row>
    <row r="702" spans="1:3" x14ac:dyDescent="0.25">
      <c r="A702" s="102"/>
      <c r="B702" s="103"/>
      <c r="C702" s="103"/>
    </row>
    <row r="703" spans="1:3" x14ac:dyDescent="0.25">
      <c r="A703" s="102"/>
      <c r="B703" s="103"/>
      <c r="C703" s="103"/>
    </row>
    <row r="704" spans="1:3" x14ac:dyDescent="0.25">
      <c r="A704" s="102"/>
      <c r="B704" s="103"/>
      <c r="C704" s="103"/>
    </row>
    <row r="705" spans="1:3" x14ac:dyDescent="0.25">
      <c r="A705" s="102"/>
      <c r="B705" s="103"/>
      <c r="C705" s="103"/>
    </row>
    <row r="706" spans="1:3" x14ac:dyDescent="0.25">
      <c r="A706" s="102"/>
      <c r="B706" s="103"/>
      <c r="C706" s="103"/>
    </row>
    <row r="707" spans="1:3" x14ac:dyDescent="0.25">
      <c r="A707" s="102"/>
      <c r="B707" s="103"/>
      <c r="C707" s="103"/>
    </row>
    <row r="708" spans="1:3" x14ac:dyDescent="0.25">
      <c r="A708" s="102"/>
      <c r="B708" s="103"/>
      <c r="C708" s="103"/>
    </row>
    <row r="709" spans="1:3" x14ac:dyDescent="0.25">
      <c r="A709" s="102"/>
      <c r="B709" s="103"/>
      <c r="C709" s="103"/>
    </row>
    <row r="710" spans="1:3" x14ac:dyDescent="0.25">
      <c r="A710" s="102"/>
      <c r="B710" s="103"/>
      <c r="C710" s="103"/>
    </row>
    <row r="711" spans="1:3" x14ac:dyDescent="0.25">
      <c r="A711" s="102"/>
      <c r="B711" s="103"/>
      <c r="C711" s="103"/>
    </row>
    <row r="712" spans="1:3" x14ac:dyDescent="0.25">
      <c r="A712" s="102"/>
      <c r="B712" s="103"/>
      <c r="C712" s="103"/>
    </row>
    <row r="713" spans="1:3" x14ac:dyDescent="0.25">
      <c r="A713" s="102"/>
      <c r="B713" s="103"/>
      <c r="C713" s="103"/>
    </row>
    <row r="714" spans="1:3" x14ac:dyDescent="0.25">
      <c r="A714" s="102"/>
      <c r="B714" s="103"/>
      <c r="C714" s="103"/>
    </row>
    <row r="715" spans="1:3" x14ac:dyDescent="0.25">
      <c r="A715" s="102"/>
      <c r="B715" s="103"/>
      <c r="C715" s="103"/>
    </row>
    <row r="716" spans="1:3" x14ac:dyDescent="0.25">
      <c r="A716" s="102"/>
      <c r="B716" s="103"/>
      <c r="C716" s="103"/>
    </row>
    <row r="717" spans="1:3" x14ac:dyDescent="0.25">
      <c r="A717" s="102"/>
      <c r="B717" s="103"/>
      <c r="C717" s="103"/>
    </row>
    <row r="718" spans="1:3" x14ac:dyDescent="0.25">
      <c r="A718" s="102"/>
      <c r="B718" s="103"/>
      <c r="C718" s="103"/>
    </row>
    <row r="719" spans="1:3" x14ac:dyDescent="0.25">
      <c r="A719" s="102"/>
      <c r="B719" s="103"/>
      <c r="C719" s="103"/>
    </row>
    <row r="720" spans="1:3" x14ac:dyDescent="0.25">
      <c r="A720" s="102"/>
      <c r="B720" s="103"/>
      <c r="C720" s="103"/>
    </row>
    <row r="721" spans="1:3" x14ac:dyDescent="0.25">
      <c r="A721" s="102"/>
      <c r="B721" s="103"/>
      <c r="C721" s="103"/>
    </row>
    <row r="722" spans="1:3" x14ac:dyDescent="0.25">
      <c r="A722" s="102"/>
      <c r="B722" s="103"/>
      <c r="C722" s="103"/>
    </row>
    <row r="723" spans="1:3" x14ac:dyDescent="0.25">
      <c r="A723" s="102"/>
      <c r="B723" s="103"/>
      <c r="C723" s="103"/>
    </row>
    <row r="724" spans="1:3" x14ac:dyDescent="0.25">
      <c r="A724" s="102"/>
      <c r="B724" s="103"/>
      <c r="C724" s="103"/>
    </row>
    <row r="725" spans="1:3" x14ac:dyDescent="0.25">
      <c r="A725" s="102"/>
      <c r="B725" s="103"/>
      <c r="C725" s="103"/>
    </row>
    <row r="726" spans="1:3" x14ac:dyDescent="0.25">
      <c r="A726" s="102"/>
      <c r="B726" s="103"/>
      <c r="C726" s="103"/>
    </row>
    <row r="727" spans="1:3" x14ac:dyDescent="0.25">
      <c r="A727" s="102"/>
      <c r="B727" s="103"/>
      <c r="C727" s="103"/>
    </row>
    <row r="728" spans="1:3" x14ac:dyDescent="0.25">
      <c r="A728" s="102"/>
      <c r="B728" s="103"/>
      <c r="C728" s="103"/>
    </row>
    <row r="729" spans="1:3" x14ac:dyDescent="0.25">
      <c r="A729" s="102"/>
      <c r="B729" s="103"/>
      <c r="C729" s="103"/>
    </row>
    <row r="730" spans="1:3" x14ac:dyDescent="0.25">
      <c r="A730" s="102"/>
      <c r="B730" s="103"/>
      <c r="C730" s="103"/>
    </row>
    <row r="731" spans="1:3" x14ac:dyDescent="0.25">
      <c r="A731" s="102"/>
      <c r="B731" s="103"/>
      <c r="C731" s="103"/>
    </row>
    <row r="732" spans="1:3" x14ac:dyDescent="0.25">
      <c r="A732" s="102"/>
      <c r="B732" s="103"/>
      <c r="C732" s="103"/>
    </row>
    <row r="733" spans="1:3" x14ac:dyDescent="0.25">
      <c r="A733" s="102"/>
      <c r="B733" s="103"/>
      <c r="C733" s="103"/>
    </row>
    <row r="734" spans="1:3" x14ac:dyDescent="0.25">
      <c r="A734" s="102"/>
      <c r="B734" s="103"/>
      <c r="C734" s="103"/>
    </row>
    <row r="735" spans="1:3" x14ac:dyDescent="0.25">
      <c r="A735" s="102"/>
      <c r="B735" s="103"/>
      <c r="C735" s="103"/>
    </row>
    <row r="736" spans="1:3" x14ac:dyDescent="0.25">
      <c r="A736" s="102"/>
      <c r="B736" s="103"/>
      <c r="C736" s="103"/>
    </row>
    <row r="737" spans="1:3" x14ac:dyDescent="0.25">
      <c r="A737" s="102"/>
      <c r="B737" s="103"/>
      <c r="C737" s="103"/>
    </row>
    <row r="738" spans="1:3" x14ac:dyDescent="0.25">
      <c r="A738" s="102"/>
      <c r="B738" s="103"/>
      <c r="C738" s="103"/>
    </row>
    <row r="739" spans="1:3" x14ac:dyDescent="0.25">
      <c r="A739" s="102"/>
      <c r="B739" s="103"/>
      <c r="C739" s="103"/>
    </row>
    <row r="740" spans="1:3" x14ac:dyDescent="0.25">
      <c r="A740" s="102"/>
      <c r="B740" s="103"/>
      <c r="C740" s="103"/>
    </row>
    <row r="741" spans="1:3" x14ac:dyDescent="0.25">
      <c r="A741" s="102"/>
      <c r="B741" s="103"/>
      <c r="C741" s="103"/>
    </row>
    <row r="742" spans="1:3" x14ac:dyDescent="0.25">
      <c r="A742" s="102"/>
      <c r="B742" s="103"/>
      <c r="C742" s="103"/>
    </row>
    <row r="743" spans="1:3" x14ac:dyDescent="0.25">
      <c r="A743" s="102"/>
      <c r="B743" s="103"/>
      <c r="C743" s="103"/>
    </row>
    <row r="744" spans="1:3" x14ac:dyDescent="0.25">
      <c r="A744" s="102"/>
      <c r="B744" s="103"/>
      <c r="C744" s="103"/>
    </row>
    <row r="745" spans="1:3" x14ac:dyDescent="0.25">
      <c r="A745" s="102"/>
      <c r="B745" s="103"/>
      <c r="C745" s="103"/>
    </row>
    <row r="746" spans="1:3" x14ac:dyDescent="0.25">
      <c r="A746" s="102"/>
      <c r="B746" s="103"/>
      <c r="C746" s="103"/>
    </row>
    <row r="747" spans="1:3" x14ac:dyDescent="0.25">
      <c r="A747" s="102"/>
      <c r="B747" s="103"/>
      <c r="C747" s="103"/>
    </row>
    <row r="748" spans="1:3" x14ac:dyDescent="0.25">
      <c r="A748" s="102"/>
      <c r="B748" s="103"/>
      <c r="C748" s="103"/>
    </row>
    <row r="749" spans="1:3" x14ac:dyDescent="0.25">
      <c r="A749" s="102"/>
      <c r="B749" s="103"/>
      <c r="C749" s="103"/>
    </row>
    <row r="750" spans="1:3" x14ac:dyDescent="0.25">
      <c r="A750" s="102"/>
      <c r="B750" s="103"/>
      <c r="C750" s="103"/>
    </row>
    <row r="751" spans="1:3" x14ac:dyDescent="0.25">
      <c r="A751" s="102"/>
      <c r="B751" s="103"/>
      <c r="C751" s="103"/>
    </row>
    <row r="752" spans="1:3" x14ac:dyDescent="0.25">
      <c r="A752" s="102"/>
      <c r="B752" s="103"/>
      <c r="C752" s="103"/>
    </row>
    <row r="753" spans="1:3" x14ac:dyDescent="0.25">
      <c r="A753" s="102"/>
      <c r="B753" s="103"/>
      <c r="C753" s="103"/>
    </row>
    <row r="754" spans="1:3" x14ac:dyDescent="0.25">
      <c r="A754" s="102"/>
      <c r="B754" s="103"/>
      <c r="C754" s="103"/>
    </row>
    <row r="755" spans="1:3" x14ac:dyDescent="0.25">
      <c r="A755" s="102"/>
      <c r="B755" s="103"/>
      <c r="C755" s="103"/>
    </row>
    <row r="756" spans="1:3" x14ac:dyDescent="0.25">
      <c r="A756" s="102"/>
      <c r="B756" s="103"/>
      <c r="C756" s="103"/>
    </row>
    <row r="757" spans="1:3" x14ac:dyDescent="0.25">
      <c r="A757" s="102"/>
      <c r="B757" s="103"/>
      <c r="C757" s="103"/>
    </row>
    <row r="758" spans="1:3" x14ac:dyDescent="0.25">
      <c r="A758" s="102"/>
      <c r="B758" s="103"/>
      <c r="C758" s="103"/>
    </row>
    <row r="759" spans="1:3" x14ac:dyDescent="0.25">
      <c r="A759" s="102"/>
      <c r="B759" s="103"/>
      <c r="C759" s="103"/>
    </row>
    <row r="760" spans="1:3" x14ac:dyDescent="0.25">
      <c r="A760" s="102"/>
      <c r="B760" s="103"/>
      <c r="C760" s="103"/>
    </row>
    <row r="761" spans="1:3" x14ac:dyDescent="0.25">
      <c r="A761" s="102"/>
      <c r="B761" s="103"/>
      <c r="C761" s="103"/>
    </row>
    <row r="762" spans="1:3" x14ac:dyDescent="0.25">
      <c r="A762" s="102"/>
      <c r="B762" s="103"/>
      <c r="C762" s="103"/>
    </row>
    <row r="763" spans="1:3" x14ac:dyDescent="0.25">
      <c r="A763" s="102"/>
      <c r="B763" s="103"/>
      <c r="C763" s="103"/>
    </row>
    <row r="764" spans="1:3" x14ac:dyDescent="0.25">
      <c r="A764" s="102"/>
      <c r="B764" s="103"/>
      <c r="C764" s="103"/>
    </row>
    <row r="765" spans="1:3" x14ac:dyDescent="0.25">
      <c r="A765" s="102"/>
      <c r="B765" s="103"/>
      <c r="C765" s="103"/>
    </row>
    <row r="766" spans="1:3" x14ac:dyDescent="0.25">
      <c r="A766" s="102"/>
      <c r="B766" s="103"/>
      <c r="C766" s="103"/>
    </row>
    <row r="767" spans="1:3" x14ac:dyDescent="0.25">
      <c r="A767" s="102"/>
      <c r="B767" s="103"/>
      <c r="C767" s="103"/>
    </row>
    <row r="768" spans="1:3" x14ac:dyDescent="0.25">
      <c r="A768" s="102"/>
      <c r="B768" s="103"/>
      <c r="C768" s="103"/>
    </row>
    <row r="769" spans="1:3" x14ac:dyDescent="0.25">
      <c r="A769" s="102"/>
      <c r="B769" s="103"/>
      <c r="C769" s="103"/>
    </row>
    <row r="770" spans="1:3" x14ac:dyDescent="0.25">
      <c r="A770" s="102"/>
      <c r="B770" s="103"/>
      <c r="C770" s="103"/>
    </row>
    <row r="771" spans="1:3" x14ac:dyDescent="0.25">
      <c r="A771" s="102"/>
      <c r="B771" s="103"/>
      <c r="C771" s="103"/>
    </row>
    <row r="772" spans="1:3" x14ac:dyDescent="0.25">
      <c r="A772" s="102"/>
      <c r="B772" s="103"/>
      <c r="C772" s="103"/>
    </row>
    <row r="773" spans="1:3" x14ac:dyDescent="0.25">
      <c r="A773" s="102"/>
      <c r="B773" s="103"/>
      <c r="C773" s="103"/>
    </row>
    <row r="774" spans="1:3" x14ac:dyDescent="0.25">
      <c r="A774" s="102"/>
      <c r="B774" s="103"/>
      <c r="C774" s="103"/>
    </row>
    <row r="775" spans="1:3" x14ac:dyDescent="0.25">
      <c r="A775" s="102"/>
      <c r="B775" s="103"/>
      <c r="C775" s="103"/>
    </row>
    <row r="776" spans="1:3" x14ac:dyDescent="0.25">
      <c r="A776" s="102"/>
      <c r="B776" s="103"/>
      <c r="C776" s="103"/>
    </row>
    <row r="777" spans="1:3" x14ac:dyDescent="0.25">
      <c r="A777" s="102"/>
      <c r="B777" s="103"/>
      <c r="C777" s="103"/>
    </row>
    <row r="778" spans="1:3" x14ac:dyDescent="0.25">
      <c r="A778" s="102"/>
      <c r="B778" s="103"/>
      <c r="C778" s="103"/>
    </row>
    <row r="779" spans="1:3" x14ac:dyDescent="0.25">
      <c r="A779" s="102"/>
      <c r="B779" s="103"/>
      <c r="C779" s="103"/>
    </row>
    <row r="780" spans="1:3" x14ac:dyDescent="0.25">
      <c r="A780" s="102"/>
      <c r="B780" s="103"/>
      <c r="C780" s="103"/>
    </row>
    <row r="781" spans="1:3" x14ac:dyDescent="0.25">
      <c r="A781" s="102"/>
      <c r="B781" s="103"/>
      <c r="C781" s="103"/>
    </row>
    <row r="782" spans="1:3" x14ac:dyDescent="0.25">
      <c r="A782" s="102"/>
      <c r="B782" s="103"/>
      <c r="C782" s="103"/>
    </row>
    <row r="783" spans="1:3" x14ac:dyDescent="0.25">
      <c r="A783" s="102"/>
      <c r="B783" s="103"/>
      <c r="C783" s="103"/>
    </row>
    <row r="784" spans="1:3" x14ac:dyDescent="0.25">
      <c r="A784" s="102"/>
      <c r="B784" s="103"/>
      <c r="C784" s="103"/>
    </row>
    <row r="785" spans="1:3" x14ac:dyDescent="0.25">
      <c r="A785" s="102"/>
      <c r="B785" s="103"/>
      <c r="C785" s="103"/>
    </row>
    <row r="786" spans="1:3" x14ac:dyDescent="0.25">
      <c r="A786" s="102"/>
      <c r="B786" s="103"/>
      <c r="C786" s="103"/>
    </row>
    <row r="787" spans="1:3" x14ac:dyDescent="0.25">
      <c r="A787" s="102"/>
      <c r="B787" s="103"/>
      <c r="C787" s="103"/>
    </row>
    <row r="788" spans="1:3" x14ac:dyDescent="0.25">
      <c r="A788" s="102"/>
      <c r="B788" s="103"/>
      <c r="C788" s="103"/>
    </row>
    <row r="789" spans="1:3" x14ac:dyDescent="0.25">
      <c r="A789" s="102"/>
      <c r="B789" s="103"/>
      <c r="C789" s="103"/>
    </row>
    <row r="790" spans="1:3" x14ac:dyDescent="0.25">
      <c r="A790" s="102"/>
      <c r="B790" s="103"/>
      <c r="C790" s="103"/>
    </row>
    <row r="791" spans="1:3" x14ac:dyDescent="0.25">
      <c r="A791" s="102"/>
      <c r="B791" s="103"/>
      <c r="C791" s="103"/>
    </row>
    <row r="792" spans="1:3" x14ac:dyDescent="0.25">
      <c r="A792" s="102"/>
      <c r="B792" s="103"/>
      <c r="C792" s="103"/>
    </row>
    <row r="793" spans="1:3" x14ac:dyDescent="0.25">
      <c r="A793" s="102"/>
      <c r="B793" s="103"/>
      <c r="C793" s="103"/>
    </row>
    <row r="794" spans="1:3" x14ac:dyDescent="0.25">
      <c r="A794" s="102"/>
      <c r="B794" s="103"/>
      <c r="C794" s="103"/>
    </row>
    <row r="795" spans="1:3" x14ac:dyDescent="0.25">
      <c r="A795" s="102"/>
      <c r="B795" s="103"/>
      <c r="C795" s="103"/>
    </row>
    <row r="796" spans="1:3" x14ac:dyDescent="0.25">
      <c r="A796" s="102"/>
      <c r="B796" s="103"/>
      <c r="C796" s="103"/>
    </row>
    <row r="797" spans="1:3" x14ac:dyDescent="0.25">
      <c r="A797" s="102"/>
      <c r="B797" s="103"/>
      <c r="C797" s="103"/>
    </row>
    <row r="798" spans="1:3" x14ac:dyDescent="0.25">
      <c r="A798" s="102"/>
      <c r="B798" s="103"/>
      <c r="C798" s="103"/>
    </row>
    <row r="799" spans="1:3" x14ac:dyDescent="0.25">
      <c r="A799" s="102"/>
      <c r="B799" s="103"/>
      <c r="C799" s="103"/>
    </row>
    <row r="800" spans="1:3" x14ac:dyDescent="0.25">
      <c r="A800" s="102"/>
      <c r="B800" s="103"/>
      <c r="C800" s="103"/>
    </row>
    <row r="801" spans="1:3" x14ac:dyDescent="0.25">
      <c r="A801" s="102"/>
      <c r="B801" s="103"/>
      <c r="C801" s="103"/>
    </row>
    <row r="802" spans="1:3" x14ac:dyDescent="0.25">
      <c r="A802" s="102"/>
      <c r="B802" s="103"/>
      <c r="C802" s="103"/>
    </row>
    <row r="803" spans="1:3" x14ac:dyDescent="0.25">
      <c r="A803" s="102"/>
      <c r="B803" s="103"/>
      <c r="C803" s="103"/>
    </row>
    <row r="804" spans="1:3" x14ac:dyDescent="0.25">
      <c r="A804" s="102"/>
      <c r="B804" s="103"/>
      <c r="C804" s="103"/>
    </row>
    <row r="805" spans="1:3" x14ac:dyDescent="0.25">
      <c r="A805" s="102"/>
      <c r="B805" s="103"/>
      <c r="C805" s="103"/>
    </row>
    <row r="806" spans="1:3" x14ac:dyDescent="0.25">
      <c r="A806" s="102"/>
      <c r="B806" s="103"/>
      <c r="C806" s="103"/>
    </row>
    <row r="807" spans="1:3" x14ac:dyDescent="0.25">
      <c r="A807" s="102"/>
      <c r="B807" s="103"/>
      <c r="C807" s="103"/>
    </row>
    <row r="808" spans="1:3" x14ac:dyDescent="0.25">
      <c r="A808" s="102"/>
      <c r="B808" s="103"/>
      <c r="C808" s="103"/>
    </row>
    <row r="809" spans="1:3" x14ac:dyDescent="0.25">
      <c r="A809" s="102"/>
      <c r="B809" s="103"/>
      <c r="C809" s="103"/>
    </row>
    <row r="810" spans="1:3" x14ac:dyDescent="0.25">
      <c r="A810" s="102"/>
      <c r="B810" s="103"/>
      <c r="C810" s="103"/>
    </row>
    <row r="811" spans="1:3" x14ac:dyDescent="0.25">
      <c r="A811" s="102"/>
      <c r="B811" s="103"/>
      <c r="C811" s="103"/>
    </row>
    <row r="812" spans="1:3" x14ac:dyDescent="0.25">
      <c r="A812" s="102"/>
      <c r="B812" s="103"/>
      <c r="C812" s="103"/>
    </row>
    <row r="813" spans="1:3" x14ac:dyDescent="0.25">
      <c r="A813" s="102"/>
      <c r="B813" s="103"/>
      <c r="C813" s="103"/>
    </row>
    <row r="814" spans="1:3" x14ac:dyDescent="0.25">
      <c r="A814" s="102"/>
      <c r="B814" s="103"/>
      <c r="C814" s="103"/>
    </row>
    <row r="815" spans="1:3" x14ac:dyDescent="0.25">
      <c r="A815" s="102"/>
      <c r="B815" s="103"/>
      <c r="C815" s="103"/>
    </row>
    <row r="816" spans="1:3" x14ac:dyDescent="0.25">
      <c r="A816" s="102"/>
      <c r="B816" s="103"/>
      <c r="C816" s="103"/>
    </row>
    <row r="817" spans="1:3" x14ac:dyDescent="0.25">
      <c r="A817" s="102"/>
      <c r="B817" s="103"/>
      <c r="C817" s="103"/>
    </row>
    <row r="818" spans="1:3" x14ac:dyDescent="0.25">
      <c r="A818" s="102"/>
      <c r="B818" s="103"/>
      <c r="C818" s="103"/>
    </row>
    <row r="819" spans="1:3" x14ac:dyDescent="0.25">
      <c r="A819" s="102"/>
      <c r="B819" s="103"/>
      <c r="C819" s="103"/>
    </row>
    <row r="820" spans="1:3" x14ac:dyDescent="0.25">
      <c r="A820" s="102"/>
      <c r="B820" s="103"/>
      <c r="C820" s="103"/>
    </row>
    <row r="821" spans="1:3" x14ac:dyDescent="0.25">
      <c r="A821" s="102"/>
      <c r="B821" s="103"/>
      <c r="C821" s="103"/>
    </row>
    <row r="822" spans="1:3" x14ac:dyDescent="0.25">
      <c r="A822" s="102"/>
      <c r="B822" s="103"/>
      <c r="C822" s="103"/>
    </row>
    <row r="823" spans="1:3" x14ac:dyDescent="0.25">
      <c r="A823" s="102"/>
      <c r="B823" s="103"/>
      <c r="C823" s="103"/>
    </row>
    <row r="824" spans="1:3" x14ac:dyDescent="0.25">
      <c r="A824" s="102"/>
      <c r="B824" s="103"/>
      <c r="C824" s="103"/>
    </row>
    <row r="825" spans="1:3" x14ac:dyDescent="0.25">
      <c r="A825" s="102"/>
      <c r="B825" s="103"/>
      <c r="C825" s="103"/>
    </row>
    <row r="826" spans="1:3" x14ac:dyDescent="0.25">
      <c r="A826" s="102"/>
      <c r="B826" s="103"/>
      <c r="C826" s="103"/>
    </row>
    <row r="827" spans="1:3" x14ac:dyDescent="0.25">
      <c r="A827" s="102"/>
      <c r="B827" s="103"/>
      <c r="C827" s="103"/>
    </row>
    <row r="828" spans="1:3" x14ac:dyDescent="0.25">
      <c r="A828" s="102"/>
      <c r="B828" s="103"/>
      <c r="C828" s="103"/>
    </row>
    <row r="829" spans="1:3" x14ac:dyDescent="0.25">
      <c r="A829" s="102"/>
      <c r="B829" s="103"/>
      <c r="C829" s="103"/>
    </row>
    <row r="830" spans="1:3" x14ac:dyDescent="0.25">
      <c r="A830" s="102"/>
      <c r="B830" s="103"/>
      <c r="C830" s="103"/>
    </row>
    <row r="831" spans="1:3" x14ac:dyDescent="0.25">
      <c r="A831" s="102"/>
      <c r="B831" s="103"/>
      <c r="C831" s="103"/>
    </row>
    <row r="832" spans="1:3" x14ac:dyDescent="0.25">
      <c r="A832" s="102"/>
      <c r="B832" s="103"/>
      <c r="C832" s="103"/>
    </row>
    <row r="833" spans="1:3" x14ac:dyDescent="0.25">
      <c r="A833" s="102"/>
      <c r="B833" s="103"/>
      <c r="C833" s="103"/>
    </row>
    <row r="834" spans="1:3" x14ac:dyDescent="0.25">
      <c r="A834" s="102"/>
      <c r="B834" s="103"/>
      <c r="C834" s="103"/>
    </row>
    <row r="835" spans="1:3" x14ac:dyDescent="0.25">
      <c r="A835" s="102"/>
      <c r="B835" s="103"/>
      <c r="C835" s="103"/>
    </row>
    <row r="836" spans="1:3" x14ac:dyDescent="0.25">
      <c r="A836" s="102"/>
      <c r="B836" s="103"/>
      <c r="C836" s="103"/>
    </row>
    <row r="837" spans="1:3" x14ac:dyDescent="0.25">
      <c r="A837" s="102"/>
      <c r="B837" s="103"/>
      <c r="C837" s="103"/>
    </row>
    <row r="838" spans="1:3" x14ac:dyDescent="0.25">
      <c r="A838" s="102"/>
      <c r="B838" s="103"/>
      <c r="C838" s="103"/>
    </row>
    <row r="839" spans="1:3" x14ac:dyDescent="0.25">
      <c r="A839" s="102"/>
      <c r="B839" s="103"/>
      <c r="C839" s="103"/>
    </row>
    <row r="840" spans="1:3" x14ac:dyDescent="0.25">
      <c r="A840" s="102"/>
      <c r="B840" s="103"/>
      <c r="C840" s="103"/>
    </row>
    <row r="841" spans="1:3" x14ac:dyDescent="0.25">
      <c r="A841" s="102"/>
      <c r="B841" s="103"/>
      <c r="C841" s="103"/>
    </row>
    <row r="842" spans="1:3" x14ac:dyDescent="0.25">
      <c r="A842" s="102"/>
      <c r="B842" s="103"/>
      <c r="C842" s="103"/>
    </row>
    <row r="843" spans="1:3" x14ac:dyDescent="0.25">
      <c r="A843" s="102"/>
      <c r="B843" s="103"/>
      <c r="C843" s="103"/>
    </row>
    <row r="844" spans="1:3" x14ac:dyDescent="0.25">
      <c r="A844" s="102"/>
      <c r="B844" s="103"/>
      <c r="C844" s="103"/>
    </row>
    <row r="845" spans="1:3" x14ac:dyDescent="0.25">
      <c r="A845" s="102"/>
      <c r="B845" s="103"/>
      <c r="C845" s="103"/>
    </row>
    <row r="846" spans="1:3" x14ac:dyDescent="0.25">
      <c r="A846" s="102"/>
      <c r="B846" s="103"/>
      <c r="C846" s="103"/>
    </row>
    <row r="847" spans="1:3" x14ac:dyDescent="0.25">
      <c r="A847" s="102"/>
      <c r="B847" s="103"/>
      <c r="C847" s="103"/>
    </row>
    <row r="848" spans="1:3" x14ac:dyDescent="0.25">
      <c r="A848" s="102"/>
      <c r="B848" s="103"/>
      <c r="C848" s="103"/>
    </row>
    <row r="849" spans="1:3" x14ac:dyDescent="0.25">
      <c r="A849" s="102"/>
      <c r="B849" s="103"/>
      <c r="C849" s="103"/>
    </row>
    <row r="850" spans="1:3" x14ac:dyDescent="0.25">
      <c r="A850" s="102"/>
      <c r="B850" s="103"/>
      <c r="C850" s="103"/>
    </row>
    <row r="851" spans="1:3" x14ac:dyDescent="0.25">
      <c r="A851" s="102"/>
      <c r="B851" s="103"/>
      <c r="C851" s="103"/>
    </row>
    <row r="852" spans="1:3" x14ac:dyDescent="0.25">
      <c r="A852" s="102"/>
      <c r="B852" s="103"/>
      <c r="C852" s="103"/>
    </row>
    <row r="853" spans="1:3" x14ac:dyDescent="0.25">
      <c r="A853" s="102"/>
      <c r="B853" s="103"/>
      <c r="C853" s="103"/>
    </row>
    <row r="854" spans="1:3" x14ac:dyDescent="0.25">
      <c r="A854" s="102"/>
      <c r="B854" s="103"/>
      <c r="C854" s="103"/>
    </row>
    <row r="855" spans="1:3" x14ac:dyDescent="0.25">
      <c r="A855" s="102"/>
      <c r="B855" s="103"/>
      <c r="C855" s="103"/>
    </row>
    <row r="856" spans="1:3" x14ac:dyDescent="0.25">
      <c r="A856" s="102"/>
      <c r="B856" s="103"/>
      <c r="C856" s="103"/>
    </row>
    <row r="857" spans="1:3" x14ac:dyDescent="0.25">
      <c r="A857" s="102"/>
      <c r="B857" s="103"/>
      <c r="C857" s="103"/>
    </row>
    <row r="858" spans="1:3" x14ac:dyDescent="0.25">
      <c r="A858" s="102"/>
      <c r="B858" s="103"/>
      <c r="C858" s="103"/>
    </row>
    <row r="859" spans="1:3" x14ac:dyDescent="0.25">
      <c r="A859" s="102"/>
      <c r="B859" s="103"/>
      <c r="C859" s="103"/>
    </row>
    <row r="860" spans="1:3" x14ac:dyDescent="0.25">
      <c r="A860" s="102"/>
      <c r="B860" s="103"/>
      <c r="C860" s="103"/>
    </row>
    <row r="861" spans="1:3" x14ac:dyDescent="0.25">
      <c r="A861" s="102"/>
      <c r="B861" s="103"/>
      <c r="C861" s="103"/>
    </row>
    <row r="862" spans="1:3" x14ac:dyDescent="0.25">
      <c r="A862" s="102"/>
      <c r="B862" s="103"/>
      <c r="C862" s="103"/>
    </row>
    <row r="863" spans="1:3" x14ac:dyDescent="0.25">
      <c r="A863" s="102"/>
      <c r="B863" s="103"/>
      <c r="C863" s="103"/>
    </row>
    <row r="864" spans="1:3" x14ac:dyDescent="0.25">
      <c r="A864" s="102"/>
      <c r="B864" s="103"/>
      <c r="C864" s="103"/>
    </row>
    <row r="865" spans="1:3" x14ac:dyDescent="0.25">
      <c r="A865" s="102"/>
      <c r="B865" s="103"/>
      <c r="C865" s="103"/>
    </row>
    <row r="866" spans="1:3" x14ac:dyDescent="0.25">
      <c r="A866" s="102"/>
      <c r="B866" s="103"/>
      <c r="C866" s="103"/>
    </row>
    <row r="867" spans="1:3" x14ac:dyDescent="0.25">
      <c r="A867" s="102"/>
      <c r="B867" s="103"/>
      <c r="C867" s="103"/>
    </row>
    <row r="868" spans="1:3" x14ac:dyDescent="0.25">
      <c r="A868" s="102"/>
      <c r="B868" s="103"/>
      <c r="C868" s="103"/>
    </row>
    <row r="869" spans="1:3" x14ac:dyDescent="0.25">
      <c r="A869" s="102"/>
      <c r="B869" s="103"/>
      <c r="C869" s="103"/>
    </row>
    <row r="870" spans="1:3" x14ac:dyDescent="0.25">
      <c r="A870" s="102"/>
      <c r="B870" s="103"/>
      <c r="C870" s="103"/>
    </row>
    <row r="871" spans="1:3" x14ac:dyDescent="0.25">
      <c r="A871" s="102"/>
      <c r="B871" s="103"/>
      <c r="C871" s="103"/>
    </row>
    <row r="872" spans="1:3" x14ac:dyDescent="0.25">
      <c r="A872" s="102"/>
      <c r="B872" s="103"/>
      <c r="C872" s="103"/>
    </row>
    <row r="873" spans="1:3" x14ac:dyDescent="0.25">
      <c r="A873" s="102"/>
      <c r="B873" s="103"/>
      <c r="C873" s="103"/>
    </row>
    <row r="874" spans="1:3" x14ac:dyDescent="0.25">
      <c r="A874" s="102"/>
      <c r="B874" s="103"/>
      <c r="C874" s="103"/>
    </row>
    <row r="875" spans="1:3" x14ac:dyDescent="0.25">
      <c r="A875" s="102"/>
      <c r="B875" s="103"/>
      <c r="C875" s="103"/>
    </row>
    <row r="876" spans="1:3" x14ac:dyDescent="0.25">
      <c r="A876" s="102"/>
      <c r="B876" s="103"/>
      <c r="C876" s="103"/>
    </row>
    <row r="877" spans="1:3" x14ac:dyDescent="0.25">
      <c r="A877" s="102"/>
      <c r="B877" s="103"/>
      <c r="C877" s="103"/>
    </row>
    <row r="878" spans="1:3" x14ac:dyDescent="0.25">
      <c r="A878" s="102"/>
      <c r="B878" s="103"/>
      <c r="C878" s="103"/>
    </row>
    <row r="879" spans="1:3" x14ac:dyDescent="0.25">
      <c r="A879" s="102"/>
      <c r="B879" s="103"/>
      <c r="C879" s="103"/>
    </row>
    <row r="880" spans="1:3" x14ac:dyDescent="0.25">
      <c r="A880" s="102"/>
      <c r="B880" s="103"/>
      <c r="C880" s="103"/>
    </row>
    <row r="881" spans="1:3" x14ac:dyDescent="0.25">
      <c r="A881" s="102"/>
      <c r="B881" s="103"/>
      <c r="C881" s="103"/>
    </row>
    <row r="882" spans="1:3" x14ac:dyDescent="0.25">
      <c r="A882" s="102"/>
      <c r="B882" s="103"/>
      <c r="C882" s="103"/>
    </row>
    <row r="883" spans="1:3" x14ac:dyDescent="0.25">
      <c r="A883" s="102"/>
      <c r="B883" s="103"/>
      <c r="C883" s="103"/>
    </row>
    <row r="884" spans="1:3" x14ac:dyDescent="0.25">
      <c r="A884" s="102"/>
      <c r="B884" s="103"/>
      <c r="C884" s="103"/>
    </row>
    <row r="885" spans="1:3" x14ac:dyDescent="0.25">
      <c r="A885" s="102"/>
      <c r="B885" s="103"/>
      <c r="C885" s="103"/>
    </row>
    <row r="886" spans="1:3" x14ac:dyDescent="0.25">
      <c r="A886" s="102"/>
      <c r="B886" s="103"/>
      <c r="C886" s="103"/>
    </row>
    <row r="887" spans="1:3" x14ac:dyDescent="0.25">
      <c r="A887" s="102"/>
      <c r="B887" s="103"/>
      <c r="C887" s="103"/>
    </row>
    <row r="888" spans="1:3" x14ac:dyDescent="0.25">
      <c r="A888" s="102"/>
      <c r="B888" s="103"/>
      <c r="C888" s="103"/>
    </row>
    <row r="889" spans="1:3" x14ac:dyDescent="0.25">
      <c r="A889" s="102"/>
      <c r="B889" s="103"/>
      <c r="C889" s="103"/>
    </row>
    <row r="890" spans="1:3" x14ac:dyDescent="0.25">
      <c r="A890" s="102"/>
      <c r="B890" s="103"/>
      <c r="C890" s="103"/>
    </row>
    <row r="891" spans="1:3" x14ac:dyDescent="0.25">
      <c r="A891" s="102"/>
      <c r="B891" s="103"/>
      <c r="C891" s="103"/>
    </row>
    <row r="892" spans="1:3" x14ac:dyDescent="0.25">
      <c r="A892" s="102"/>
      <c r="B892" s="103"/>
      <c r="C892" s="103"/>
    </row>
    <row r="893" spans="1:3" x14ac:dyDescent="0.25">
      <c r="A893" s="102"/>
      <c r="B893" s="103"/>
      <c r="C893" s="103"/>
    </row>
    <row r="894" spans="1:3" x14ac:dyDescent="0.25">
      <c r="A894" s="102"/>
      <c r="B894" s="103"/>
      <c r="C894" s="103"/>
    </row>
    <row r="895" spans="1:3" x14ac:dyDescent="0.25">
      <c r="A895" s="102"/>
      <c r="B895" s="103"/>
      <c r="C895" s="103"/>
    </row>
    <row r="896" spans="1:3" x14ac:dyDescent="0.25">
      <c r="A896" s="102"/>
      <c r="B896" s="103"/>
      <c r="C896" s="103"/>
    </row>
    <row r="897" spans="1:3" x14ac:dyDescent="0.25">
      <c r="A897" s="102"/>
      <c r="B897" s="103"/>
      <c r="C897" s="103"/>
    </row>
    <row r="898" spans="1:3" x14ac:dyDescent="0.25">
      <c r="A898" s="102"/>
      <c r="B898" s="103"/>
      <c r="C898" s="103"/>
    </row>
    <row r="899" spans="1:3" x14ac:dyDescent="0.25">
      <c r="A899" s="102"/>
      <c r="B899" s="103"/>
      <c r="C899" s="103"/>
    </row>
    <row r="900" spans="1:3" x14ac:dyDescent="0.25">
      <c r="A900" s="102"/>
      <c r="B900" s="103"/>
      <c r="C900" s="103"/>
    </row>
    <row r="901" spans="1:3" x14ac:dyDescent="0.25">
      <c r="A901" s="102"/>
      <c r="B901" s="103"/>
      <c r="C901" s="103"/>
    </row>
    <row r="902" spans="1:3" x14ac:dyDescent="0.25">
      <c r="A902" s="102"/>
      <c r="B902" s="103"/>
      <c r="C902" s="103"/>
    </row>
    <row r="903" spans="1:3" x14ac:dyDescent="0.25">
      <c r="A903" s="102"/>
      <c r="B903" s="103"/>
      <c r="C903" s="103"/>
    </row>
    <row r="904" spans="1:3" x14ac:dyDescent="0.25">
      <c r="A904" s="102"/>
      <c r="B904" s="103"/>
      <c r="C904" s="103"/>
    </row>
    <row r="905" spans="1:3" x14ac:dyDescent="0.25">
      <c r="A905" s="102"/>
      <c r="B905" s="103"/>
      <c r="C905" s="103"/>
    </row>
    <row r="906" spans="1:3" x14ac:dyDescent="0.25">
      <c r="A906" s="102"/>
      <c r="B906" s="103"/>
      <c r="C906" s="103"/>
    </row>
    <row r="907" spans="1:3" x14ac:dyDescent="0.25">
      <c r="A907" s="102"/>
      <c r="B907" s="103"/>
      <c r="C907" s="103"/>
    </row>
    <row r="908" spans="1:3" x14ac:dyDescent="0.25">
      <c r="A908" s="102"/>
      <c r="B908" s="103"/>
      <c r="C908" s="103"/>
    </row>
    <row r="909" spans="1:3" x14ac:dyDescent="0.25">
      <c r="A909" s="102"/>
      <c r="B909" s="103"/>
      <c r="C909" s="103"/>
    </row>
    <row r="910" spans="1:3" x14ac:dyDescent="0.25">
      <c r="A910" s="102"/>
      <c r="B910" s="103"/>
      <c r="C910" s="103"/>
    </row>
    <row r="911" spans="1:3" x14ac:dyDescent="0.25">
      <c r="A911" s="102"/>
      <c r="B911" s="103"/>
      <c r="C911" s="103"/>
    </row>
    <row r="912" spans="1:3" x14ac:dyDescent="0.25">
      <c r="A912" s="102"/>
      <c r="B912" s="103"/>
      <c r="C912" s="103"/>
    </row>
    <row r="913" spans="1:3" x14ac:dyDescent="0.25">
      <c r="A913" s="102"/>
      <c r="B913" s="103"/>
      <c r="C913" s="103"/>
    </row>
    <row r="914" spans="1:3" x14ac:dyDescent="0.25">
      <c r="A914" s="102"/>
      <c r="B914" s="103"/>
      <c r="C914" s="103"/>
    </row>
    <row r="915" spans="1:3" x14ac:dyDescent="0.25">
      <c r="A915" s="102"/>
      <c r="B915" s="103"/>
      <c r="C915" s="103"/>
    </row>
    <row r="916" spans="1:3" x14ac:dyDescent="0.25">
      <c r="A916" s="102"/>
      <c r="B916" s="103"/>
      <c r="C916" s="103"/>
    </row>
    <row r="917" spans="1:3" x14ac:dyDescent="0.25">
      <c r="A917" s="102"/>
      <c r="B917" s="103"/>
      <c r="C917" s="103"/>
    </row>
    <row r="918" spans="1:3" x14ac:dyDescent="0.25">
      <c r="A918" s="102"/>
      <c r="B918" s="103"/>
      <c r="C918" s="103"/>
    </row>
    <row r="919" spans="1:3" x14ac:dyDescent="0.25">
      <c r="A919" s="102"/>
      <c r="B919" s="103"/>
      <c r="C919" s="103"/>
    </row>
    <row r="920" spans="1:3" x14ac:dyDescent="0.25">
      <c r="A920" s="102"/>
      <c r="B920" s="103"/>
      <c r="C920" s="103"/>
    </row>
    <row r="921" spans="1:3" x14ac:dyDescent="0.25">
      <c r="A921" s="102"/>
      <c r="B921" s="103"/>
      <c r="C921" s="103"/>
    </row>
    <row r="922" spans="1:3" x14ac:dyDescent="0.25">
      <c r="A922" s="102"/>
      <c r="B922" s="103"/>
      <c r="C922" s="103"/>
    </row>
    <row r="923" spans="1:3" x14ac:dyDescent="0.25">
      <c r="A923" s="102"/>
      <c r="B923" s="103"/>
      <c r="C923" s="103"/>
    </row>
    <row r="924" spans="1:3" x14ac:dyDescent="0.25">
      <c r="A924" s="102"/>
      <c r="B924" s="103"/>
      <c r="C924" s="103"/>
    </row>
    <row r="925" spans="1:3" x14ac:dyDescent="0.25">
      <c r="A925" s="102"/>
      <c r="B925" s="103"/>
      <c r="C925" s="103"/>
    </row>
    <row r="926" spans="1:3" x14ac:dyDescent="0.25">
      <c r="A926" s="102"/>
      <c r="B926" s="103"/>
      <c r="C926" s="103"/>
    </row>
    <row r="927" spans="1:3" x14ac:dyDescent="0.25">
      <c r="A927" s="102"/>
      <c r="B927" s="103"/>
      <c r="C927" s="103"/>
    </row>
    <row r="928" spans="1:3" x14ac:dyDescent="0.25">
      <c r="A928" s="102"/>
      <c r="B928" s="103"/>
      <c r="C928" s="103"/>
    </row>
    <row r="929" spans="1:3" x14ac:dyDescent="0.25">
      <c r="A929" s="102"/>
      <c r="B929" s="103"/>
      <c r="C929" s="103"/>
    </row>
    <row r="930" spans="1:3" x14ac:dyDescent="0.25">
      <c r="A930" s="102"/>
      <c r="B930" s="103"/>
      <c r="C930" s="103"/>
    </row>
    <row r="931" spans="1:3" x14ac:dyDescent="0.25">
      <c r="A931" s="102"/>
      <c r="B931" s="103"/>
      <c r="C931" s="103"/>
    </row>
    <row r="932" spans="1:3" x14ac:dyDescent="0.25">
      <c r="A932" s="102"/>
      <c r="B932" s="103"/>
      <c r="C932" s="103"/>
    </row>
    <row r="933" spans="1:3" x14ac:dyDescent="0.25">
      <c r="A933" s="102"/>
      <c r="B933" s="103"/>
      <c r="C933" s="103"/>
    </row>
    <row r="934" spans="1:3" x14ac:dyDescent="0.25">
      <c r="A934" s="102"/>
      <c r="B934" s="103"/>
      <c r="C934" s="103"/>
    </row>
    <row r="935" spans="1:3" x14ac:dyDescent="0.25">
      <c r="A935" s="102"/>
      <c r="B935" s="103"/>
      <c r="C935" s="103"/>
    </row>
    <row r="936" spans="1:3" x14ac:dyDescent="0.25">
      <c r="A936" s="102"/>
      <c r="B936" s="103"/>
      <c r="C936" s="103"/>
    </row>
    <row r="937" spans="1:3" x14ac:dyDescent="0.25">
      <c r="A937" s="102"/>
      <c r="B937" s="103"/>
      <c r="C937" s="103"/>
    </row>
    <row r="938" spans="1:3" x14ac:dyDescent="0.25">
      <c r="A938" s="102"/>
      <c r="B938" s="103"/>
      <c r="C938" s="103"/>
    </row>
    <row r="939" spans="1:3" x14ac:dyDescent="0.25">
      <c r="A939" s="102"/>
      <c r="B939" s="103"/>
      <c r="C939" s="103"/>
    </row>
    <row r="940" spans="1:3" x14ac:dyDescent="0.25">
      <c r="A940" s="102"/>
      <c r="B940" s="103"/>
      <c r="C940" s="103"/>
    </row>
    <row r="941" spans="1:3" x14ac:dyDescent="0.25">
      <c r="A941" s="102"/>
      <c r="B941" s="103"/>
      <c r="C941" s="103"/>
    </row>
    <row r="942" spans="1:3" x14ac:dyDescent="0.25">
      <c r="A942" s="102"/>
      <c r="B942" s="103"/>
      <c r="C942" s="103"/>
    </row>
    <row r="943" spans="1:3" x14ac:dyDescent="0.25">
      <c r="A943" s="102"/>
      <c r="B943" s="103"/>
      <c r="C943" s="103"/>
    </row>
    <row r="944" spans="1:3" x14ac:dyDescent="0.25">
      <c r="A944" s="102"/>
      <c r="B944" s="103"/>
      <c r="C944" s="103"/>
    </row>
    <row r="945" spans="1:3" x14ac:dyDescent="0.25">
      <c r="A945" s="102"/>
      <c r="B945" s="103"/>
      <c r="C945" s="103"/>
    </row>
    <row r="946" spans="1:3" x14ac:dyDescent="0.25">
      <c r="A946" s="102"/>
      <c r="B946" s="103"/>
      <c r="C946" s="103"/>
    </row>
    <row r="947" spans="1:3" x14ac:dyDescent="0.25">
      <c r="A947" s="102"/>
      <c r="B947" s="103"/>
      <c r="C947" s="103"/>
    </row>
    <row r="948" spans="1:3" x14ac:dyDescent="0.25">
      <c r="A948" s="102"/>
      <c r="B948" s="103"/>
      <c r="C948" s="103"/>
    </row>
    <row r="949" spans="1:3" x14ac:dyDescent="0.25">
      <c r="A949" s="102"/>
      <c r="B949" s="103"/>
      <c r="C949" s="103"/>
    </row>
    <row r="950" spans="1:3" x14ac:dyDescent="0.25">
      <c r="A950" s="102"/>
      <c r="B950" s="103"/>
      <c r="C950" s="103"/>
    </row>
    <row r="951" spans="1:3" x14ac:dyDescent="0.25">
      <c r="A951" s="102"/>
      <c r="B951" s="103"/>
      <c r="C951" s="103"/>
    </row>
    <row r="952" spans="1:3" x14ac:dyDescent="0.25">
      <c r="A952" s="102"/>
      <c r="B952" s="103"/>
      <c r="C952" s="103"/>
    </row>
    <row r="953" spans="1:3" x14ac:dyDescent="0.25">
      <c r="A953" s="102"/>
      <c r="B953" s="103"/>
      <c r="C953" s="103"/>
    </row>
    <row r="954" spans="1:3" x14ac:dyDescent="0.25">
      <c r="A954" s="102"/>
      <c r="B954" s="103"/>
      <c r="C954" s="103"/>
    </row>
    <row r="955" spans="1:3" x14ac:dyDescent="0.25">
      <c r="A955" s="102"/>
      <c r="B955" s="103"/>
      <c r="C955" s="103"/>
    </row>
    <row r="956" spans="1:3" x14ac:dyDescent="0.25">
      <c r="A956" s="102"/>
      <c r="B956" s="103"/>
      <c r="C956" s="103"/>
    </row>
    <row r="957" spans="1:3" x14ac:dyDescent="0.25">
      <c r="A957" s="102"/>
      <c r="B957" s="103"/>
      <c r="C957" s="103"/>
    </row>
    <row r="958" spans="1:3" x14ac:dyDescent="0.25">
      <c r="A958" s="102"/>
      <c r="B958" s="103"/>
      <c r="C958" s="103"/>
    </row>
    <row r="959" spans="1:3" x14ac:dyDescent="0.25">
      <c r="A959" s="102"/>
      <c r="B959" s="103"/>
      <c r="C959" s="103"/>
    </row>
    <row r="960" spans="1:3" x14ac:dyDescent="0.25">
      <c r="A960" s="102"/>
      <c r="B960" s="103"/>
      <c r="C960" s="103"/>
    </row>
    <row r="961" spans="1:3" x14ac:dyDescent="0.25">
      <c r="A961" s="102"/>
      <c r="B961" s="103"/>
      <c r="C961" s="103"/>
    </row>
    <row r="962" spans="1:3" x14ac:dyDescent="0.25">
      <c r="A962" s="102"/>
      <c r="B962" s="103"/>
      <c r="C962" s="103"/>
    </row>
    <row r="963" spans="1:3" x14ac:dyDescent="0.25">
      <c r="A963" s="102"/>
      <c r="B963" s="103"/>
      <c r="C963" s="103"/>
    </row>
    <row r="964" spans="1:3" x14ac:dyDescent="0.25">
      <c r="A964" s="102"/>
      <c r="B964" s="103"/>
      <c r="C964" s="103"/>
    </row>
    <row r="965" spans="1:3" x14ac:dyDescent="0.25">
      <c r="A965" s="102"/>
      <c r="B965" s="103"/>
      <c r="C965" s="103"/>
    </row>
    <row r="966" spans="1:3" x14ac:dyDescent="0.25">
      <c r="A966" s="102"/>
      <c r="B966" s="103"/>
      <c r="C966" s="103"/>
    </row>
    <row r="967" spans="1:3" x14ac:dyDescent="0.25">
      <c r="A967" s="102"/>
      <c r="B967" s="103"/>
      <c r="C967" s="103"/>
    </row>
    <row r="968" spans="1:3" x14ac:dyDescent="0.25">
      <c r="A968" s="102"/>
      <c r="B968" s="103"/>
      <c r="C968" s="103"/>
    </row>
    <row r="969" spans="1:3" x14ac:dyDescent="0.25">
      <c r="A969" s="102"/>
      <c r="B969" s="103"/>
      <c r="C969" s="103"/>
    </row>
    <row r="970" spans="1:3" x14ac:dyDescent="0.25">
      <c r="A970" s="102"/>
      <c r="B970" s="103"/>
      <c r="C970" s="103"/>
    </row>
    <row r="971" spans="1:3" x14ac:dyDescent="0.25">
      <c r="A971" s="102"/>
      <c r="B971" s="103"/>
      <c r="C971" s="103"/>
    </row>
    <row r="972" spans="1:3" x14ac:dyDescent="0.25">
      <c r="A972" s="102"/>
      <c r="B972" s="103"/>
      <c r="C972" s="103"/>
    </row>
    <row r="973" spans="1:3" x14ac:dyDescent="0.25">
      <c r="A973" s="102"/>
      <c r="B973" s="103"/>
      <c r="C973" s="103"/>
    </row>
    <row r="974" spans="1:3" x14ac:dyDescent="0.25">
      <c r="A974" s="102"/>
      <c r="B974" s="103"/>
      <c r="C974" s="103"/>
    </row>
    <row r="975" spans="1:3" x14ac:dyDescent="0.25">
      <c r="A975" s="102"/>
      <c r="B975" s="103"/>
      <c r="C975" s="103"/>
    </row>
    <row r="976" spans="1:3" x14ac:dyDescent="0.25">
      <c r="A976" s="102"/>
      <c r="B976" s="103"/>
      <c r="C976" s="103"/>
    </row>
    <row r="977" spans="1:3" x14ac:dyDescent="0.25">
      <c r="A977" s="102"/>
      <c r="B977" s="103"/>
      <c r="C977" s="103"/>
    </row>
    <row r="978" spans="1:3" x14ac:dyDescent="0.25">
      <c r="A978" s="102"/>
      <c r="B978" s="103"/>
      <c r="C978" s="103"/>
    </row>
    <row r="979" spans="1:3" x14ac:dyDescent="0.25">
      <c r="A979" s="102"/>
      <c r="B979" s="103"/>
      <c r="C979" s="103"/>
    </row>
    <row r="980" spans="1:3" x14ac:dyDescent="0.25">
      <c r="A980" s="102"/>
      <c r="B980" s="103"/>
      <c r="C980" s="103"/>
    </row>
    <row r="981" spans="1:3" x14ac:dyDescent="0.25">
      <c r="A981" s="102"/>
      <c r="B981" s="103"/>
      <c r="C981" s="103"/>
    </row>
    <row r="982" spans="1:3" x14ac:dyDescent="0.25">
      <c r="A982" s="102"/>
      <c r="B982" s="103"/>
      <c r="C982" s="103"/>
    </row>
    <row r="983" spans="1:3" x14ac:dyDescent="0.25">
      <c r="A983" s="102"/>
      <c r="B983" s="103"/>
      <c r="C983" s="103"/>
    </row>
    <row r="984" spans="1:3" x14ac:dyDescent="0.25">
      <c r="A984" s="102"/>
      <c r="B984" s="103"/>
      <c r="C984" s="103"/>
    </row>
    <row r="985" spans="1:3" x14ac:dyDescent="0.25">
      <c r="A985" s="102"/>
      <c r="B985" s="103"/>
      <c r="C985" s="103"/>
    </row>
    <row r="986" spans="1:3" x14ac:dyDescent="0.25">
      <c r="A986" s="102"/>
      <c r="B986" s="103"/>
      <c r="C986" s="103"/>
    </row>
    <row r="987" spans="1:3" x14ac:dyDescent="0.25">
      <c r="A987" s="102"/>
      <c r="B987" s="103"/>
      <c r="C987" s="103"/>
    </row>
    <row r="988" spans="1:3" x14ac:dyDescent="0.25">
      <c r="A988" s="102"/>
      <c r="B988" s="103"/>
      <c r="C988" s="103"/>
    </row>
    <row r="989" spans="1:3" x14ac:dyDescent="0.25">
      <c r="A989" s="102"/>
      <c r="B989" s="103"/>
      <c r="C989" s="103"/>
    </row>
    <row r="990" spans="1:3" x14ac:dyDescent="0.25">
      <c r="A990" s="102"/>
      <c r="B990" s="103"/>
      <c r="C990" s="103"/>
    </row>
    <row r="991" spans="1:3" x14ac:dyDescent="0.25">
      <c r="A991" s="102"/>
      <c r="B991" s="103"/>
      <c r="C991" s="103"/>
    </row>
    <row r="992" spans="1:3" x14ac:dyDescent="0.25">
      <c r="A992" s="102"/>
      <c r="B992" s="103"/>
      <c r="C992" s="103"/>
    </row>
    <row r="993" spans="1:3" x14ac:dyDescent="0.25">
      <c r="A993" s="102"/>
      <c r="B993" s="103"/>
      <c r="C993" s="103"/>
    </row>
    <row r="994" spans="1:3" x14ac:dyDescent="0.25">
      <c r="A994" s="102"/>
      <c r="B994" s="103"/>
      <c r="C994" s="103"/>
    </row>
    <row r="995" spans="1:3" x14ac:dyDescent="0.25">
      <c r="A995" s="102"/>
      <c r="B995" s="103"/>
      <c r="C995" s="103"/>
    </row>
    <row r="996" spans="1:3" x14ac:dyDescent="0.25">
      <c r="A996" s="102"/>
      <c r="B996" s="103"/>
      <c r="C996" s="103"/>
    </row>
    <row r="997" spans="1:3" x14ac:dyDescent="0.25">
      <c r="A997" s="102"/>
      <c r="B997" s="103"/>
      <c r="C997" s="103"/>
    </row>
    <row r="998" spans="1:3" x14ac:dyDescent="0.25">
      <c r="A998" s="102"/>
      <c r="B998" s="103"/>
      <c r="C998" s="103"/>
    </row>
    <row r="999" spans="1:3" x14ac:dyDescent="0.25">
      <c r="A999" s="102"/>
      <c r="B999" s="103"/>
      <c r="C999" s="103"/>
    </row>
    <row r="1000" spans="1:3" x14ac:dyDescent="0.25">
      <c r="A1000" s="102"/>
      <c r="B1000" s="103"/>
      <c r="C1000" s="103"/>
    </row>
  </sheetData>
  <hyperlinks>
    <hyperlink ref="B2" r:id="rId1" xr:uid="{00000000-0004-0000-0500-000000000000}"/>
    <hyperlink ref="C2" r:id="rId2" location=":~:text=Alabama%20enacted%20its%20FY2024%20budget,%2C%20bonds%2C%20and%20federal%20funds." xr:uid="{00000000-0004-0000-0500-000001000000}"/>
    <hyperlink ref="B3" r:id="rId3" xr:uid="{00000000-0004-0000-0500-000002000000}"/>
    <hyperlink ref="C3" r:id="rId4" location=":~:text=According%20to%20the%20National%20Association,%2C%20bonds%2C%20and%20federal%20funds." xr:uid="{00000000-0004-0000-0500-000003000000}"/>
    <hyperlink ref="D3" r:id="rId5" xr:uid="{00000000-0004-0000-0500-000004000000}"/>
    <hyperlink ref="E3" r:id="rId6" xr:uid="{00000000-0004-0000-0500-000005000000}"/>
    <hyperlink ref="F3" r:id="rId7" xr:uid="{00000000-0004-0000-0500-000006000000}"/>
    <hyperlink ref="C4" r:id="rId8" location=":~:text=Arizona%20enacted%20its%20FY%202024,31%2C%202026." xr:uid="{00000000-0004-0000-0500-000007000000}"/>
    <hyperlink ref="B5" r:id="rId9" xr:uid="{00000000-0004-0000-0500-000008000000}"/>
    <hyperlink ref="C5" r:id="rId10" xr:uid="{00000000-0004-0000-0500-000009000000}"/>
    <hyperlink ref="D5" r:id="rId11" location=":~:text=Per%20the%20US%20Census%20Bureau,university%20tuition%20and%20highway%20tolls." xr:uid="{00000000-0004-0000-0500-00000A000000}"/>
    <hyperlink ref="B6" r:id="rId12" location=":~:text=Caltrans%20is%20required%20under%2049,the%20Caltrans%20DBE%20Program%20Plan." xr:uid="{00000000-0004-0000-0500-00000B000000}"/>
    <hyperlink ref="B7" r:id="rId13" xr:uid="{00000000-0004-0000-0500-00000C000000}"/>
    <hyperlink ref="B9" r:id="rId14" xr:uid="{00000000-0004-0000-0500-00000D000000}"/>
    <hyperlink ref="B10" r:id="rId15" xr:uid="{00000000-0004-0000-0500-00000E000000}"/>
    <hyperlink ref="C10" r:id="rId16" xr:uid="{00000000-0004-0000-0500-00000F000000}"/>
    <hyperlink ref="D10" r:id="rId17" xr:uid="{00000000-0004-0000-0500-000010000000}"/>
    <hyperlink ref="B11" r:id="rId18" xr:uid="{00000000-0004-0000-0500-000011000000}"/>
    <hyperlink ref="B12" r:id="rId19" xr:uid="{00000000-0004-0000-0500-000012000000}"/>
    <hyperlink ref="B13" r:id="rId20" xr:uid="{00000000-0004-0000-0500-000013000000}"/>
    <hyperlink ref="B17" r:id="rId21" xr:uid="{00000000-0004-0000-0500-000014000000}"/>
    <hyperlink ref="C17" r:id="rId22" xr:uid="{00000000-0004-0000-0500-000015000000}"/>
    <hyperlink ref="D17" r:id="rId23" xr:uid="{00000000-0004-0000-0500-000016000000}"/>
    <hyperlink ref="E17" r:id="rId24" location=":~:text=According%20to%20NASBO%2C%20Kansas's%20recent,%247.3%20billion%2F%2421.8%20billion" xr:uid="{00000000-0004-0000-0500-000017000000}"/>
    <hyperlink ref="B20" r:id="rId25" xr:uid="{00000000-0004-0000-0500-000018000000}"/>
    <hyperlink ref="B21" r:id="rId26" xr:uid="{00000000-0004-0000-0500-000019000000}"/>
    <hyperlink ref="B22" r:id="rId27" xr:uid="{00000000-0004-0000-0500-00001A000000}"/>
    <hyperlink ref="B23" r:id="rId28" xr:uid="{00000000-0004-0000-0500-00001B000000}"/>
    <hyperlink ref="B24" r:id="rId29" xr:uid="{00000000-0004-0000-0500-00001C000000}"/>
    <hyperlink ref="B25" r:id="rId30" xr:uid="{00000000-0004-0000-0500-00001D000000}"/>
    <hyperlink ref="B26" r:id="rId31" xr:uid="{00000000-0004-0000-0500-00001E000000}"/>
    <hyperlink ref="B27" r:id="rId32" xr:uid="{00000000-0004-0000-0500-00001F000000}"/>
    <hyperlink ref="B28" r:id="rId33" xr:uid="{00000000-0004-0000-0500-000020000000}"/>
    <hyperlink ref="B29" r:id="rId34" xr:uid="{00000000-0004-0000-0500-000021000000}"/>
    <hyperlink ref="B31" r:id="rId35" location=":~:text=Historically%20Underutilized%20Business%20(HUB)%20Zones,of%20HUBZones%20in%20New%20Jersey." xr:uid="{00000000-0004-0000-0500-000022000000}"/>
    <hyperlink ref="B32" r:id="rId36" xr:uid="{00000000-0004-0000-0500-000023000000}"/>
    <hyperlink ref="B33" r:id="rId37" xr:uid="{00000000-0004-0000-0500-000024000000}"/>
    <hyperlink ref="B34" r:id="rId38" xr:uid="{00000000-0004-0000-0500-000025000000}"/>
    <hyperlink ref="B35" r:id="rId39" xr:uid="{00000000-0004-0000-0500-000026000000}"/>
    <hyperlink ref="B36" r:id="rId40" location=":~:text=(G)%20%22Economically%20Disadvantaged%20Business,is%20based%20on%2013%20C.F.R." xr:uid="{00000000-0004-0000-0500-000027000000}"/>
    <hyperlink ref="C36" r:id="rId41" xr:uid="{00000000-0004-0000-0500-000028000000}"/>
    <hyperlink ref="B37" r:id="rId42" xr:uid="{00000000-0004-0000-0500-000029000000}"/>
    <hyperlink ref="B38" r:id="rId43" xr:uid="{00000000-0004-0000-0500-00002A000000}"/>
    <hyperlink ref="C38" r:id="rId44" xr:uid="{00000000-0004-0000-0500-00002B000000}"/>
    <hyperlink ref="C39" r:id="rId45" xr:uid="{00000000-0004-0000-0500-00002C000000}"/>
    <hyperlink ref="B40" r:id="rId46" xr:uid="{00000000-0004-0000-0500-00002D000000}"/>
    <hyperlink ref="C41" r:id="rId47" xr:uid="{00000000-0004-0000-0500-00002E000000}"/>
    <hyperlink ref="B43" r:id="rId48" xr:uid="{00000000-0004-0000-0500-00002F000000}"/>
    <hyperlink ref="C43" r:id="rId49" xr:uid="{00000000-0004-0000-0500-000030000000}"/>
    <hyperlink ref="B44" r:id="rId50" xr:uid="{00000000-0004-0000-0500-000031000000}"/>
    <hyperlink ref="C44" r:id="rId51" xr:uid="{00000000-0004-0000-0500-000032000000}"/>
    <hyperlink ref="B45" r:id="rId52" xr:uid="{00000000-0004-0000-0500-000033000000}"/>
    <hyperlink ref="B47" r:id="rId53" xr:uid="{00000000-0004-0000-0500-000034000000}"/>
    <hyperlink ref="B48" r:id="rId54" xr:uid="{00000000-0004-0000-0500-000035000000}"/>
    <hyperlink ref="B49" r:id="rId55" xr:uid="{00000000-0004-0000-0500-000036000000}"/>
    <hyperlink ref="B51" r:id="rId56" xr:uid="{00000000-0004-0000-0500-000037000000}"/>
    <hyperlink ref="C51" r:id="rId57" xr:uid="{00000000-0004-0000-0500-000038000000}"/>
    <hyperlink ref="D51" r:id="rId58" xr:uid="{00000000-0004-0000-0500-00003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Full Spreadsheet</vt:lpstr>
      <vt:lpstr>Sheet1</vt:lpstr>
      <vt:lpstr>Data Visualization</vt:lpstr>
      <vt:lpstr>Heatmap</vt:lpstr>
      <vt:lpstr>Oklahoma</vt:lpstr>
      <vt:lpstr>Sources</vt:lpstr>
      <vt:lpstr>Spending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Manu Srinivas</cp:lastModifiedBy>
  <dcterms:modified xsi:type="dcterms:W3CDTF">2025-12-05T15:43:24Z</dcterms:modified>
</cp:coreProperties>
</file>