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ccessful States" sheetId="1" r:id="rId4"/>
    <sheet state="visible" name="Oklahoma" sheetId="2" r:id="rId5"/>
  </sheets>
  <definedNames/>
  <calcPr/>
</workbook>
</file>

<file path=xl/sharedStrings.xml><?xml version="1.0" encoding="utf-8"?>
<sst xmlns="http://schemas.openxmlformats.org/spreadsheetml/2006/main" count="102" uniqueCount="81">
  <si>
    <t xml:space="preserve">States </t>
  </si>
  <si>
    <t xml:space="preserve">Targeted Business Defintion </t>
  </si>
  <si>
    <t>State Agency(s) for Program(s)</t>
  </si>
  <si>
    <t>Year</t>
  </si>
  <si>
    <t xml:space="preserve">Total HUB Goal </t>
  </si>
  <si>
    <t>Goal Type (spending or participation)</t>
  </si>
  <si>
    <t xml:space="preserve">Total HUB Spending Utilization </t>
  </si>
  <si>
    <t>Total Annual Spending (if available)</t>
  </si>
  <si>
    <t>Success (%)</t>
  </si>
  <si>
    <r>
      <rPr>
        <rFont val="Times New Roman"/>
        <color theme="1"/>
        <sz val="13.0"/>
      </rPr>
      <t>Oklahoma</t>
    </r>
  </si>
  <si>
    <t>NMSDC and its affiliates solicit major corporations and large companies to do more purchasing from minority-owned businesses and provide a “Minority Business Enterprise” (MBE) certification to assist in identifying eligible minority-owned businesses. To qualify for certification, the minority business owner must: • Be from one of the following racial minority/ethic groups: African American/Black, Native American, Hispanic/ Latino American, Asian-Pacific American and Asian-Indian American; • Hold 51% or more of the ownership of the business, • Have full control of its operations and management.</t>
  </si>
  <si>
    <t>Oklahoma Department of Transportation and Disadvantaged Business Enterprise</t>
  </si>
  <si>
    <t>FY2024</t>
  </si>
  <si>
    <t>Spending</t>
  </si>
  <si>
    <r>
      <rPr>
        <rFont val="Times New Roman"/>
        <color theme="1"/>
        <sz val="13.0"/>
      </rPr>
      <t>New Mexico</t>
    </r>
  </si>
  <si>
    <t>"historically underutilized business" means a legally recognized for-profit business organization, corporation, sole proprietorship, partnership or joint venture that has applied for and received a valid historically underutilized business certificate issued by the taxation and revenue department certifying that:
               (1) it has an average gross revenue for the preceding three calendar years that does not exceed five million dollars ($5,000,000), as reported to the taxation and revenue department, or an average number of employees in New Mexico for the preceding three calendar years that does not exceed fifty;
                (2) it is a "resident business" as certified by the taxation and revenue department pursuant to Section 13-1-22 NMSA 1978; and
                (3) as certified by the taxation and revenue department, more than fifty percent of the business is owned by women or persons who are members of one or more of the following communities of color: African American, Latino or Hispanic, Asian, Pacific Islander, Native American or Alaska Native;</t>
  </si>
  <si>
    <t xml:space="preserve">DBE program through New Mexico Department of Transporation </t>
  </si>
  <si>
    <t>FY2021-2023</t>
  </si>
  <si>
    <t>Participation</t>
  </si>
  <si>
    <r>
      <rPr>
        <rFont val="Times New Roman"/>
        <color theme="1"/>
        <sz val="13.0"/>
      </rPr>
      <t>Utah</t>
    </r>
  </si>
  <si>
    <t>To qualify for DBE status your business must:
Have 3-year average Gross Income must not exceed $30.32 million
Personal income must not exceed 1.32 million. This income does not include retirement and residential properties
Be owned 51% or more by a Social and Economically Disadvantaged Individual (SEDO)</t>
  </si>
  <si>
    <t>State DBE program administered through Utah Department of Transportation</t>
  </si>
  <si>
    <t>FY2023</t>
  </si>
  <si>
    <t>Tennessee</t>
  </si>
  <si>
    <t>The Governor's Office of Diversity Business Enterprise (Go-DBE) is dedicated to assisting small, minority-owned, and woman-owned businesses in competing for state procurement and contracting opportunities.</t>
  </si>
  <si>
    <t>Tennessee Department of Transportation (TDOT)</t>
  </si>
  <si>
    <t>FY2021</t>
  </si>
  <si>
    <r>
      <rPr>
        <rFont val="Times New Roman"/>
        <color theme="1"/>
        <sz val="13.0"/>
      </rPr>
      <t>Ohio</t>
    </r>
  </si>
  <si>
    <t>(G) "Economically Disadvantaged Business" means a business (including its affiliates) is at least fifty-one per cent owned and controlled by a socially and economically disadvantaged individual(s) and the size of the business does not exceed the definition of a "small business" as defined by the United States small business administration (SBA) in 13 C.F.R 121.201 (2020) and calculated in accordance with 13 C.F.R 121.101 to 121.107 (2020); (1) To be a "small business" as defined by the SBA standards, only one main North American industry classification system (NAICS) code is used to determine the company's size standard. The main NAICS code (the code in which the majority of the company's gross receipts are generated) as identified by the Ohio department of administrative services, equal opportunity division (DAS/EOD) at the time of certification or recertification is the only NAICS code used to determine a business's size standard. (H) "Economically Disadvantaged Individual" means an individual(s) whose ability to compete in the free enterprise system has been impaired due to diminished capital and credit opportunities as compared to others in the same or similar business(es) that are not economically disadvantaged. Economic disadvantage is based on 13 C.F.R.</t>
  </si>
  <si>
    <t>Department of Administrative Services, Equal Opportunity Division</t>
  </si>
  <si>
    <t>FY2020</t>
  </si>
  <si>
    <t>North Dakota</t>
  </si>
  <si>
    <t>**Program specific to federally-aided highway construction projects.** An individual must own 51% or more of a “small business” and
establish that they are socially and economically disadvantaged.
A disadvantaged owner seeking certification must possess the
power to direct or cause the direction of the management and
policies of the firm. The owner must also have an overall
understanding of managerial and technical competency and
experience directly related to the type of business in which the
firm is engaged.
Certain groups are presumed socially disadvantaged by the U.S.
Small Business Administration including women, Black Americans,
Hispanic Americans, Native Americans, Asian-Pacific Americans,
Subcontinent Asian-Pacific Americans.</t>
  </si>
  <si>
    <t>DBE program through ND Department of Transportation</t>
  </si>
  <si>
    <t>FY2022</t>
  </si>
  <si>
    <r>
      <rPr>
        <rFont val="Times New Roman"/>
        <color theme="1"/>
        <sz val="13.0"/>
      </rPr>
      <t>Massachusetts</t>
    </r>
  </si>
  <si>
    <t xml:space="preserve">Primary office of business must be located in HubZone area. At least 35% of business' employees must reside in HubZone area. Business must be atleast 51% controlled by US citizen. Community Deveopment Corperation. agricultural cooperative, or Indian tribe. Business must complete HubZone certification process. </t>
  </si>
  <si>
    <t>Executive Office of Economic Development</t>
  </si>
  <si>
    <t>FY 2023</t>
  </si>
  <si>
    <t xml:space="preserve">Participation </t>
  </si>
  <si>
    <r>
      <rPr>
        <rFont val="Times New Roman"/>
        <color theme="1"/>
        <sz val="13.0"/>
      </rPr>
      <t>Montana</t>
    </r>
  </si>
  <si>
    <t>The majority owner(s) must have been subjected to racial or ethnic prejudice or cultural bias within American society because of his or her identity as a member of groups without regard to his or her individual qualities. The social disadvantage must stem from circumstances beyond the individual’s control. The following groups are rebuttably presumed to be disadvantaged:
Black Americans, Hispanic Americans, Native Americans, Asian-Pacific Americans, Subcontinent Asian Americans, Women, and Any additional groups whose members are designated as socially and economically disadvantaged by the SBA, at such time as the SBA designation becomes effective. Business Size: A firm (including affiliates) must be a small business as defined by SBA standards. Find the table of size standards based on your business’s work type (NAICS Code) here.
Personal Net Worth: The majority owner(s) of the company must have a personal net worth under $2,047,000 (excluding equity in applicant/certified business, primary residence, and retirement accounts).
For-Profit: Firm must be organized for profit. Not-for-profit organizations are not eligible.
Citizenship: Majority owner(s) must be a citizen (or lawfully admitted permanent resident) of the United States.</t>
  </si>
  <si>
    <t>Montana Department of Commerce</t>
  </si>
  <si>
    <t>FY 2020</t>
  </si>
  <si>
    <r>
      <rPr>
        <rFont val="Times New Roman"/>
        <color theme="1"/>
        <sz val="13.0"/>
      </rPr>
      <t>Connecticut</t>
    </r>
  </si>
  <si>
    <t>In order to qualify, the majority owner of the business must be a member of a socially or economically ‘disadvantaged’ group in the United States with legal residence. In addition, the owner must have proof of expertise in the given field of work, as well as maintain a personal net worth below $1.31 million.</t>
  </si>
  <si>
    <t>Connecticut Department of Transportation (need to update all amounts to 2022/2023 dollars if we include this state)*</t>
  </si>
  <si>
    <t>FY 2014*</t>
  </si>
  <si>
    <r>
      <rPr>
        <rFont val="Times New Roman"/>
        <color theme="1"/>
        <sz val="13.0"/>
      </rPr>
      <t>Wisconsin</t>
    </r>
  </si>
  <si>
    <t>The Wisconsin Supplier Diversity Program (SDP) certifies Minority-Owned (MBE), Service-Disabled Veteran-Owned (DVB) and Woman-Owned (WBE) businesses. The SDP verifies that businesses are at least 51% owned, managed, and controlled by a member or members of selected population.</t>
  </si>
  <si>
    <t>State of Wisconsin Department of Administration
Supplier Diversity Program</t>
  </si>
  <si>
    <r>
      <rPr>
        <rFont val="Times New Roman"/>
        <color theme="1"/>
        <sz val="13.0"/>
      </rPr>
      <t>Wyoming</t>
    </r>
  </si>
  <si>
    <t>Any individual who a recipient finds to be a socially and economically disadvantaged individual on a case-bycase basis. An individual must demonstrate that he or she has held himself or herself out, as a member of a
designated group if you require it.
2. Any individual in the following groups, members of which are rebuttably presumed to be socially and
economically disadvantaged:
a. “Black Americans,” which includes persons having origins in any of the Black racial groups of Africa;
b. “Hispanic Americans,” which includes persons of Mexican, Puerto Rican, Cuban, Dominican, Central
or South American, or other Spanish or Portuguese culture or origin, regardless of race;
c. “Native Americans,” which includes persons who are enrolled members of a federally or State
recognized Indian tribe, Alaska Natives, or Native Hawaiians;
d. “Asian-Pacific Americans,” which includes persons whose origins are from Japan, China, Taiwan,
Korea, Burma (Myanmar), Vietnam, Laos, Cambodia (Kampuchea), Thailand, Malaysia, Indonesia, the
Philippines, Brunei, Samoa, Guam, the U.S. Trust Territories of the Pacific Islands (Republic of Palau),
Republic of the Northern Marianas Islands, Samoa, Macao, Fiji, Tonga, Kirbati, Tuvalu, Nauru,
Federated States of Micronesia, or Hong Kong;
e. “Subcontinent Asian Americans,” which includes persons whose origins are from India, Pakistan,
Bangladesh, Bhutan, the Maldives Islands, Nepal or Sri Lanka;
f. Women;
g. Any additional groups whose members are designated as socially and economically disadvantaged by
the SBA, at such time as the SBA designation becomes effective.</t>
  </si>
  <si>
    <t>Wyoming Department of Transportation</t>
  </si>
  <si>
    <r>
      <rPr>
        <rFont val="Times New Roman"/>
        <color theme="1"/>
        <sz val="13.0"/>
      </rPr>
      <t>Florida</t>
    </r>
  </si>
  <si>
    <t>Must be an existing "for-profit" business that is currently operational;
Must meet the federal definition of a small business concern;
Must be an independent business which does not depend on its relationships with another firm or firms. If it is a subsidiary of a corporation, the business must still operate in a self-sufficient manner;
The qualifying owner(s) must meet the federal definition of "socially and economically disadvantaged" individuals;
The qualifying owner(s) must own a minimum of 51% of the company; and have an investment in their company;
The qualifying owner(s) cannot have a net worth that exceeds $2.047 Million 
The qualifying owner(s) must have day-to-day control of operations and possess an expertise in their work specialty.</t>
  </si>
  <si>
    <t>Florida Department of Transportation (FHWA specific)</t>
  </si>
  <si>
    <t>FY 2022</t>
  </si>
  <si>
    <r>
      <rPr>
        <rFont val="Times New Roman"/>
        <color theme="1"/>
        <sz val="13.0"/>
      </rPr>
      <t>Maryland</t>
    </r>
  </si>
  <si>
    <t xml:space="preserve">Business is independently owned and operated. Business is not a subsidary of another business. Business is not dominant in field of operation.The wholesale operations of the business did not employ more than 50 persons in its most recently completed 3 fiscal years </t>
  </si>
  <si>
    <t>Maryland Department of Commerce</t>
  </si>
  <si>
    <r>
      <rPr>
        <rFont val="Times New Roman"/>
        <color theme="1"/>
        <sz val="13.0"/>
      </rPr>
      <t>New York</t>
    </r>
  </si>
  <si>
    <t>Minority-Owned Business Enterprise (MBE):
Under Article 15-A of the Executive Law, an MBE is a business enterprise in which at least fifty-one percent (51%) is owned, operated and controlled by citizens or permanent resident aliens who are meeting the ethnic definitions listed below:
Black, Hispanic, Asian-Pacific, Asian-Indian Subcontinent, Native American or Alaskan Native</t>
  </si>
  <si>
    <t>New York Division of Minority and Women’s Business Development</t>
  </si>
  <si>
    <t>Kentucky</t>
  </si>
  <si>
    <t>Whenever deemed by the CPO as in the best interests of the university, solicitations may include reserved points potential respondents certified as small and emerging business (R.S. 51:941), or a small entrepreneurship (R.S. 39:2006) or a veteran or service-connected disabled veteran- owned small entrepreneurship (R.S. 39:21). B. The CPO may waive the requirement of obtaining three or more quotes when purchases do not exceed $50,000 per transaction from a small entrepreneurship certified under either the Hudson or Veteran Initiative when price is determined to be reasonable, in their sole discretion.</t>
  </si>
  <si>
    <t>Kentucky Transportation Cabinet</t>
  </si>
  <si>
    <r>
      <rPr>
        <rFont val="Times New Roman"/>
        <color theme="1"/>
        <sz val="13.0"/>
      </rPr>
      <t>Pennsylvania</t>
    </r>
  </si>
  <si>
    <t>Woman-owned business, minority-owned business or veteran-owned business” - Diverse and disadvantaged businesses.</t>
  </si>
  <si>
    <t>Department of General Services: Bureau of Small Business Opportunities</t>
  </si>
  <si>
    <t xml:space="preserve">FY2024 </t>
  </si>
  <si>
    <t>Allocation Percentage</t>
  </si>
  <si>
    <r>
      <rPr>
        <rFont val="Times New Roman"/>
        <color theme="1"/>
        <sz val="13.0"/>
      </rPr>
      <t>Wyoming</t>
    </r>
  </si>
  <si>
    <t>Alaska, Oklahoma, New York, Utah, Florida</t>
  </si>
  <si>
    <t>Total Spending</t>
  </si>
  <si>
    <t>DBE Spending</t>
  </si>
  <si>
    <t>Goal</t>
  </si>
  <si>
    <t>Attainment</t>
  </si>
  <si>
    <t>Proportion</t>
  </si>
  <si>
    <t>Goal (weighted)</t>
  </si>
  <si>
    <t>Attainment (weighted)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</si>
</sst>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0.0%"/>
  </numFmts>
  <fonts count="8">
    <font>
      <sz val="10.0"/>
      <color rgb="FF000000"/>
      <name val="Arial"/>
      <scheme val="minor"/>
    </font>
    <font>
      <color theme="1"/>
      <name val="Arial"/>
      <scheme val="minor"/>
    </font>
    <font>
      <color theme="1"/>
      <name val="Arial"/>
    </font>
    <font>
      <sz val="13.0"/>
      <color theme="1"/>
      <name val="Times New Roman"/>
    </font>
    <font>
      <sz val="13.0"/>
      <color rgb="FF434343"/>
      <name val="Times New Roman"/>
    </font>
    <font>
      <sz val="13.0"/>
      <color rgb="FF333333"/>
      <name val="Times New Roman"/>
    </font>
    <font>
      <sz val="13.0"/>
      <color rgb="FF212529"/>
      <name val="Times New Roman"/>
    </font>
    <font>
      <b/>
      <sz val="13.0"/>
      <color rgb="FF434343"/>
      <name val="Times New Roman"/>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1">
    <border/>
    <border>
      <left style="thin">
        <color rgb="FF284E3F"/>
      </left>
      <right style="thin">
        <color rgb="FF000000"/>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FFFFFF"/>
      </left>
      <right style="thin">
        <color rgb="FF000000"/>
      </right>
      <top style="thin">
        <color rgb="FFFFFFFF"/>
      </top>
      <bottom style="thin">
        <color rgb="FFFFFFFF"/>
      </bottom>
    </border>
    <border>
      <left style="thin">
        <color rgb="FF284E3F"/>
      </left>
      <right style="thin">
        <color rgb="FF000000"/>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284E3F"/>
      </left>
      <right style="thin">
        <color rgb="FF000000"/>
      </right>
      <top style="thin">
        <color rgb="FFF6F8F9"/>
      </top>
      <bottom style="thin">
        <color rgb="FF000000"/>
      </bottom>
    </border>
    <border>
      <left style="thin">
        <color rgb="FFF6F8F9"/>
      </left>
      <right style="thin">
        <color rgb="FF000000"/>
      </right>
      <top style="thin">
        <color rgb="FFF6F8F9"/>
      </top>
      <bottom style="thin">
        <color rgb="FF000000"/>
      </bottom>
    </border>
    <border>
      <left style="thin">
        <color rgb="FFF6F8F9"/>
      </left>
      <right style="thin">
        <color rgb="FFF6F8F9"/>
      </right>
      <top style="thin">
        <color rgb="FFF6F8F9"/>
      </top>
      <bottom style="thin">
        <color rgb="FF000000"/>
      </bottom>
    </border>
    <border>
      <left style="thin">
        <color rgb="FF000000"/>
      </left>
      <right style="thin">
        <color rgb="FF000000"/>
      </right>
      <top style="thin">
        <color rgb="FFF6F8F9"/>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0" xfId="0" applyAlignment="1" applyFont="1" applyNumberForma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9" xfId="0" applyAlignment="1" applyFont="1" applyNumberFormat="1">
      <alignment horizontal="left" readingOrder="0" shrinkToFit="0" vertical="center" wrapText="1"/>
    </xf>
    <xf borderId="0" fillId="0" fontId="2" numFmtId="0" xfId="0" applyFont="1"/>
    <xf borderId="1" fillId="2" fontId="3" numFmtId="0" xfId="0" applyAlignment="1" applyBorder="1" applyFill="1" applyFont="1">
      <alignment horizontal="center" shrinkToFit="0" wrapText="1"/>
    </xf>
    <xf borderId="2" fillId="2" fontId="4" numFmtId="0" xfId="0" applyAlignment="1" applyBorder="1" applyFont="1">
      <alignment horizontal="center" shrinkToFit="0" wrapText="1"/>
    </xf>
    <xf borderId="2" fillId="2" fontId="3" numFmtId="0" xfId="0" applyAlignment="1" applyBorder="1" applyFont="1">
      <alignment horizontal="center" shrinkToFit="0" wrapText="1"/>
    </xf>
    <xf borderId="3" fillId="3" fontId="5" numFmtId="0" xfId="0" applyAlignment="1" applyBorder="1" applyFill="1" applyFont="1">
      <alignment horizontal="center" shrinkToFit="0" wrapText="1"/>
    </xf>
    <xf borderId="2" fillId="2" fontId="4" numFmtId="10" xfId="0" applyAlignment="1" applyBorder="1" applyFont="1" applyNumberFormat="1">
      <alignment horizontal="center" shrinkToFit="0" wrapText="1"/>
    </xf>
    <xf borderId="3" fillId="3" fontId="6" numFmtId="164" xfId="0" applyAlignment="1" applyBorder="1" applyFont="1" applyNumberFormat="1">
      <alignment horizontal="center" shrinkToFit="0" wrapText="1"/>
    </xf>
    <xf borderId="2" fillId="2" fontId="4" numFmtId="164" xfId="0" applyAlignment="1" applyBorder="1" applyFont="1" applyNumberFormat="1">
      <alignment horizontal="center" shrinkToFit="0" wrapText="1"/>
    </xf>
    <xf borderId="2" fillId="2" fontId="7" numFmtId="10" xfId="0" applyAlignment="1" applyBorder="1" applyFont="1" applyNumberFormat="1">
      <alignment horizontal="center" shrinkToFit="0" wrapText="1"/>
    </xf>
    <xf borderId="4" fillId="3" fontId="3" numFmtId="0" xfId="0" applyAlignment="1" applyBorder="1" applyFont="1">
      <alignment horizontal="center" shrinkToFit="0" wrapText="1"/>
    </xf>
    <xf borderId="3" fillId="3" fontId="4" numFmtId="0" xfId="0" applyAlignment="1" applyBorder="1" applyFont="1">
      <alignment horizontal="center" shrinkToFit="0" wrapText="1"/>
    </xf>
    <xf borderId="3" fillId="3" fontId="4" numFmtId="10" xfId="0" applyAlignment="1" applyBorder="1" applyFont="1" applyNumberFormat="1">
      <alignment horizontal="center" shrinkToFit="0" wrapText="1"/>
    </xf>
    <xf borderId="3" fillId="3" fontId="4" numFmtId="164" xfId="0" applyAlignment="1" applyBorder="1" applyFont="1" applyNumberFormat="1">
      <alignment horizontal="center" shrinkToFit="0" wrapText="1"/>
    </xf>
    <xf borderId="3" fillId="3" fontId="2" numFmtId="164" xfId="0" applyBorder="1" applyFont="1" applyNumberFormat="1"/>
    <xf borderId="3" fillId="3" fontId="7" numFmtId="10" xfId="0" applyAlignment="1" applyBorder="1" applyFont="1" applyNumberFormat="1">
      <alignment horizontal="center" shrinkToFit="0" wrapText="1"/>
    </xf>
    <xf borderId="3" fillId="3" fontId="3" numFmtId="0" xfId="0" applyAlignment="1" applyBorder="1" applyFont="1">
      <alignment horizontal="center" shrinkToFit="0" wrapText="1"/>
    </xf>
    <xf borderId="3" fillId="3" fontId="4" numFmtId="165" xfId="0" applyAlignment="1" applyBorder="1" applyFont="1" applyNumberFormat="1">
      <alignment horizontal="center" shrinkToFit="0" wrapText="0"/>
    </xf>
    <xf borderId="3" fillId="3" fontId="6" numFmtId="0" xfId="0" applyAlignment="1" applyBorder="1" applyFont="1">
      <alignment horizontal="center" shrinkToFit="0" wrapText="1"/>
    </xf>
    <xf borderId="3" fillId="3" fontId="3" numFmtId="164" xfId="0" applyAlignment="1" applyBorder="1" applyFont="1" applyNumberFormat="1">
      <alignment horizontal="center" shrinkToFit="0" wrapText="0"/>
    </xf>
    <xf borderId="3" fillId="3" fontId="6" numFmtId="10" xfId="0" applyAlignment="1" applyBorder="1" applyFont="1" applyNumberFormat="1">
      <alignment horizontal="center" shrinkToFit="0" wrapText="1"/>
    </xf>
    <xf borderId="3" fillId="3" fontId="2" numFmtId="0" xfId="0" applyBorder="1" applyFont="1"/>
    <xf borderId="2" fillId="2" fontId="4" numFmtId="9" xfId="0" applyAlignment="1" applyBorder="1" applyFont="1" applyNumberFormat="1">
      <alignment horizontal="center" shrinkToFit="0" wrapText="1"/>
    </xf>
    <xf borderId="2" fillId="2" fontId="2" numFmtId="164" xfId="0" applyBorder="1" applyFont="1" applyNumberFormat="1"/>
    <xf borderId="2" fillId="2" fontId="7" numFmtId="9" xfId="0" applyAlignment="1" applyBorder="1" applyFont="1" applyNumberFormat="1">
      <alignment horizontal="center" shrinkToFit="0" wrapText="1"/>
    </xf>
    <xf borderId="3" fillId="3" fontId="4" numFmtId="9" xfId="0" applyAlignment="1" applyBorder="1" applyFont="1" applyNumberFormat="1">
      <alignment horizontal="center" shrinkToFit="0" wrapText="1"/>
    </xf>
    <xf borderId="2" fillId="2" fontId="4" numFmtId="10" xfId="0" applyAlignment="1" applyBorder="1" applyFont="1" applyNumberFormat="1">
      <alignment horizontal="center" shrinkToFit="0" wrapText="0"/>
    </xf>
    <xf borderId="2" fillId="2" fontId="4" numFmtId="164" xfId="0" applyAlignment="1" applyBorder="1" applyFont="1" applyNumberFormat="1">
      <alignment horizontal="center" shrinkToFit="0" wrapText="0"/>
    </xf>
    <xf borderId="2" fillId="2" fontId="7" numFmtId="10" xfId="0" applyAlignment="1" applyBorder="1" applyFont="1" applyNumberFormat="1">
      <alignment horizontal="center" shrinkToFit="0" wrapText="0"/>
    </xf>
    <xf borderId="3" fillId="3" fontId="4" numFmtId="165" xfId="0" applyAlignment="1" applyBorder="1" applyFont="1" applyNumberFormat="1">
      <alignment horizontal="center" shrinkToFit="0" wrapText="1"/>
    </xf>
    <xf borderId="2" fillId="2" fontId="4" numFmtId="166" xfId="0" applyAlignment="1" applyBorder="1" applyFont="1" applyNumberFormat="1">
      <alignment horizontal="center" shrinkToFit="0" wrapText="1"/>
    </xf>
    <xf borderId="5" fillId="3" fontId="4" numFmtId="0" xfId="0" applyAlignment="1" applyBorder="1" applyFont="1">
      <alignment horizontal="center" shrinkToFit="0" wrapText="1"/>
    </xf>
    <xf borderId="6" fillId="3" fontId="3" numFmtId="0" xfId="0" applyAlignment="1" applyBorder="1" applyFont="1">
      <alignment horizontal="center" shrinkToFit="0" wrapText="1"/>
    </xf>
    <xf borderId="7" fillId="2" fontId="3" numFmtId="0" xfId="0" applyAlignment="1" applyBorder="1" applyFont="1">
      <alignment horizontal="center" shrinkToFit="0" wrapText="1"/>
    </xf>
    <xf borderId="8" fillId="2" fontId="4" numFmtId="0" xfId="0" applyAlignment="1" applyBorder="1" applyFont="1">
      <alignment horizontal="center" shrinkToFit="0" wrapText="1"/>
    </xf>
    <xf borderId="8" fillId="2" fontId="4" numFmtId="10" xfId="0" applyAlignment="1" applyBorder="1" applyFont="1" applyNumberFormat="1">
      <alignment horizontal="center" shrinkToFit="0" wrapText="0"/>
    </xf>
    <xf borderId="8" fillId="2" fontId="4" numFmtId="164" xfId="0" applyAlignment="1" applyBorder="1" applyFont="1" applyNumberFormat="1">
      <alignment horizontal="center" shrinkToFit="0" wrapText="1"/>
    </xf>
    <xf borderId="9" fillId="2" fontId="4" numFmtId="164" xfId="0" applyAlignment="1" applyBorder="1" applyFont="1" applyNumberFormat="1">
      <alignment horizontal="center" shrinkToFit="0" wrapText="0"/>
    </xf>
    <xf borderId="10" fillId="2" fontId="7" numFmtId="10" xfId="0" applyAlignment="1" applyBorder="1" applyFont="1" applyNumberFormat="1">
      <alignment horizontal="center" shrinkToFit="0" wrapText="0"/>
    </xf>
    <xf borderId="0" fillId="0" fontId="1" numFmtId="0" xfId="0" applyAlignment="1" applyFont="1">
      <alignment readingOrder="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1" numFmtId="164" xfId="0" applyAlignment="1" applyFont="1" applyNumberFormat="1">
      <alignment shrinkToFit="0" vertical="center" wrapText="0"/>
    </xf>
    <xf borderId="0" fillId="0" fontId="1" numFmtId="10" xfId="0" applyAlignment="1" applyFont="1" applyNumberForma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2" numFmtId="10" xfId="0" applyAlignment="1" applyFont="1" applyNumberFormat="1">
      <alignment vertical="bottom"/>
    </xf>
    <xf borderId="0" fillId="0" fontId="2" numFmtId="10" xfId="0" applyAlignment="1" applyFont="1" applyNumberFormat="1">
      <alignment horizontal="right" vertical="bottom"/>
    </xf>
    <xf borderId="0" fillId="0" fontId="2" numFmtId="164" xfId="0" applyAlignment="1" applyFont="1" applyNumberFormat="1">
      <alignment vertical="bottom"/>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rgb="FFCCD9D4"/>
          <bgColor rgb="FFCCD9D4"/>
        </patternFill>
      </fill>
      <border/>
    </dxf>
  </dxfs>
  <tableStyles count="4">
    <tableStyle count="4" pivot="0" name="Successful States-style">
      <tableStyleElement dxfId="1" type="headerRow"/>
      <tableStyleElement dxfId="2" type="firstRowStripe"/>
      <tableStyleElement dxfId="3" type="secondRowStripe"/>
      <tableStyleElement dxfId="4" size="0" type="wholeTable"/>
    </tableStyle>
    <tableStyle count="2" pivot="0" name="Successful States-style 2">
      <tableStyleElement dxfId="2" type="firstRowStripe"/>
      <tableStyleElement dxfId="3" type="secondRowStripe"/>
    </tableStyle>
    <tableStyle count="2" pivot="0" name="Successful States-style 3">
      <tableStyleElement dxfId="3" type="firstRowStripe"/>
      <tableStyleElement dxfId="2" type="secondRowStripe"/>
    </tableStyle>
    <tableStyle count="5" pivot="0" name="Oklahoma-style">
      <tableStyleElement dxfId="1" type="headerRow"/>
      <tableStyleElement dxfId="2" type="firstRowStripe"/>
      <tableStyleElement dxfId="5" type="secondRowStripe"/>
      <tableStyleElement dxfId="6" type="totalRow"/>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1" displayName="Successful_States_Table" name="Successful_States_Table"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ccessful Stat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I6" displayName="Table_1" name="Table_1"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ccessful States-style 2" showColumnStripes="0" showFirstColumn="1" showLastColumn="1" showRowStripes="1"/>
</table>
</file>

<file path=xl/tables/table3.xml><?xml version="1.0" encoding="utf-8"?>
<table xmlns="http://schemas.openxmlformats.org/spreadsheetml/2006/main" headerRowCount="0" ref="A8:I18" displayName="Table_2" name="Table_2"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uccessful States-style 3" showColumnStripes="0" showFirstColumn="1" showLastColumn="1" showRowStripes="1"/>
</table>
</file>

<file path=xl/tables/table4.xml><?xml version="1.0" encoding="utf-8"?>
<table xmlns="http://schemas.openxmlformats.org/spreadsheetml/2006/main" totalsRowCount="1" ref="A1:G313" displayName="Table1" name="Table1" id="4">
  <tableColumns count="7">
    <tableColumn totalsRowFunction="custom" name="Total Spending" id="1"/>
    <tableColumn totalsRowFunction="custom" name="DBE Spending" id="2"/>
    <tableColumn name="Goal" id="3"/>
    <tableColumn name="Attainment" id="4"/>
    <tableColumn name="Proportion" id="5"/>
    <tableColumn totalsRowFunction="custom" name="Goal (weighted)" id="6"/>
    <tableColumn totalsRowFunction="custom" name="Attainment (weighted)" id="7"/>
  </tableColumns>
  <tableStyleInfo name="Oklahom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82.13"/>
    <col customWidth="1" min="3" max="32" width="45.63"/>
  </cols>
  <sheetData>
    <row r="1" ht="22.5" customHeight="1">
      <c r="A1" s="1" t="s">
        <v>0</v>
      </c>
      <c r="B1" s="1" t="s">
        <v>1</v>
      </c>
      <c r="C1" s="1" t="s">
        <v>2</v>
      </c>
      <c r="D1" s="1" t="s">
        <v>3</v>
      </c>
      <c r="E1" s="2" t="s">
        <v>4</v>
      </c>
      <c r="F1" s="3" t="s">
        <v>5</v>
      </c>
      <c r="G1" s="2" t="s">
        <v>6</v>
      </c>
      <c r="H1" s="3" t="s">
        <v>7</v>
      </c>
      <c r="I1" s="4" t="s">
        <v>8</v>
      </c>
      <c r="J1" s="5"/>
      <c r="K1" s="5"/>
      <c r="L1" s="5"/>
      <c r="M1" s="5"/>
      <c r="N1" s="5"/>
      <c r="O1" s="5"/>
      <c r="P1" s="5"/>
      <c r="Q1" s="5"/>
      <c r="R1" s="5"/>
      <c r="S1" s="5"/>
      <c r="T1" s="5"/>
      <c r="U1" s="5"/>
      <c r="V1" s="5"/>
      <c r="W1" s="5"/>
      <c r="X1" s="5"/>
      <c r="Y1" s="5"/>
      <c r="Z1" s="5"/>
      <c r="AA1" s="5"/>
      <c r="AB1" s="5"/>
      <c r="AC1" s="5"/>
      <c r="AD1" s="5"/>
      <c r="AE1" s="5"/>
      <c r="AF1" s="5"/>
    </row>
    <row r="2">
      <c r="A2" s="6" t="s">
        <v>9</v>
      </c>
      <c r="B2" s="7" t="s">
        <v>10</v>
      </c>
      <c r="C2" s="8" t="s">
        <v>11</v>
      </c>
      <c r="D2" s="9" t="s">
        <v>12</v>
      </c>
      <c r="E2" s="10">
        <v>0.0805</v>
      </c>
      <c r="F2" s="11" t="s">
        <v>13</v>
      </c>
      <c r="G2" s="10">
        <v>0.1876</v>
      </c>
      <c r="H2" s="12">
        <v>9.037115618E7</v>
      </c>
      <c r="I2" s="13">
        <f t="shared" ref="I2:I5" si="1">G2/E2</f>
        <v>2.330434783</v>
      </c>
    </row>
    <row r="3">
      <c r="A3" s="14" t="s">
        <v>14</v>
      </c>
      <c r="B3" s="15" t="s">
        <v>15</v>
      </c>
      <c r="C3" s="15" t="s">
        <v>16</v>
      </c>
      <c r="D3" s="15" t="s">
        <v>17</v>
      </c>
      <c r="E3" s="16">
        <v>0.123</v>
      </c>
      <c r="F3" s="17" t="s">
        <v>18</v>
      </c>
      <c r="G3" s="16">
        <v>0.2256</v>
      </c>
      <c r="H3" s="18"/>
      <c r="I3" s="19">
        <f t="shared" si="1"/>
        <v>1.834146341</v>
      </c>
    </row>
    <row r="4">
      <c r="A4" s="6" t="s">
        <v>19</v>
      </c>
      <c r="B4" s="15" t="s">
        <v>20</v>
      </c>
      <c r="C4" s="15" t="s">
        <v>21</v>
      </c>
      <c r="D4" s="15" t="s">
        <v>22</v>
      </c>
      <c r="E4" s="16">
        <v>0.06078</v>
      </c>
      <c r="F4" s="17" t="s">
        <v>18</v>
      </c>
      <c r="G4" s="16">
        <v>0.10369</v>
      </c>
      <c r="H4" s="17">
        <v>1.24464346E8</v>
      </c>
      <c r="I4" s="19">
        <f t="shared" si="1"/>
        <v>1.705988812</v>
      </c>
    </row>
    <row r="5">
      <c r="A5" s="14" t="s">
        <v>23</v>
      </c>
      <c r="B5" s="20" t="s">
        <v>24</v>
      </c>
      <c r="C5" s="15" t="s">
        <v>25</v>
      </c>
      <c r="D5" s="15" t="s">
        <v>26</v>
      </c>
      <c r="E5" s="16">
        <v>0.0961</v>
      </c>
      <c r="F5" s="17" t="s">
        <v>13</v>
      </c>
      <c r="G5" s="16">
        <v>0.142</v>
      </c>
      <c r="H5" s="21">
        <v>7.66E8</v>
      </c>
      <c r="I5" s="19">
        <f t="shared" si="1"/>
        <v>1.477627471</v>
      </c>
    </row>
    <row r="6">
      <c r="A6" s="6" t="s">
        <v>27</v>
      </c>
      <c r="B6" s="9" t="s">
        <v>28</v>
      </c>
      <c r="C6" s="9" t="s">
        <v>29</v>
      </c>
      <c r="D6" s="9" t="s">
        <v>30</v>
      </c>
      <c r="E6" s="10">
        <v>0.15</v>
      </c>
      <c r="F6" s="22" t="s">
        <v>18</v>
      </c>
      <c r="G6" s="10">
        <v>0.215</v>
      </c>
      <c r="H6" s="23">
        <v>2.988E8</v>
      </c>
      <c r="I6" s="13">
        <v>1.4333</v>
      </c>
    </row>
    <row r="7">
      <c r="A7" s="14" t="s">
        <v>31</v>
      </c>
      <c r="B7" s="15" t="s">
        <v>32</v>
      </c>
      <c r="C7" s="15" t="s">
        <v>33</v>
      </c>
      <c r="D7" s="15" t="s">
        <v>34</v>
      </c>
      <c r="E7" s="24">
        <v>0.0466</v>
      </c>
      <c r="F7" s="22" t="s">
        <v>18</v>
      </c>
      <c r="G7" s="16">
        <v>0.0641</v>
      </c>
      <c r="H7" s="25"/>
      <c r="I7" s="19">
        <f t="shared" ref="I7:I11" si="2">G7/E7</f>
        <v>1.375536481</v>
      </c>
    </row>
    <row r="8">
      <c r="A8" s="6" t="s">
        <v>35</v>
      </c>
      <c r="B8" s="7" t="s">
        <v>36</v>
      </c>
      <c r="C8" s="7" t="s">
        <v>37</v>
      </c>
      <c r="D8" s="7" t="s">
        <v>38</v>
      </c>
      <c r="E8" s="10">
        <v>0.054</v>
      </c>
      <c r="F8" s="12" t="s">
        <v>39</v>
      </c>
      <c r="G8" s="26">
        <v>0.07</v>
      </c>
      <c r="H8" s="27"/>
      <c r="I8" s="13">
        <f t="shared" si="2"/>
        <v>1.296296296</v>
      </c>
    </row>
    <row r="9">
      <c r="A9" s="14" t="s">
        <v>40</v>
      </c>
      <c r="B9" s="15" t="s">
        <v>41</v>
      </c>
      <c r="C9" s="15" t="s">
        <v>42</v>
      </c>
      <c r="D9" s="15" t="s">
        <v>43</v>
      </c>
      <c r="E9" s="16">
        <v>0.065</v>
      </c>
      <c r="F9" s="17" t="s">
        <v>18</v>
      </c>
      <c r="G9" s="16">
        <v>0.081</v>
      </c>
      <c r="H9" s="18"/>
      <c r="I9" s="19">
        <f t="shared" si="2"/>
        <v>1.246153846</v>
      </c>
    </row>
    <row r="10">
      <c r="A10" s="6" t="s">
        <v>44</v>
      </c>
      <c r="B10" s="7" t="s">
        <v>45</v>
      </c>
      <c r="C10" s="7" t="s">
        <v>46</v>
      </c>
      <c r="D10" s="7" t="s">
        <v>47</v>
      </c>
      <c r="E10" s="10">
        <v>0.107</v>
      </c>
      <c r="F10" s="12" t="s">
        <v>18</v>
      </c>
      <c r="G10" s="10">
        <v>0.133</v>
      </c>
      <c r="H10" s="12">
        <v>3.15029145E8</v>
      </c>
      <c r="I10" s="28">
        <f t="shared" si="2"/>
        <v>1.242990654</v>
      </c>
    </row>
    <row r="11">
      <c r="A11" s="14" t="s">
        <v>48</v>
      </c>
      <c r="B11" s="15" t="s">
        <v>49</v>
      </c>
      <c r="C11" s="15" t="s">
        <v>50</v>
      </c>
      <c r="D11" s="15" t="s">
        <v>22</v>
      </c>
      <c r="E11" s="29">
        <v>0.05</v>
      </c>
      <c r="F11" s="17" t="s">
        <v>13</v>
      </c>
      <c r="G11" s="16">
        <v>0.061</v>
      </c>
      <c r="H11" s="17">
        <v>2.05387642E8</v>
      </c>
      <c r="I11" s="19">
        <f t="shared" si="2"/>
        <v>1.22</v>
      </c>
    </row>
    <row r="12">
      <c r="A12" s="6" t="s">
        <v>51</v>
      </c>
      <c r="B12" s="7" t="s">
        <v>52</v>
      </c>
      <c r="C12" s="7" t="s">
        <v>53</v>
      </c>
      <c r="D12" s="7" t="s">
        <v>22</v>
      </c>
      <c r="E12" s="30">
        <v>0.0509</v>
      </c>
      <c r="F12" s="12" t="s">
        <v>13</v>
      </c>
      <c r="G12" s="30">
        <v>0.063</v>
      </c>
      <c r="H12" s="31">
        <v>8.74740692E8</v>
      </c>
      <c r="I12" s="32">
        <v>1.189</v>
      </c>
    </row>
    <row r="13">
      <c r="A13" s="14" t="s">
        <v>54</v>
      </c>
      <c r="B13" s="15" t="s">
        <v>55</v>
      </c>
      <c r="C13" s="15" t="s">
        <v>56</v>
      </c>
      <c r="D13" s="15" t="s">
        <v>57</v>
      </c>
      <c r="E13" s="16">
        <v>0.1065</v>
      </c>
      <c r="F13" s="17" t="s">
        <v>18</v>
      </c>
      <c r="G13" s="16">
        <v>0.1266</v>
      </c>
      <c r="H13" s="18"/>
      <c r="I13" s="19">
        <f>G13/E13</f>
        <v>1.188732394</v>
      </c>
    </row>
    <row r="14">
      <c r="A14" s="6" t="s">
        <v>58</v>
      </c>
      <c r="B14" s="7" t="s">
        <v>59</v>
      </c>
      <c r="C14" s="7" t="s">
        <v>60</v>
      </c>
      <c r="D14" s="7" t="s">
        <v>38</v>
      </c>
      <c r="E14" s="10">
        <v>0.2604</v>
      </c>
      <c r="F14" s="12" t="s">
        <v>39</v>
      </c>
      <c r="G14" s="10">
        <v>0.296</v>
      </c>
      <c r="H14" s="12">
        <v>1.87E7</v>
      </c>
      <c r="I14" s="13">
        <v>1.1367</v>
      </c>
    </row>
    <row r="15">
      <c r="A15" s="14" t="s">
        <v>61</v>
      </c>
      <c r="B15" s="15" t="s">
        <v>62</v>
      </c>
      <c r="C15" s="15" t="s">
        <v>63</v>
      </c>
      <c r="D15" s="15" t="s">
        <v>22</v>
      </c>
      <c r="E15" s="16">
        <v>0.3</v>
      </c>
      <c r="F15" s="17" t="s">
        <v>13</v>
      </c>
      <c r="G15" s="16">
        <v>0.3221</v>
      </c>
      <c r="H15" s="33">
        <v>2.822296207E9</v>
      </c>
      <c r="I15" s="19">
        <f t="shared" ref="I15:I17" si="3">G15/E15</f>
        <v>1.073666667</v>
      </c>
    </row>
    <row r="16">
      <c r="A16" s="6" t="s">
        <v>64</v>
      </c>
      <c r="B16" s="7" t="s">
        <v>65</v>
      </c>
      <c r="C16" s="7" t="s">
        <v>66</v>
      </c>
      <c r="D16" s="7" t="s">
        <v>26</v>
      </c>
      <c r="E16" s="34">
        <v>0.111</v>
      </c>
      <c r="F16" s="12" t="s">
        <v>13</v>
      </c>
      <c r="G16" s="10">
        <v>0.1171</v>
      </c>
      <c r="H16" s="12">
        <v>8.3234716E7</v>
      </c>
      <c r="I16" s="13">
        <f t="shared" si="3"/>
        <v>1.054954955</v>
      </c>
    </row>
    <row r="17">
      <c r="A17" s="14" t="s">
        <v>67</v>
      </c>
      <c r="B17" s="35" t="s">
        <v>68</v>
      </c>
      <c r="C17" s="36" t="s">
        <v>69</v>
      </c>
      <c r="D17" s="9" t="s">
        <v>70</v>
      </c>
      <c r="E17" s="16">
        <v>0.1101</v>
      </c>
      <c r="F17" s="17" t="s">
        <v>71</v>
      </c>
      <c r="G17" s="16">
        <v>0.112</v>
      </c>
      <c r="H17" s="17">
        <v>2.75090953E8</v>
      </c>
      <c r="I17" s="19">
        <f t="shared" si="3"/>
        <v>1.017257039</v>
      </c>
    </row>
    <row r="18">
      <c r="A18" s="37" t="s">
        <v>72</v>
      </c>
      <c r="B18" s="38" t="s">
        <v>52</v>
      </c>
      <c r="C18" s="38" t="s">
        <v>53</v>
      </c>
      <c r="D18" s="38" t="s">
        <v>22</v>
      </c>
      <c r="E18" s="39">
        <v>0.0509</v>
      </c>
      <c r="F18" s="40" t="s">
        <v>13</v>
      </c>
      <c r="G18" s="39">
        <v>0.063</v>
      </c>
      <c r="H18" s="41">
        <v>8.74740692E8</v>
      </c>
      <c r="I18" s="42">
        <v>1.189</v>
      </c>
    </row>
    <row r="20">
      <c r="A20" s="43" t="s">
        <v>73</v>
      </c>
    </row>
  </sheetData>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4" t="s">
        <v>74</v>
      </c>
      <c r="B1" s="44" t="s">
        <v>75</v>
      </c>
      <c r="C1" s="45" t="s">
        <v>76</v>
      </c>
      <c r="D1" s="45" t="s">
        <v>77</v>
      </c>
      <c r="E1" s="45" t="s">
        <v>78</v>
      </c>
      <c r="F1" s="45" t="s">
        <v>79</v>
      </c>
      <c r="G1" s="45" t="s">
        <v>80</v>
      </c>
      <c r="H1" s="46"/>
      <c r="I1" s="46"/>
      <c r="J1" s="46"/>
      <c r="K1" s="46"/>
      <c r="L1" s="46"/>
      <c r="M1" s="46"/>
      <c r="N1" s="46"/>
      <c r="O1" s="46"/>
      <c r="P1" s="46"/>
      <c r="Q1" s="46"/>
      <c r="R1" s="46"/>
      <c r="S1" s="46"/>
      <c r="T1" s="46"/>
      <c r="U1" s="46"/>
      <c r="V1" s="46"/>
      <c r="W1" s="46"/>
      <c r="X1" s="46"/>
      <c r="Y1" s="46"/>
      <c r="Z1" s="46"/>
    </row>
    <row r="2" ht="22.5" customHeight="1">
      <c r="A2" s="47">
        <v>866800.0</v>
      </c>
      <c r="B2" s="47">
        <v>15100.0</v>
      </c>
      <c r="C2" s="48">
        <v>0.02</v>
      </c>
      <c r="D2" s="48">
        <v>0.0174</v>
      </c>
      <c r="E2" s="49">
        <f t="shared" ref="E2:E312" si="1">A2/A$313</f>
        <v>0.001804204373</v>
      </c>
      <c r="F2" s="49">
        <f t="shared" ref="F2:F312" si="2">C2*E2</f>
        <v>0.00003608408746</v>
      </c>
      <c r="G2" s="49">
        <f t="shared" ref="G2:G312" si="3">D2*E2</f>
        <v>0.00003139315609</v>
      </c>
      <c r="H2" s="46"/>
      <c r="I2" s="46"/>
      <c r="J2" s="46"/>
      <c r="K2" s="46"/>
      <c r="L2" s="46"/>
      <c r="M2" s="46"/>
      <c r="N2" s="46"/>
      <c r="O2" s="46"/>
      <c r="P2" s="46"/>
      <c r="Q2" s="46"/>
      <c r="R2" s="46"/>
      <c r="S2" s="46"/>
      <c r="T2" s="46"/>
      <c r="U2" s="46"/>
      <c r="V2" s="46"/>
      <c r="W2" s="46"/>
      <c r="X2" s="46"/>
      <c r="Y2" s="46"/>
      <c r="Z2" s="46"/>
    </row>
    <row r="3" ht="22.5" customHeight="1">
      <c r="A3" s="47">
        <v>1080115.0</v>
      </c>
      <c r="B3" s="47">
        <v>345600.0</v>
      </c>
      <c r="C3" s="48">
        <v>0.08</v>
      </c>
      <c r="D3" s="48">
        <v>0.32</v>
      </c>
      <c r="E3" s="49">
        <f t="shared" si="1"/>
        <v>0.002248209744</v>
      </c>
      <c r="F3" s="49">
        <f t="shared" si="2"/>
        <v>0.0001798567796</v>
      </c>
      <c r="G3" s="49">
        <f t="shared" si="3"/>
        <v>0.0007194271182</v>
      </c>
      <c r="H3" s="46"/>
      <c r="I3" s="46"/>
      <c r="J3" s="46"/>
      <c r="K3" s="46"/>
      <c r="L3" s="46"/>
      <c r="M3" s="46"/>
      <c r="N3" s="46"/>
      <c r="O3" s="46"/>
      <c r="P3" s="46"/>
      <c r="Q3" s="46"/>
      <c r="R3" s="46"/>
      <c r="S3" s="46"/>
      <c r="T3" s="46"/>
      <c r="U3" s="46"/>
      <c r="V3" s="46"/>
      <c r="W3" s="46"/>
      <c r="X3" s="46"/>
      <c r="Y3" s="46"/>
      <c r="Z3" s="46"/>
    </row>
    <row r="4" ht="22.5" customHeight="1">
      <c r="A4" s="47">
        <v>980250.0</v>
      </c>
      <c r="B4" s="47">
        <v>286500.0</v>
      </c>
      <c r="C4" s="48">
        <v>0.08</v>
      </c>
      <c r="D4" s="48">
        <v>0.2923</v>
      </c>
      <c r="E4" s="49">
        <f t="shared" si="1"/>
        <v>0.002040345335</v>
      </c>
      <c r="F4" s="49">
        <f t="shared" si="2"/>
        <v>0.0001632276268</v>
      </c>
      <c r="G4" s="49">
        <f t="shared" si="3"/>
        <v>0.0005963929416</v>
      </c>
      <c r="H4" s="46"/>
      <c r="I4" s="46"/>
      <c r="J4" s="46"/>
      <c r="K4" s="46"/>
      <c r="L4" s="46"/>
      <c r="M4" s="46"/>
      <c r="N4" s="46"/>
      <c r="O4" s="46"/>
      <c r="P4" s="46"/>
      <c r="Q4" s="46"/>
      <c r="R4" s="46"/>
      <c r="S4" s="46"/>
      <c r="T4" s="46"/>
      <c r="U4" s="46"/>
      <c r="V4" s="46"/>
      <c r="W4" s="46"/>
      <c r="X4" s="46"/>
      <c r="Y4" s="46"/>
      <c r="Z4" s="46"/>
    </row>
    <row r="5" ht="22.5" customHeight="1">
      <c r="A5" s="47">
        <v>1209370.0</v>
      </c>
      <c r="B5" s="47">
        <v>18738.0</v>
      </c>
      <c r="C5" s="48">
        <v>0.015</v>
      </c>
      <c r="D5" s="48">
        <v>0.0155</v>
      </c>
      <c r="E5" s="49">
        <f t="shared" si="1"/>
        <v>0.002517248088</v>
      </c>
      <c r="F5" s="49">
        <f t="shared" si="2"/>
        <v>0.00003775872132</v>
      </c>
      <c r="G5" s="49">
        <f t="shared" si="3"/>
        <v>0.00003901734537</v>
      </c>
      <c r="H5" s="46"/>
      <c r="I5" s="46"/>
      <c r="J5" s="46"/>
      <c r="K5" s="46"/>
      <c r="L5" s="46"/>
      <c r="M5" s="46"/>
      <c r="N5" s="46"/>
      <c r="O5" s="46"/>
      <c r="P5" s="46"/>
      <c r="Q5" s="46"/>
      <c r="R5" s="46"/>
      <c r="S5" s="46"/>
      <c r="T5" s="46"/>
      <c r="U5" s="46"/>
      <c r="V5" s="46"/>
      <c r="W5" s="46"/>
      <c r="X5" s="46"/>
      <c r="Y5" s="46"/>
      <c r="Z5" s="46"/>
    </row>
    <row r="6" ht="22.5" customHeight="1">
      <c r="A6" s="47">
        <v>1672515.0</v>
      </c>
      <c r="B6" s="47">
        <v>292190.0</v>
      </c>
      <c r="C6" s="48">
        <v>0.03</v>
      </c>
      <c r="D6" s="48">
        <v>0.1747</v>
      </c>
      <c r="E6" s="49">
        <f t="shared" si="1"/>
        <v>0.003481263126</v>
      </c>
      <c r="F6" s="49">
        <f t="shared" si="2"/>
        <v>0.0001044378938</v>
      </c>
      <c r="G6" s="49">
        <f t="shared" si="3"/>
        <v>0.000608176668</v>
      </c>
      <c r="H6" s="46"/>
      <c r="I6" s="46"/>
      <c r="J6" s="46"/>
      <c r="K6" s="46"/>
      <c r="L6" s="46"/>
      <c r="M6" s="46"/>
      <c r="N6" s="46"/>
      <c r="O6" s="46"/>
      <c r="P6" s="46"/>
      <c r="Q6" s="46"/>
      <c r="R6" s="46"/>
      <c r="S6" s="46"/>
      <c r="T6" s="46"/>
      <c r="U6" s="46"/>
      <c r="V6" s="46"/>
      <c r="W6" s="46"/>
      <c r="X6" s="46"/>
      <c r="Y6" s="46"/>
      <c r="Z6" s="46"/>
    </row>
    <row r="7" ht="22.5" customHeight="1">
      <c r="A7" s="47">
        <v>2730217.51</v>
      </c>
      <c r="B7" s="47">
        <v>67985.04</v>
      </c>
      <c r="C7" s="48">
        <v>0.06</v>
      </c>
      <c r="D7" s="48">
        <v>0.0249</v>
      </c>
      <c r="E7" s="49">
        <f t="shared" si="1"/>
        <v>0.005682822302</v>
      </c>
      <c r="F7" s="49">
        <f t="shared" si="2"/>
        <v>0.0003409693381</v>
      </c>
      <c r="G7" s="49">
        <f t="shared" si="3"/>
        <v>0.0001415022753</v>
      </c>
      <c r="H7" s="46"/>
      <c r="I7" s="46"/>
      <c r="J7" s="46"/>
      <c r="K7" s="46"/>
      <c r="L7" s="46"/>
      <c r="M7" s="46"/>
      <c r="N7" s="46"/>
      <c r="O7" s="46"/>
      <c r="P7" s="46"/>
      <c r="Q7" s="46"/>
      <c r="R7" s="46"/>
      <c r="S7" s="46"/>
      <c r="T7" s="46"/>
      <c r="U7" s="46"/>
      <c r="V7" s="46"/>
      <c r="W7" s="46"/>
      <c r="X7" s="46"/>
      <c r="Y7" s="46"/>
      <c r="Z7" s="46"/>
    </row>
    <row r="8" ht="22.5" customHeight="1">
      <c r="A8" s="47">
        <v>148981.6</v>
      </c>
      <c r="B8" s="47">
        <v>9000.0</v>
      </c>
      <c r="C8" s="48">
        <v>0.06</v>
      </c>
      <c r="D8" s="48">
        <v>0.0604</v>
      </c>
      <c r="E8" s="49">
        <f t="shared" si="1"/>
        <v>0.0003100983551</v>
      </c>
      <c r="F8" s="49">
        <f t="shared" si="2"/>
        <v>0.00001860590131</v>
      </c>
      <c r="G8" s="49">
        <f t="shared" si="3"/>
        <v>0.00001872994065</v>
      </c>
      <c r="H8" s="46"/>
      <c r="I8" s="46"/>
      <c r="J8" s="46"/>
      <c r="K8" s="46"/>
      <c r="L8" s="46"/>
      <c r="M8" s="46"/>
      <c r="N8" s="46"/>
      <c r="O8" s="46"/>
      <c r="P8" s="46"/>
      <c r="Q8" s="46"/>
      <c r="R8" s="46"/>
      <c r="S8" s="46"/>
      <c r="T8" s="46"/>
      <c r="U8" s="46"/>
      <c r="V8" s="46"/>
      <c r="W8" s="46"/>
      <c r="X8" s="46"/>
      <c r="Y8" s="46"/>
      <c r="Z8" s="46"/>
    </row>
    <row r="9" ht="22.5" customHeight="1">
      <c r="A9" s="47">
        <v>706188.45</v>
      </c>
      <c r="B9" s="47">
        <v>120202.0</v>
      </c>
      <c r="C9" s="48">
        <v>0.06</v>
      </c>
      <c r="D9" s="48">
        <v>0.1702</v>
      </c>
      <c r="E9" s="49">
        <f t="shared" si="1"/>
        <v>0.001469898811</v>
      </c>
      <c r="F9" s="49">
        <f t="shared" si="2"/>
        <v>0.00008819392869</v>
      </c>
      <c r="G9" s="49">
        <f t="shared" si="3"/>
        <v>0.0002501767777</v>
      </c>
      <c r="H9" s="46"/>
      <c r="I9" s="46"/>
      <c r="J9" s="46"/>
      <c r="K9" s="46"/>
      <c r="L9" s="46"/>
      <c r="M9" s="46"/>
      <c r="N9" s="46"/>
      <c r="O9" s="46"/>
      <c r="P9" s="46"/>
      <c r="Q9" s="46"/>
      <c r="R9" s="46"/>
      <c r="S9" s="46"/>
      <c r="T9" s="46"/>
      <c r="U9" s="46"/>
      <c r="V9" s="46"/>
      <c r="W9" s="46"/>
      <c r="X9" s="46"/>
      <c r="Y9" s="46"/>
      <c r="Z9" s="46"/>
    </row>
    <row r="10" ht="22.5" customHeight="1">
      <c r="A10" s="47">
        <v>2257328.6</v>
      </c>
      <c r="B10" s="47">
        <v>165865.02</v>
      </c>
      <c r="C10" s="48">
        <v>0.06</v>
      </c>
      <c r="D10" s="48">
        <v>0.0735</v>
      </c>
      <c r="E10" s="49">
        <f t="shared" si="1"/>
        <v>0.004698525764</v>
      </c>
      <c r="F10" s="49">
        <f t="shared" si="2"/>
        <v>0.0002819115458</v>
      </c>
      <c r="G10" s="49">
        <f t="shared" si="3"/>
        <v>0.0003453416436</v>
      </c>
      <c r="H10" s="46"/>
      <c r="I10" s="46"/>
      <c r="J10" s="46"/>
      <c r="K10" s="46"/>
      <c r="L10" s="46"/>
      <c r="M10" s="46"/>
      <c r="N10" s="46"/>
      <c r="O10" s="46"/>
      <c r="P10" s="46"/>
      <c r="Q10" s="46"/>
      <c r="R10" s="46"/>
      <c r="S10" s="46"/>
      <c r="T10" s="46"/>
      <c r="U10" s="46"/>
      <c r="V10" s="46"/>
      <c r="W10" s="46"/>
      <c r="X10" s="46"/>
      <c r="Y10" s="46"/>
      <c r="Z10" s="46"/>
    </row>
    <row r="11" ht="22.5" customHeight="1">
      <c r="A11" s="47">
        <v>630896.73</v>
      </c>
      <c r="B11" s="47">
        <v>59877.08</v>
      </c>
      <c r="C11" s="48">
        <v>0.06</v>
      </c>
      <c r="D11" s="48">
        <v>0.0949</v>
      </c>
      <c r="E11" s="49">
        <f t="shared" si="1"/>
        <v>0.001313182556</v>
      </c>
      <c r="F11" s="49">
        <f t="shared" si="2"/>
        <v>0.00007879095334</v>
      </c>
      <c r="G11" s="49">
        <f t="shared" si="3"/>
        <v>0.0001246210245</v>
      </c>
      <c r="H11" s="46"/>
      <c r="I11" s="46"/>
      <c r="J11" s="46"/>
      <c r="K11" s="46"/>
      <c r="L11" s="46"/>
      <c r="M11" s="46"/>
      <c r="N11" s="46"/>
      <c r="O11" s="46"/>
      <c r="P11" s="46"/>
      <c r="Q11" s="46"/>
      <c r="R11" s="46"/>
      <c r="S11" s="46"/>
      <c r="T11" s="46"/>
      <c r="U11" s="46"/>
      <c r="V11" s="46"/>
      <c r="W11" s="46"/>
      <c r="X11" s="46"/>
      <c r="Y11" s="46"/>
      <c r="Z11" s="46"/>
    </row>
    <row r="12" ht="22.5" customHeight="1">
      <c r="A12" s="47">
        <v>1137800.0</v>
      </c>
      <c r="B12" s="47">
        <v>609100.0</v>
      </c>
      <c r="C12" s="48">
        <v>0.08</v>
      </c>
      <c r="D12" s="48">
        <v>0.5353</v>
      </c>
      <c r="E12" s="49">
        <f t="shared" si="1"/>
        <v>0.002368278422</v>
      </c>
      <c r="F12" s="49">
        <f t="shared" si="2"/>
        <v>0.0001894622737</v>
      </c>
      <c r="G12" s="49">
        <f t="shared" si="3"/>
        <v>0.001267739439</v>
      </c>
      <c r="H12" s="46"/>
      <c r="I12" s="46"/>
      <c r="J12" s="46"/>
      <c r="K12" s="46"/>
      <c r="L12" s="46"/>
      <c r="M12" s="46"/>
      <c r="N12" s="46"/>
      <c r="O12" s="46"/>
      <c r="P12" s="46"/>
      <c r="Q12" s="46"/>
      <c r="R12" s="46"/>
      <c r="S12" s="46"/>
      <c r="T12" s="46"/>
      <c r="U12" s="46"/>
      <c r="V12" s="46"/>
      <c r="W12" s="46"/>
      <c r="X12" s="46"/>
      <c r="Y12" s="46"/>
      <c r="Z12" s="46"/>
    </row>
    <row r="13" ht="22.5" customHeight="1">
      <c r="A13" s="47">
        <v>694624.0</v>
      </c>
      <c r="B13" s="47">
        <v>35511.0</v>
      </c>
      <c r="C13" s="48">
        <v>0.05</v>
      </c>
      <c r="D13" s="48">
        <v>0.0511</v>
      </c>
      <c r="E13" s="49">
        <f t="shared" si="1"/>
        <v>0.00144582794</v>
      </c>
      <c r="F13" s="49">
        <f t="shared" si="2"/>
        <v>0.00007229139701</v>
      </c>
      <c r="G13" s="49">
        <f t="shared" si="3"/>
        <v>0.00007388180774</v>
      </c>
      <c r="H13" s="46"/>
      <c r="I13" s="46"/>
      <c r="J13" s="46"/>
      <c r="K13" s="46"/>
      <c r="L13" s="46"/>
      <c r="M13" s="46"/>
      <c r="N13" s="46"/>
      <c r="O13" s="46"/>
      <c r="P13" s="46"/>
      <c r="Q13" s="46"/>
      <c r="R13" s="46"/>
      <c r="S13" s="46"/>
      <c r="T13" s="46"/>
      <c r="U13" s="46"/>
      <c r="V13" s="46"/>
      <c r="W13" s="46"/>
      <c r="X13" s="46"/>
      <c r="Y13" s="46"/>
      <c r="Z13" s="46"/>
    </row>
    <row r="14" ht="22.5" customHeight="1">
      <c r="A14" s="47">
        <v>3142959.0</v>
      </c>
      <c r="B14" s="47">
        <v>359131.0</v>
      </c>
      <c r="C14" s="48">
        <v>0.06</v>
      </c>
      <c r="D14" s="48">
        <v>0.1143</v>
      </c>
      <c r="E14" s="49">
        <f t="shared" si="1"/>
        <v>0.006541924749</v>
      </c>
      <c r="F14" s="49">
        <f t="shared" si="2"/>
        <v>0.0003925154849</v>
      </c>
      <c r="G14" s="49">
        <f t="shared" si="3"/>
        <v>0.0007477419988</v>
      </c>
      <c r="H14" s="46"/>
      <c r="I14" s="46"/>
      <c r="J14" s="46"/>
      <c r="K14" s="46"/>
      <c r="L14" s="46"/>
      <c r="M14" s="46"/>
      <c r="N14" s="46"/>
      <c r="O14" s="46"/>
      <c r="P14" s="46"/>
      <c r="Q14" s="46"/>
      <c r="R14" s="46"/>
      <c r="S14" s="46"/>
      <c r="T14" s="46"/>
      <c r="U14" s="46"/>
      <c r="V14" s="46"/>
      <c r="W14" s="46"/>
      <c r="X14" s="46"/>
      <c r="Y14" s="46"/>
      <c r="Z14" s="46"/>
    </row>
    <row r="15" ht="22.5" customHeight="1">
      <c r="A15" s="47">
        <v>401850.0</v>
      </c>
      <c r="B15" s="47">
        <v>26200.0</v>
      </c>
      <c r="C15" s="48">
        <v>0.05</v>
      </c>
      <c r="D15" s="48">
        <v>0.0652</v>
      </c>
      <c r="E15" s="49">
        <f t="shared" si="1"/>
        <v>0.0008364323112</v>
      </c>
      <c r="F15" s="49">
        <f t="shared" si="2"/>
        <v>0.00004182161556</v>
      </c>
      <c r="G15" s="49">
        <f t="shared" si="3"/>
        <v>0.00005453538669</v>
      </c>
      <c r="H15" s="46"/>
      <c r="I15" s="46"/>
      <c r="J15" s="46"/>
      <c r="K15" s="46"/>
      <c r="L15" s="46"/>
      <c r="M15" s="46"/>
      <c r="N15" s="46"/>
      <c r="O15" s="46"/>
      <c r="P15" s="46"/>
      <c r="Q15" s="46"/>
      <c r="R15" s="46"/>
      <c r="S15" s="46"/>
      <c r="T15" s="46"/>
      <c r="U15" s="46"/>
      <c r="V15" s="46"/>
      <c r="W15" s="46"/>
      <c r="X15" s="46"/>
      <c r="Y15" s="46"/>
      <c r="Z15" s="46"/>
    </row>
    <row r="16" ht="22.5" customHeight="1">
      <c r="A16" s="47">
        <v>500612.75</v>
      </c>
      <c r="B16" s="47">
        <v>102300.0</v>
      </c>
      <c r="C16" s="48">
        <v>0.07</v>
      </c>
      <c r="D16" s="48">
        <v>0.2043</v>
      </c>
      <c r="E16" s="49">
        <f t="shared" si="1"/>
        <v>0.001042002437</v>
      </c>
      <c r="F16" s="49">
        <f t="shared" si="2"/>
        <v>0.00007294017062</v>
      </c>
      <c r="G16" s="49">
        <f t="shared" si="3"/>
        <v>0.000212881098</v>
      </c>
      <c r="H16" s="46"/>
      <c r="I16" s="46"/>
      <c r="J16" s="46"/>
      <c r="K16" s="46"/>
      <c r="L16" s="46"/>
      <c r="M16" s="46"/>
      <c r="N16" s="46"/>
      <c r="O16" s="46"/>
      <c r="P16" s="46"/>
      <c r="Q16" s="46"/>
      <c r="R16" s="46"/>
      <c r="S16" s="46"/>
      <c r="T16" s="46"/>
      <c r="U16" s="46"/>
      <c r="V16" s="46"/>
      <c r="W16" s="46"/>
      <c r="X16" s="46"/>
      <c r="Y16" s="46"/>
      <c r="Z16" s="46"/>
    </row>
    <row r="17" ht="22.5" customHeight="1">
      <c r="A17" s="47">
        <v>510670.0</v>
      </c>
      <c r="B17" s="47">
        <v>61900.0</v>
      </c>
      <c r="C17" s="48">
        <v>0.07</v>
      </c>
      <c r="D17" s="48">
        <v>0.1212</v>
      </c>
      <c r="E17" s="49">
        <f t="shared" si="1"/>
        <v>0.001062936141</v>
      </c>
      <c r="F17" s="49">
        <f t="shared" si="2"/>
        <v>0.00007440552989</v>
      </c>
      <c r="G17" s="49">
        <f t="shared" si="3"/>
        <v>0.0001288278603</v>
      </c>
      <c r="H17" s="46"/>
      <c r="I17" s="46"/>
      <c r="J17" s="46"/>
      <c r="K17" s="46"/>
      <c r="L17" s="46"/>
      <c r="M17" s="46"/>
      <c r="N17" s="46"/>
      <c r="O17" s="46"/>
      <c r="P17" s="46"/>
      <c r="Q17" s="46"/>
      <c r="R17" s="46"/>
      <c r="S17" s="46"/>
      <c r="T17" s="46"/>
      <c r="U17" s="46"/>
      <c r="V17" s="46"/>
      <c r="W17" s="46"/>
      <c r="X17" s="46"/>
      <c r="Y17" s="46"/>
      <c r="Z17" s="46"/>
    </row>
    <row r="18" ht="22.5" customHeight="1">
      <c r="A18" s="47">
        <v>867500.0</v>
      </c>
      <c r="B18" s="47">
        <v>134000.0</v>
      </c>
      <c r="C18" s="48">
        <v>0.03</v>
      </c>
      <c r="D18" s="48">
        <v>0.1545</v>
      </c>
      <c r="E18" s="49">
        <f t="shared" si="1"/>
        <v>0.001805661391</v>
      </c>
      <c r="F18" s="49">
        <f t="shared" si="2"/>
        <v>0.00005416984173</v>
      </c>
      <c r="G18" s="49">
        <f t="shared" si="3"/>
        <v>0.0002789746849</v>
      </c>
      <c r="H18" s="46"/>
      <c r="I18" s="46"/>
      <c r="J18" s="46"/>
      <c r="K18" s="46"/>
      <c r="L18" s="46"/>
      <c r="M18" s="46"/>
      <c r="N18" s="46"/>
      <c r="O18" s="46"/>
      <c r="P18" s="46"/>
      <c r="Q18" s="46"/>
      <c r="R18" s="46"/>
      <c r="S18" s="46"/>
      <c r="T18" s="46"/>
      <c r="U18" s="46"/>
      <c r="V18" s="46"/>
      <c r="W18" s="46"/>
      <c r="X18" s="46"/>
      <c r="Y18" s="46"/>
      <c r="Z18" s="46"/>
    </row>
    <row r="19" ht="22.5" customHeight="1">
      <c r="A19" s="47">
        <v>305879.25</v>
      </c>
      <c r="B19" s="47">
        <v>13400.0</v>
      </c>
      <c r="C19" s="48">
        <v>0.015</v>
      </c>
      <c r="D19" s="48">
        <v>0.0438</v>
      </c>
      <c r="E19" s="49">
        <f t="shared" si="1"/>
        <v>0.0006366736047</v>
      </c>
      <c r="F19" s="49">
        <f t="shared" si="2"/>
        <v>0.00000955010407</v>
      </c>
      <c r="G19" s="49">
        <f t="shared" si="3"/>
        <v>0.00002788630388</v>
      </c>
      <c r="H19" s="46"/>
      <c r="I19" s="46"/>
      <c r="J19" s="46"/>
      <c r="K19" s="46"/>
      <c r="L19" s="46"/>
      <c r="M19" s="46"/>
      <c r="N19" s="46"/>
      <c r="O19" s="46"/>
      <c r="P19" s="46"/>
      <c r="Q19" s="46"/>
      <c r="R19" s="46"/>
      <c r="S19" s="46"/>
      <c r="T19" s="46"/>
      <c r="U19" s="46"/>
      <c r="V19" s="46"/>
      <c r="W19" s="46"/>
      <c r="X19" s="46"/>
      <c r="Y19" s="46"/>
      <c r="Z19" s="46"/>
    </row>
    <row r="20" ht="22.5" customHeight="1">
      <c r="A20" s="47">
        <v>3790063.0</v>
      </c>
      <c r="B20" s="47">
        <v>352050.0</v>
      </c>
      <c r="C20" s="48">
        <v>0.09</v>
      </c>
      <c r="D20" s="48">
        <v>0.0929</v>
      </c>
      <c r="E20" s="49">
        <f t="shared" si="1"/>
        <v>0.007888841993</v>
      </c>
      <c r="F20" s="49">
        <f t="shared" si="2"/>
        <v>0.0007099957793</v>
      </c>
      <c r="G20" s="49">
        <f t="shared" si="3"/>
        <v>0.0007328734211</v>
      </c>
      <c r="H20" s="46"/>
      <c r="I20" s="46"/>
      <c r="J20" s="46"/>
      <c r="K20" s="46"/>
      <c r="L20" s="46"/>
      <c r="M20" s="46"/>
      <c r="N20" s="46"/>
      <c r="O20" s="46"/>
      <c r="P20" s="46"/>
      <c r="Q20" s="46"/>
      <c r="R20" s="46"/>
      <c r="S20" s="46"/>
      <c r="T20" s="46"/>
      <c r="U20" s="46"/>
      <c r="V20" s="46"/>
      <c r="W20" s="46"/>
      <c r="X20" s="46"/>
      <c r="Y20" s="46"/>
      <c r="Z20" s="46"/>
    </row>
    <row r="21" ht="22.5" customHeight="1">
      <c r="A21" s="47">
        <v>6205668.35</v>
      </c>
      <c r="B21" s="47">
        <v>192097.51</v>
      </c>
      <c r="C21" s="48">
        <v>0.06</v>
      </c>
      <c r="D21" s="48">
        <v>0.031</v>
      </c>
      <c r="E21" s="49">
        <f t="shared" si="1"/>
        <v>0.01291681354</v>
      </c>
      <c r="F21" s="49">
        <f t="shared" si="2"/>
        <v>0.0007750088123</v>
      </c>
      <c r="G21" s="49">
        <f t="shared" si="3"/>
        <v>0.0004004212197</v>
      </c>
      <c r="H21" s="46"/>
      <c r="I21" s="46"/>
      <c r="J21" s="46"/>
      <c r="K21" s="46"/>
      <c r="L21" s="46"/>
      <c r="M21" s="46"/>
      <c r="N21" s="46"/>
      <c r="O21" s="46"/>
      <c r="P21" s="46"/>
      <c r="Q21" s="46"/>
      <c r="R21" s="46"/>
      <c r="S21" s="46"/>
      <c r="T21" s="46"/>
      <c r="U21" s="46"/>
      <c r="V21" s="46"/>
      <c r="W21" s="46"/>
      <c r="X21" s="46"/>
      <c r="Y21" s="46"/>
      <c r="Z21" s="46"/>
    </row>
    <row r="22" ht="22.5" customHeight="1">
      <c r="A22" s="47">
        <v>1.323410596E7</v>
      </c>
      <c r="B22" s="47">
        <v>434778.24</v>
      </c>
      <c r="C22" s="48">
        <v>0.06</v>
      </c>
      <c r="D22" s="48">
        <v>0.0329</v>
      </c>
      <c r="E22" s="49">
        <f t="shared" si="1"/>
        <v>0.02754618349</v>
      </c>
      <c r="F22" s="49">
        <f t="shared" si="2"/>
        <v>0.001652771009</v>
      </c>
      <c r="G22" s="49">
        <f t="shared" si="3"/>
        <v>0.0009062694368</v>
      </c>
      <c r="H22" s="46"/>
      <c r="I22" s="46"/>
      <c r="J22" s="46"/>
      <c r="K22" s="46"/>
      <c r="L22" s="46"/>
      <c r="M22" s="46"/>
      <c r="N22" s="46"/>
      <c r="O22" s="46"/>
      <c r="P22" s="46"/>
      <c r="Q22" s="46"/>
      <c r="R22" s="46"/>
      <c r="S22" s="46"/>
      <c r="T22" s="46"/>
      <c r="U22" s="46"/>
      <c r="V22" s="46"/>
      <c r="W22" s="46"/>
      <c r="X22" s="46"/>
      <c r="Y22" s="46"/>
      <c r="Z22" s="46"/>
    </row>
    <row r="23" ht="22.5" customHeight="1">
      <c r="A23" s="47">
        <v>3942721.83</v>
      </c>
      <c r="B23" s="47">
        <v>259871.52</v>
      </c>
      <c r="C23" s="48">
        <v>0.06</v>
      </c>
      <c r="D23" s="48">
        <v>0.0659</v>
      </c>
      <c r="E23" s="49">
        <f t="shared" si="1"/>
        <v>0.008206594333</v>
      </c>
      <c r="F23" s="49">
        <f t="shared" si="2"/>
        <v>0.00049239566</v>
      </c>
      <c r="G23" s="49">
        <f t="shared" si="3"/>
        <v>0.0005408145665</v>
      </c>
      <c r="H23" s="46"/>
      <c r="I23" s="46"/>
      <c r="J23" s="46"/>
      <c r="K23" s="46"/>
      <c r="L23" s="46"/>
      <c r="M23" s="46"/>
      <c r="N23" s="46"/>
      <c r="O23" s="46"/>
      <c r="P23" s="46"/>
      <c r="Q23" s="46"/>
      <c r="R23" s="46"/>
      <c r="S23" s="46"/>
      <c r="T23" s="46"/>
      <c r="U23" s="46"/>
      <c r="V23" s="46"/>
      <c r="W23" s="46"/>
      <c r="X23" s="46"/>
      <c r="Y23" s="46"/>
      <c r="Z23" s="46"/>
    </row>
    <row r="24" ht="22.5" customHeight="1">
      <c r="A24" s="47">
        <v>4138386.8</v>
      </c>
      <c r="B24" s="47">
        <v>332729.99</v>
      </c>
      <c r="C24" s="48">
        <v>0.06</v>
      </c>
      <c r="D24" s="48">
        <v>0.0804</v>
      </c>
      <c r="E24" s="49">
        <f t="shared" si="1"/>
        <v>0.008613861978</v>
      </c>
      <c r="F24" s="49">
        <f t="shared" si="2"/>
        <v>0.0005168317187</v>
      </c>
      <c r="G24" s="49">
        <f t="shared" si="3"/>
        <v>0.000692554503</v>
      </c>
      <c r="H24" s="46"/>
      <c r="I24" s="46"/>
      <c r="J24" s="46"/>
      <c r="K24" s="46"/>
      <c r="L24" s="46"/>
      <c r="M24" s="46"/>
      <c r="N24" s="46"/>
      <c r="O24" s="46"/>
      <c r="P24" s="46"/>
      <c r="Q24" s="46"/>
      <c r="R24" s="46"/>
      <c r="S24" s="46"/>
      <c r="T24" s="46"/>
      <c r="U24" s="46"/>
      <c r="V24" s="46"/>
      <c r="W24" s="46"/>
      <c r="X24" s="46"/>
      <c r="Y24" s="46"/>
      <c r="Z24" s="46"/>
    </row>
    <row r="25" ht="22.5" customHeight="1">
      <c r="A25" s="47">
        <v>2557399.01</v>
      </c>
      <c r="B25" s="47">
        <v>272309.68</v>
      </c>
      <c r="C25" s="48">
        <v>0.06</v>
      </c>
      <c r="D25" s="48">
        <v>0.1065</v>
      </c>
      <c r="E25" s="49">
        <f t="shared" si="1"/>
        <v>0.005323108535</v>
      </c>
      <c r="F25" s="49">
        <f t="shared" si="2"/>
        <v>0.0003193865121</v>
      </c>
      <c r="G25" s="49">
        <f t="shared" si="3"/>
        <v>0.0005669110589</v>
      </c>
      <c r="H25" s="46"/>
      <c r="I25" s="46"/>
      <c r="J25" s="46"/>
      <c r="K25" s="46"/>
      <c r="L25" s="46"/>
      <c r="M25" s="46"/>
      <c r="N25" s="46"/>
      <c r="O25" s="46"/>
      <c r="P25" s="46"/>
      <c r="Q25" s="46"/>
      <c r="R25" s="46"/>
      <c r="S25" s="46"/>
      <c r="T25" s="46"/>
      <c r="U25" s="46"/>
      <c r="V25" s="46"/>
      <c r="W25" s="46"/>
      <c r="X25" s="46"/>
      <c r="Y25" s="46"/>
      <c r="Z25" s="46"/>
    </row>
    <row r="26" ht="22.5" customHeight="1">
      <c r="A26" s="47">
        <v>2017500.63</v>
      </c>
      <c r="B26" s="47">
        <v>158536.63</v>
      </c>
      <c r="C26" s="48">
        <v>0.06</v>
      </c>
      <c r="D26" s="48">
        <v>0.0786</v>
      </c>
      <c r="E26" s="49">
        <f t="shared" si="1"/>
        <v>0.004199334863</v>
      </c>
      <c r="F26" s="49">
        <f t="shared" si="2"/>
        <v>0.0002519600918</v>
      </c>
      <c r="G26" s="49">
        <f t="shared" si="3"/>
        <v>0.0003300677203</v>
      </c>
      <c r="H26" s="46"/>
      <c r="I26" s="46"/>
      <c r="J26" s="46"/>
      <c r="K26" s="46"/>
      <c r="L26" s="46"/>
      <c r="M26" s="46"/>
      <c r="N26" s="46"/>
      <c r="O26" s="46"/>
      <c r="P26" s="46"/>
      <c r="Q26" s="46"/>
      <c r="R26" s="46"/>
      <c r="S26" s="46"/>
      <c r="T26" s="46"/>
      <c r="U26" s="46"/>
      <c r="V26" s="46"/>
      <c r="W26" s="46"/>
      <c r="X26" s="46"/>
      <c r="Y26" s="46"/>
      <c r="Z26" s="46"/>
    </row>
    <row r="27" ht="22.5" customHeight="1">
      <c r="A27" s="47">
        <v>1416798.7</v>
      </c>
      <c r="B27" s="47">
        <v>78419.02</v>
      </c>
      <c r="C27" s="48">
        <v>0.06</v>
      </c>
      <c r="D27" s="48">
        <v>0.0553</v>
      </c>
      <c r="E27" s="49">
        <f t="shared" si="1"/>
        <v>0.002949001396</v>
      </c>
      <c r="F27" s="49">
        <f t="shared" si="2"/>
        <v>0.0001769400838</v>
      </c>
      <c r="G27" s="49">
        <f t="shared" si="3"/>
        <v>0.0001630797772</v>
      </c>
      <c r="H27" s="46"/>
      <c r="I27" s="46"/>
      <c r="J27" s="46"/>
      <c r="K27" s="46"/>
      <c r="L27" s="46"/>
      <c r="M27" s="46"/>
      <c r="N27" s="46"/>
      <c r="O27" s="46"/>
      <c r="P27" s="46"/>
      <c r="Q27" s="46"/>
      <c r="R27" s="46"/>
      <c r="S27" s="46"/>
      <c r="T27" s="46"/>
      <c r="U27" s="46"/>
      <c r="V27" s="46"/>
      <c r="W27" s="46"/>
      <c r="X27" s="46"/>
      <c r="Y27" s="46"/>
      <c r="Z27" s="46"/>
    </row>
    <row r="28" ht="22.5" customHeight="1">
      <c r="A28" s="47">
        <v>1575554.67</v>
      </c>
      <c r="B28" s="47">
        <v>66198.84</v>
      </c>
      <c r="C28" s="48">
        <v>0.06</v>
      </c>
      <c r="D28" s="48">
        <v>0.042</v>
      </c>
      <c r="E28" s="49">
        <f t="shared" si="1"/>
        <v>0.003279444654</v>
      </c>
      <c r="F28" s="49">
        <f t="shared" si="2"/>
        <v>0.0001967666792</v>
      </c>
      <c r="G28" s="49">
        <f t="shared" si="3"/>
        <v>0.0001377366755</v>
      </c>
      <c r="H28" s="46"/>
      <c r="I28" s="46"/>
      <c r="J28" s="46"/>
      <c r="K28" s="46"/>
      <c r="L28" s="46"/>
      <c r="M28" s="46"/>
      <c r="N28" s="46"/>
      <c r="O28" s="46"/>
      <c r="P28" s="46"/>
      <c r="Q28" s="46"/>
      <c r="R28" s="46"/>
      <c r="S28" s="46"/>
      <c r="T28" s="46"/>
      <c r="U28" s="46"/>
      <c r="V28" s="46"/>
      <c r="W28" s="46"/>
      <c r="X28" s="46"/>
      <c r="Y28" s="46"/>
      <c r="Z28" s="46"/>
    </row>
    <row r="29" ht="22.5" customHeight="1">
      <c r="A29" s="47">
        <v>631460.0</v>
      </c>
      <c r="B29" s="47">
        <v>58300.0</v>
      </c>
      <c r="C29" s="48">
        <v>0.08</v>
      </c>
      <c r="D29" s="48">
        <v>0.0923</v>
      </c>
      <c r="E29" s="49">
        <f t="shared" si="1"/>
        <v>0.001314354976</v>
      </c>
      <c r="F29" s="49">
        <f t="shared" si="2"/>
        <v>0.0001051483981</v>
      </c>
      <c r="G29" s="49">
        <f t="shared" si="3"/>
        <v>0.0001213149643</v>
      </c>
      <c r="H29" s="46"/>
      <c r="I29" s="46"/>
      <c r="J29" s="46"/>
      <c r="K29" s="46"/>
      <c r="L29" s="46"/>
      <c r="M29" s="46"/>
      <c r="N29" s="46"/>
      <c r="O29" s="46"/>
      <c r="P29" s="46"/>
      <c r="Q29" s="46"/>
      <c r="R29" s="46"/>
      <c r="S29" s="46"/>
      <c r="T29" s="46"/>
      <c r="U29" s="46"/>
      <c r="V29" s="46"/>
      <c r="W29" s="46"/>
      <c r="X29" s="46"/>
      <c r="Y29" s="46"/>
      <c r="Z29" s="46"/>
    </row>
    <row r="30" ht="22.5" customHeight="1">
      <c r="A30" s="47">
        <v>2018865.0</v>
      </c>
      <c r="B30" s="47">
        <v>143307.0</v>
      </c>
      <c r="C30" s="48">
        <v>0.08</v>
      </c>
      <c r="D30" s="48">
        <v>0.071</v>
      </c>
      <c r="E30" s="49">
        <f t="shared" si="1"/>
        <v>0.004202174737</v>
      </c>
      <c r="F30" s="49">
        <f t="shared" si="2"/>
        <v>0.0003361739789</v>
      </c>
      <c r="G30" s="49">
        <f t="shared" si="3"/>
        <v>0.0002983544063</v>
      </c>
      <c r="H30" s="46"/>
      <c r="I30" s="46"/>
      <c r="J30" s="46"/>
      <c r="K30" s="46"/>
      <c r="L30" s="46"/>
      <c r="M30" s="46"/>
      <c r="N30" s="46"/>
      <c r="O30" s="46"/>
      <c r="P30" s="46"/>
      <c r="Q30" s="46"/>
      <c r="R30" s="46"/>
      <c r="S30" s="46"/>
      <c r="T30" s="46"/>
      <c r="U30" s="46"/>
      <c r="V30" s="46"/>
      <c r="W30" s="46"/>
      <c r="X30" s="46"/>
      <c r="Y30" s="46"/>
      <c r="Z30" s="46"/>
    </row>
    <row r="31" ht="22.5" customHeight="1">
      <c r="A31" s="47">
        <v>1677350.0</v>
      </c>
      <c r="B31" s="47">
        <v>117860.0</v>
      </c>
      <c r="C31" s="48">
        <v>0.07</v>
      </c>
      <c r="D31" s="48">
        <v>0.0703</v>
      </c>
      <c r="E31" s="49">
        <f t="shared" si="1"/>
        <v>0.003491326956</v>
      </c>
      <c r="F31" s="49">
        <f t="shared" si="2"/>
        <v>0.0002443928869</v>
      </c>
      <c r="G31" s="49">
        <f t="shared" si="3"/>
        <v>0.000245440285</v>
      </c>
      <c r="H31" s="46"/>
      <c r="I31" s="46"/>
      <c r="J31" s="46"/>
      <c r="K31" s="46"/>
      <c r="L31" s="46"/>
      <c r="M31" s="46"/>
      <c r="N31" s="46"/>
      <c r="O31" s="46"/>
      <c r="P31" s="46"/>
      <c r="Q31" s="46"/>
      <c r="R31" s="46"/>
      <c r="S31" s="46"/>
      <c r="T31" s="46"/>
      <c r="U31" s="46"/>
      <c r="V31" s="46"/>
      <c r="W31" s="46"/>
      <c r="X31" s="46"/>
      <c r="Y31" s="46"/>
      <c r="Z31" s="46"/>
    </row>
    <row r="32" ht="22.5" customHeight="1">
      <c r="A32" s="47">
        <v>750291.0</v>
      </c>
      <c r="B32" s="47">
        <v>62196.0</v>
      </c>
      <c r="C32" s="48">
        <v>0.025</v>
      </c>
      <c r="D32" s="48">
        <v>0.0829</v>
      </c>
      <c r="E32" s="49">
        <f t="shared" si="1"/>
        <v>0.001561696243</v>
      </c>
      <c r="F32" s="49">
        <f t="shared" si="2"/>
        <v>0.00003904240607</v>
      </c>
      <c r="G32" s="49">
        <f t="shared" si="3"/>
        <v>0.0001294646185</v>
      </c>
      <c r="H32" s="46"/>
      <c r="I32" s="46"/>
      <c r="J32" s="46"/>
      <c r="K32" s="46"/>
      <c r="L32" s="46"/>
      <c r="M32" s="46"/>
      <c r="N32" s="46"/>
      <c r="O32" s="46"/>
      <c r="P32" s="46"/>
      <c r="Q32" s="46"/>
      <c r="R32" s="46"/>
      <c r="S32" s="46"/>
      <c r="T32" s="46"/>
      <c r="U32" s="46"/>
      <c r="V32" s="46"/>
      <c r="W32" s="46"/>
      <c r="X32" s="46"/>
      <c r="Y32" s="46"/>
      <c r="Z32" s="46"/>
    </row>
    <row r="33" ht="22.5" customHeight="1">
      <c r="A33" s="47">
        <v>601671.0</v>
      </c>
      <c r="B33" s="47">
        <v>92376.0</v>
      </c>
      <c r="C33" s="48">
        <v>0.025</v>
      </c>
      <c r="D33" s="48">
        <v>0.1535</v>
      </c>
      <c r="E33" s="49">
        <f t="shared" si="1"/>
        <v>0.001252350542</v>
      </c>
      <c r="F33" s="49">
        <f t="shared" si="2"/>
        <v>0.00003130876354</v>
      </c>
      <c r="G33" s="49">
        <f t="shared" si="3"/>
        <v>0.0001922358081</v>
      </c>
      <c r="H33" s="46"/>
      <c r="I33" s="46"/>
      <c r="J33" s="46"/>
      <c r="K33" s="46"/>
      <c r="L33" s="46"/>
      <c r="M33" s="46"/>
      <c r="N33" s="46"/>
      <c r="O33" s="46"/>
      <c r="P33" s="46"/>
      <c r="Q33" s="46"/>
      <c r="R33" s="46"/>
      <c r="S33" s="46"/>
      <c r="T33" s="46"/>
      <c r="U33" s="46"/>
      <c r="V33" s="46"/>
      <c r="W33" s="46"/>
      <c r="X33" s="46"/>
      <c r="Y33" s="46"/>
      <c r="Z33" s="46"/>
    </row>
    <row r="34" ht="22.5" customHeight="1">
      <c r="A34" s="47">
        <v>1347878.0</v>
      </c>
      <c r="B34" s="47">
        <v>254583.0</v>
      </c>
      <c r="C34" s="48">
        <v>0.07</v>
      </c>
      <c r="D34" s="48">
        <v>0.1889</v>
      </c>
      <c r="E34" s="49">
        <f t="shared" si="1"/>
        <v>0.002805546126</v>
      </c>
      <c r="F34" s="49">
        <f t="shared" si="2"/>
        <v>0.0001963882288</v>
      </c>
      <c r="G34" s="49">
        <f t="shared" si="3"/>
        <v>0.0005299676632</v>
      </c>
      <c r="H34" s="46"/>
      <c r="I34" s="46"/>
      <c r="J34" s="46"/>
      <c r="K34" s="46"/>
      <c r="L34" s="46"/>
      <c r="M34" s="46"/>
      <c r="N34" s="46"/>
      <c r="O34" s="46"/>
      <c r="P34" s="46"/>
      <c r="Q34" s="46"/>
      <c r="R34" s="46"/>
      <c r="S34" s="46"/>
      <c r="T34" s="46"/>
      <c r="U34" s="46"/>
      <c r="V34" s="46"/>
      <c r="W34" s="46"/>
      <c r="X34" s="46"/>
      <c r="Y34" s="46"/>
      <c r="Z34" s="46"/>
    </row>
    <row r="35" ht="22.5" customHeight="1">
      <c r="A35" s="47">
        <v>1334790.0</v>
      </c>
      <c r="B35" s="47">
        <v>543050.0</v>
      </c>
      <c r="C35" s="48">
        <v>0.04</v>
      </c>
      <c r="D35" s="48">
        <v>0.4068</v>
      </c>
      <c r="E35" s="49">
        <f t="shared" si="1"/>
        <v>0.002778304055</v>
      </c>
      <c r="F35" s="49">
        <f t="shared" si="2"/>
        <v>0.0001111321622</v>
      </c>
      <c r="G35" s="49">
        <f t="shared" si="3"/>
        <v>0.00113021409</v>
      </c>
      <c r="H35" s="46"/>
      <c r="I35" s="46"/>
      <c r="J35" s="46"/>
      <c r="K35" s="46"/>
      <c r="L35" s="46"/>
      <c r="M35" s="46"/>
      <c r="N35" s="46"/>
      <c r="O35" s="46"/>
      <c r="P35" s="46"/>
      <c r="Q35" s="46"/>
      <c r="R35" s="46"/>
      <c r="S35" s="46"/>
      <c r="T35" s="46"/>
      <c r="U35" s="46"/>
      <c r="V35" s="46"/>
      <c r="W35" s="46"/>
      <c r="X35" s="46"/>
      <c r="Y35" s="46"/>
      <c r="Z35" s="46"/>
    </row>
    <row r="36" ht="22.5" customHeight="1">
      <c r="A36" s="47">
        <v>440276.0</v>
      </c>
      <c r="B36" s="47">
        <v>35350.0</v>
      </c>
      <c r="C36" s="48">
        <v>0.08</v>
      </c>
      <c r="D36" s="48">
        <v>0.0803</v>
      </c>
      <c r="E36" s="49">
        <f t="shared" si="1"/>
        <v>0.0009164142647</v>
      </c>
      <c r="F36" s="49">
        <f t="shared" si="2"/>
        <v>0.00007331314117</v>
      </c>
      <c r="G36" s="49">
        <f t="shared" si="3"/>
        <v>0.00007358806545</v>
      </c>
      <c r="H36" s="46"/>
      <c r="I36" s="46"/>
      <c r="J36" s="46"/>
      <c r="K36" s="46"/>
      <c r="L36" s="46"/>
      <c r="M36" s="46"/>
      <c r="N36" s="46"/>
      <c r="O36" s="46"/>
      <c r="P36" s="46"/>
      <c r="Q36" s="46"/>
      <c r="R36" s="46"/>
      <c r="S36" s="46"/>
      <c r="T36" s="46"/>
      <c r="U36" s="46"/>
      <c r="V36" s="46"/>
      <c r="W36" s="46"/>
      <c r="X36" s="46"/>
      <c r="Y36" s="46"/>
      <c r="Z36" s="46"/>
    </row>
    <row r="37" ht="22.5" customHeight="1">
      <c r="A37" s="47">
        <v>1401195.0</v>
      </c>
      <c r="B37" s="47">
        <v>135200.0</v>
      </c>
      <c r="C37" s="48">
        <v>0.08</v>
      </c>
      <c r="D37" s="48">
        <v>0.0965</v>
      </c>
      <c r="E37" s="49">
        <f t="shared" si="1"/>
        <v>0.002916523012</v>
      </c>
      <c r="F37" s="49">
        <f t="shared" si="2"/>
        <v>0.0002333218409</v>
      </c>
      <c r="G37" s="49">
        <f t="shared" si="3"/>
        <v>0.0002814444706</v>
      </c>
      <c r="H37" s="46"/>
      <c r="I37" s="46"/>
      <c r="J37" s="46"/>
      <c r="K37" s="46"/>
      <c r="L37" s="46"/>
      <c r="M37" s="46"/>
      <c r="N37" s="46"/>
      <c r="O37" s="46"/>
      <c r="P37" s="46"/>
      <c r="Q37" s="46"/>
      <c r="R37" s="46"/>
      <c r="S37" s="46"/>
      <c r="T37" s="46"/>
      <c r="U37" s="46"/>
      <c r="V37" s="46"/>
      <c r="W37" s="46"/>
      <c r="X37" s="46"/>
      <c r="Y37" s="46"/>
      <c r="Z37" s="46"/>
    </row>
    <row r="38" ht="22.5" customHeight="1">
      <c r="A38" s="47">
        <v>1328890.0</v>
      </c>
      <c r="B38" s="47">
        <v>115340.0</v>
      </c>
      <c r="C38" s="48">
        <v>0.06</v>
      </c>
      <c r="D38" s="48">
        <v>0.0868</v>
      </c>
      <c r="E38" s="49">
        <f t="shared" si="1"/>
        <v>0.002766023477</v>
      </c>
      <c r="F38" s="49">
        <f t="shared" si="2"/>
        <v>0.0001659614086</v>
      </c>
      <c r="G38" s="49">
        <f t="shared" si="3"/>
        <v>0.0002400908378</v>
      </c>
      <c r="H38" s="46"/>
      <c r="I38" s="46"/>
      <c r="J38" s="46"/>
      <c r="K38" s="46"/>
      <c r="L38" s="46"/>
      <c r="M38" s="46"/>
      <c r="N38" s="46"/>
      <c r="O38" s="46"/>
      <c r="P38" s="46"/>
      <c r="Q38" s="46"/>
      <c r="R38" s="46"/>
      <c r="S38" s="46"/>
      <c r="T38" s="46"/>
      <c r="U38" s="46"/>
      <c r="V38" s="46"/>
      <c r="W38" s="46"/>
      <c r="X38" s="46"/>
      <c r="Y38" s="46"/>
      <c r="Z38" s="46"/>
    </row>
    <row r="39" ht="22.5" customHeight="1">
      <c r="A39" s="47">
        <v>1144132.0</v>
      </c>
      <c r="B39" s="47">
        <v>79291.0</v>
      </c>
      <c r="C39" s="48">
        <v>0.04</v>
      </c>
      <c r="D39" s="48">
        <v>0.0693</v>
      </c>
      <c r="E39" s="49">
        <f t="shared" si="1"/>
        <v>0.002381458189</v>
      </c>
      <c r="F39" s="49">
        <f t="shared" si="2"/>
        <v>0.00009525832754</v>
      </c>
      <c r="G39" s="49">
        <f t="shared" si="3"/>
        <v>0.0001650350525</v>
      </c>
      <c r="H39" s="46"/>
      <c r="I39" s="46"/>
      <c r="J39" s="46"/>
      <c r="K39" s="46"/>
      <c r="L39" s="46"/>
      <c r="M39" s="46"/>
      <c r="N39" s="46"/>
      <c r="O39" s="46"/>
      <c r="P39" s="46"/>
      <c r="Q39" s="46"/>
      <c r="R39" s="46"/>
      <c r="S39" s="46"/>
      <c r="T39" s="46"/>
      <c r="U39" s="46"/>
      <c r="V39" s="46"/>
      <c r="W39" s="46"/>
      <c r="X39" s="46"/>
      <c r="Y39" s="46"/>
      <c r="Z39" s="46"/>
    </row>
    <row r="40" ht="22.5" customHeight="1">
      <c r="A40" s="47">
        <v>274436.0</v>
      </c>
      <c r="B40" s="47">
        <v>44226.0</v>
      </c>
      <c r="C40" s="48">
        <v>0.08</v>
      </c>
      <c r="D40" s="48">
        <v>0.1612</v>
      </c>
      <c r="E40" s="49">
        <f t="shared" si="1"/>
        <v>0.0005712259245</v>
      </c>
      <c r="F40" s="49">
        <f t="shared" si="2"/>
        <v>0.00004569807396</v>
      </c>
      <c r="G40" s="49">
        <f t="shared" si="3"/>
        <v>0.00009208161903</v>
      </c>
      <c r="H40" s="46"/>
      <c r="I40" s="46"/>
      <c r="J40" s="46"/>
      <c r="K40" s="46"/>
      <c r="L40" s="46"/>
      <c r="M40" s="46"/>
      <c r="N40" s="46"/>
      <c r="O40" s="46"/>
      <c r="P40" s="46"/>
      <c r="Q40" s="46"/>
      <c r="R40" s="46"/>
      <c r="S40" s="46"/>
      <c r="T40" s="46"/>
      <c r="U40" s="46"/>
      <c r="V40" s="46"/>
      <c r="W40" s="46"/>
      <c r="X40" s="46"/>
      <c r="Y40" s="46"/>
      <c r="Z40" s="46"/>
    </row>
    <row r="41" ht="22.5" customHeight="1">
      <c r="A41" s="47">
        <v>619978.0</v>
      </c>
      <c r="B41" s="47">
        <v>184925.0</v>
      </c>
      <c r="C41" s="48">
        <v>0.07</v>
      </c>
      <c r="D41" s="48">
        <v>0.2983</v>
      </c>
      <c r="E41" s="49">
        <f t="shared" si="1"/>
        <v>0.001290455721</v>
      </c>
      <c r="F41" s="49">
        <f t="shared" si="2"/>
        <v>0.00009033190046</v>
      </c>
      <c r="G41" s="49">
        <f t="shared" si="3"/>
        <v>0.0003849429415</v>
      </c>
      <c r="H41" s="46"/>
      <c r="I41" s="46"/>
      <c r="J41" s="46"/>
      <c r="K41" s="46"/>
      <c r="L41" s="46"/>
      <c r="M41" s="46"/>
      <c r="N41" s="46"/>
      <c r="O41" s="46"/>
      <c r="P41" s="46"/>
      <c r="Q41" s="46"/>
      <c r="R41" s="46"/>
      <c r="S41" s="46"/>
      <c r="T41" s="46"/>
      <c r="U41" s="46"/>
      <c r="V41" s="46"/>
      <c r="W41" s="46"/>
      <c r="X41" s="46"/>
      <c r="Y41" s="46"/>
      <c r="Z41" s="46"/>
    </row>
    <row r="42" ht="22.5" customHeight="1">
      <c r="A42" s="47">
        <v>935540.0</v>
      </c>
      <c r="B42" s="47">
        <v>72500.0</v>
      </c>
      <c r="C42" s="48">
        <v>0.04</v>
      </c>
      <c r="D42" s="48">
        <v>0.0775</v>
      </c>
      <c r="E42" s="49">
        <f t="shared" si="1"/>
        <v>0.001947283525</v>
      </c>
      <c r="F42" s="49">
        <f t="shared" si="2"/>
        <v>0.00007789134099</v>
      </c>
      <c r="G42" s="49">
        <f t="shared" si="3"/>
        <v>0.0001509144732</v>
      </c>
      <c r="H42" s="46"/>
      <c r="I42" s="46"/>
      <c r="J42" s="46"/>
      <c r="K42" s="46"/>
      <c r="L42" s="46"/>
      <c r="M42" s="46"/>
      <c r="N42" s="46"/>
      <c r="O42" s="46"/>
      <c r="P42" s="46"/>
      <c r="Q42" s="46"/>
      <c r="R42" s="46"/>
      <c r="S42" s="46"/>
      <c r="T42" s="46"/>
      <c r="U42" s="46"/>
      <c r="V42" s="46"/>
      <c r="W42" s="46"/>
      <c r="X42" s="46"/>
      <c r="Y42" s="46"/>
      <c r="Z42" s="46"/>
    </row>
    <row r="43" ht="22.5" customHeight="1">
      <c r="A43" s="47">
        <v>659570.0</v>
      </c>
      <c r="B43" s="47">
        <v>313830.0</v>
      </c>
      <c r="C43" s="48">
        <v>0.08</v>
      </c>
      <c r="D43" s="48">
        <v>0.4758</v>
      </c>
      <c r="E43" s="49">
        <f t="shared" si="1"/>
        <v>0.00137286465</v>
      </c>
      <c r="F43" s="49">
        <f t="shared" si="2"/>
        <v>0.000109829172</v>
      </c>
      <c r="G43" s="49">
        <f t="shared" si="3"/>
        <v>0.0006532090004</v>
      </c>
      <c r="H43" s="46"/>
      <c r="I43" s="46"/>
      <c r="J43" s="46"/>
      <c r="K43" s="46"/>
      <c r="L43" s="46"/>
      <c r="M43" s="46"/>
      <c r="N43" s="46"/>
      <c r="O43" s="46"/>
      <c r="P43" s="46"/>
      <c r="Q43" s="46"/>
      <c r="R43" s="46"/>
      <c r="S43" s="46"/>
      <c r="T43" s="46"/>
      <c r="U43" s="46"/>
      <c r="V43" s="46"/>
      <c r="W43" s="46"/>
      <c r="X43" s="46"/>
      <c r="Y43" s="46"/>
      <c r="Z43" s="46"/>
    </row>
    <row r="44" ht="22.5" customHeight="1">
      <c r="A44" s="47">
        <v>1674428.0</v>
      </c>
      <c r="B44" s="47">
        <v>35100.0</v>
      </c>
      <c r="C44" s="48">
        <v>0.03</v>
      </c>
      <c r="D44" s="48">
        <v>0.021</v>
      </c>
      <c r="E44" s="49">
        <f t="shared" si="1"/>
        <v>0.003485244947</v>
      </c>
      <c r="F44" s="49">
        <f t="shared" si="2"/>
        <v>0.0001045573484</v>
      </c>
      <c r="G44" s="49">
        <f t="shared" si="3"/>
        <v>0.00007319014389</v>
      </c>
      <c r="H44" s="46"/>
      <c r="I44" s="46"/>
      <c r="J44" s="46"/>
      <c r="K44" s="46"/>
      <c r="L44" s="46"/>
      <c r="M44" s="46"/>
      <c r="N44" s="46"/>
      <c r="O44" s="46"/>
      <c r="P44" s="46"/>
      <c r="Q44" s="46"/>
      <c r="R44" s="46"/>
      <c r="S44" s="46"/>
      <c r="T44" s="46"/>
      <c r="U44" s="46"/>
      <c r="V44" s="46"/>
      <c r="W44" s="46"/>
      <c r="X44" s="46"/>
      <c r="Y44" s="46"/>
      <c r="Z44" s="46"/>
    </row>
    <row r="45" ht="22.5" customHeight="1">
      <c r="A45" s="47">
        <v>1467829.0</v>
      </c>
      <c r="B45" s="47">
        <v>207584.0</v>
      </c>
      <c r="C45" s="48">
        <v>0.07</v>
      </c>
      <c r="D45" s="48">
        <v>0.1414</v>
      </c>
      <c r="E45" s="49">
        <f t="shared" si="1"/>
        <v>0.003055218621</v>
      </c>
      <c r="F45" s="49">
        <f t="shared" si="2"/>
        <v>0.0002138653035</v>
      </c>
      <c r="G45" s="49">
        <f t="shared" si="3"/>
        <v>0.000432007913</v>
      </c>
      <c r="H45" s="46"/>
      <c r="I45" s="46"/>
      <c r="J45" s="46"/>
      <c r="K45" s="46"/>
      <c r="L45" s="46"/>
      <c r="M45" s="46"/>
      <c r="N45" s="46"/>
      <c r="O45" s="46"/>
      <c r="P45" s="46"/>
      <c r="Q45" s="46"/>
      <c r="R45" s="46"/>
      <c r="S45" s="46"/>
      <c r="T45" s="46"/>
      <c r="U45" s="46"/>
      <c r="V45" s="46"/>
      <c r="W45" s="46"/>
      <c r="X45" s="46"/>
      <c r="Y45" s="46"/>
      <c r="Z45" s="46"/>
    </row>
    <row r="46" ht="22.5" customHeight="1">
      <c r="A46" s="47">
        <v>819167.0</v>
      </c>
      <c r="B46" s="47">
        <v>76827.0</v>
      </c>
      <c r="C46" s="48">
        <v>0.05</v>
      </c>
      <c r="D46" s="48">
        <v>0.0938</v>
      </c>
      <c r="E46" s="49">
        <f t="shared" si="1"/>
        <v>0.001705058472</v>
      </c>
      <c r="F46" s="49">
        <f t="shared" si="2"/>
        <v>0.00008525292361</v>
      </c>
      <c r="G46" s="49">
        <f t="shared" si="3"/>
        <v>0.0001599344847</v>
      </c>
      <c r="H46" s="46"/>
      <c r="I46" s="46"/>
      <c r="J46" s="46"/>
      <c r="K46" s="46"/>
      <c r="L46" s="46"/>
      <c r="M46" s="46"/>
      <c r="N46" s="46"/>
      <c r="O46" s="46"/>
      <c r="P46" s="46"/>
      <c r="Q46" s="46"/>
      <c r="R46" s="46"/>
      <c r="S46" s="46"/>
      <c r="T46" s="46"/>
      <c r="U46" s="46"/>
      <c r="V46" s="46"/>
      <c r="W46" s="46"/>
      <c r="X46" s="46"/>
      <c r="Y46" s="46"/>
      <c r="Z46" s="46"/>
    </row>
    <row r="47" ht="22.5" customHeight="1">
      <c r="A47" s="47">
        <v>671038.0</v>
      </c>
      <c r="B47" s="47">
        <v>62148.0</v>
      </c>
      <c r="C47" s="48">
        <v>0.05</v>
      </c>
      <c r="D47" s="48">
        <v>0.0926</v>
      </c>
      <c r="E47" s="49">
        <f t="shared" si="1"/>
        <v>0.001396734765</v>
      </c>
      <c r="F47" s="49">
        <f t="shared" si="2"/>
        <v>0.00006983673824</v>
      </c>
      <c r="G47" s="49">
        <f t="shared" si="3"/>
        <v>0.0001293376392</v>
      </c>
      <c r="H47" s="46"/>
      <c r="I47" s="46"/>
      <c r="J47" s="46"/>
      <c r="K47" s="46"/>
      <c r="L47" s="46"/>
      <c r="M47" s="46"/>
      <c r="N47" s="46"/>
      <c r="O47" s="46"/>
      <c r="P47" s="46"/>
      <c r="Q47" s="46"/>
      <c r="R47" s="46"/>
      <c r="S47" s="46"/>
      <c r="T47" s="46"/>
      <c r="U47" s="46"/>
      <c r="V47" s="46"/>
      <c r="W47" s="46"/>
      <c r="X47" s="46"/>
      <c r="Y47" s="46"/>
      <c r="Z47" s="46"/>
    </row>
    <row r="48" ht="22.5" customHeight="1">
      <c r="A48" s="47">
        <v>829585.0</v>
      </c>
      <c r="B48" s="47">
        <v>65500.0</v>
      </c>
      <c r="C48" s="48">
        <v>0.06</v>
      </c>
      <c r="D48" s="48">
        <v>0.079</v>
      </c>
      <c r="E48" s="49">
        <f t="shared" si="1"/>
        <v>0.001726743061</v>
      </c>
      <c r="F48" s="49">
        <f t="shared" si="2"/>
        <v>0.0001036045836</v>
      </c>
      <c r="G48" s="49">
        <f t="shared" si="3"/>
        <v>0.0001364127018</v>
      </c>
      <c r="H48" s="46"/>
      <c r="I48" s="46"/>
      <c r="J48" s="46"/>
      <c r="K48" s="46"/>
      <c r="L48" s="46"/>
      <c r="M48" s="46"/>
      <c r="N48" s="46"/>
      <c r="O48" s="46"/>
      <c r="P48" s="46"/>
      <c r="Q48" s="46"/>
      <c r="R48" s="46"/>
      <c r="S48" s="46"/>
      <c r="T48" s="46"/>
      <c r="U48" s="46"/>
      <c r="V48" s="46"/>
      <c r="W48" s="46"/>
      <c r="X48" s="46"/>
      <c r="Y48" s="46"/>
      <c r="Z48" s="46"/>
    </row>
    <row r="49" ht="22.5" customHeight="1">
      <c r="A49" s="47">
        <v>6589115.0</v>
      </c>
      <c r="B49" s="47">
        <v>249880.0</v>
      </c>
      <c r="C49" s="48">
        <v>0.035</v>
      </c>
      <c r="D49" s="48">
        <v>0.0379</v>
      </c>
      <c r="E49" s="49">
        <f t="shared" si="1"/>
        <v>0.01371494012</v>
      </c>
      <c r="F49" s="49">
        <f t="shared" si="2"/>
        <v>0.0004800229043</v>
      </c>
      <c r="G49" s="49">
        <f t="shared" si="3"/>
        <v>0.0005197962306</v>
      </c>
      <c r="H49" s="46"/>
      <c r="I49" s="46"/>
      <c r="J49" s="46"/>
      <c r="K49" s="46"/>
      <c r="L49" s="46"/>
      <c r="M49" s="46"/>
      <c r="N49" s="46"/>
      <c r="O49" s="46"/>
      <c r="P49" s="46"/>
      <c r="Q49" s="46"/>
      <c r="R49" s="46"/>
      <c r="S49" s="46"/>
      <c r="T49" s="46"/>
      <c r="U49" s="46"/>
      <c r="V49" s="46"/>
      <c r="W49" s="46"/>
      <c r="X49" s="46"/>
      <c r="Y49" s="46"/>
      <c r="Z49" s="46"/>
    </row>
    <row r="50" ht="22.5" customHeight="1">
      <c r="A50" s="47">
        <v>3533751.0</v>
      </c>
      <c r="B50" s="47">
        <v>784451.0</v>
      </c>
      <c r="C50" s="48">
        <v>0.035</v>
      </c>
      <c r="D50" s="48">
        <v>0.222</v>
      </c>
      <c r="E50" s="49">
        <f t="shared" si="1"/>
        <v>0.007355340341</v>
      </c>
      <c r="F50" s="49">
        <f t="shared" si="2"/>
        <v>0.0002574369119</v>
      </c>
      <c r="G50" s="49">
        <f t="shared" si="3"/>
        <v>0.001632885556</v>
      </c>
      <c r="H50" s="46"/>
      <c r="I50" s="46"/>
      <c r="J50" s="46"/>
      <c r="K50" s="46"/>
      <c r="L50" s="46"/>
      <c r="M50" s="46"/>
      <c r="N50" s="46"/>
      <c r="O50" s="46"/>
      <c r="P50" s="46"/>
      <c r="Q50" s="46"/>
      <c r="R50" s="46"/>
      <c r="S50" s="46"/>
      <c r="T50" s="46"/>
      <c r="U50" s="46"/>
      <c r="V50" s="46"/>
      <c r="W50" s="46"/>
      <c r="X50" s="46"/>
      <c r="Y50" s="46"/>
      <c r="Z50" s="46"/>
    </row>
    <row r="51" ht="22.5" customHeight="1">
      <c r="A51" s="47">
        <v>1573615.0</v>
      </c>
      <c r="B51" s="47">
        <v>143880.0</v>
      </c>
      <c r="C51" s="48">
        <v>0.035</v>
      </c>
      <c r="D51" s="48">
        <v>0.0914</v>
      </c>
      <c r="E51" s="49">
        <f t="shared" si="1"/>
        <v>0.00327540732</v>
      </c>
      <c r="F51" s="49">
        <f t="shared" si="2"/>
        <v>0.0001146392562</v>
      </c>
      <c r="G51" s="49">
        <f t="shared" si="3"/>
        <v>0.000299372229</v>
      </c>
      <c r="H51" s="46"/>
      <c r="I51" s="46"/>
      <c r="J51" s="46"/>
      <c r="K51" s="46"/>
      <c r="L51" s="46"/>
      <c r="M51" s="46"/>
      <c r="N51" s="46"/>
      <c r="O51" s="46"/>
      <c r="P51" s="46"/>
      <c r="Q51" s="46"/>
      <c r="R51" s="46"/>
      <c r="S51" s="46"/>
      <c r="T51" s="46"/>
      <c r="U51" s="46"/>
      <c r="V51" s="46"/>
      <c r="W51" s="46"/>
      <c r="X51" s="46"/>
      <c r="Y51" s="46"/>
      <c r="Z51" s="46"/>
    </row>
    <row r="52" ht="22.5" customHeight="1">
      <c r="A52" s="47">
        <v>1527739.0</v>
      </c>
      <c r="B52" s="47">
        <v>136932.0</v>
      </c>
      <c r="C52" s="48">
        <v>0.06</v>
      </c>
      <c r="D52" s="48">
        <v>0.0896</v>
      </c>
      <c r="E52" s="49">
        <f t="shared" si="1"/>
        <v>0.003179918534</v>
      </c>
      <c r="F52" s="49">
        <f t="shared" si="2"/>
        <v>0.000190795112</v>
      </c>
      <c r="G52" s="49">
        <f t="shared" si="3"/>
        <v>0.0002849207006</v>
      </c>
      <c r="H52" s="46"/>
      <c r="I52" s="46"/>
      <c r="J52" s="46"/>
      <c r="K52" s="46"/>
      <c r="L52" s="46"/>
      <c r="M52" s="46"/>
      <c r="N52" s="46"/>
      <c r="O52" s="46"/>
      <c r="P52" s="46"/>
      <c r="Q52" s="46"/>
      <c r="R52" s="46"/>
      <c r="S52" s="46"/>
      <c r="T52" s="46"/>
      <c r="U52" s="46"/>
      <c r="V52" s="46"/>
      <c r="W52" s="46"/>
      <c r="X52" s="46"/>
      <c r="Y52" s="46"/>
      <c r="Z52" s="46"/>
    </row>
    <row r="53" ht="22.5" customHeight="1">
      <c r="A53" s="47">
        <v>1211995.21</v>
      </c>
      <c r="B53" s="47">
        <v>58990.0</v>
      </c>
      <c r="C53" s="48">
        <v>0.1</v>
      </c>
      <c r="D53" s="48">
        <v>0.0487</v>
      </c>
      <c r="E53" s="49">
        <f t="shared" si="1"/>
        <v>0.002522712342</v>
      </c>
      <c r="F53" s="49">
        <f t="shared" si="2"/>
        <v>0.0002522712342</v>
      </c>
      <c r="G53" s="49">
        <f t="shared" si="3"/>
        <v>0.0001228560911</v>
      </c>
      <c r="H53" s="46"/>
      <c r="I53" s="46"/>
      <c r="J53" s="46"/>
      <c r="K53" s="46"/>
      <c r="L53" s="46"/>
      <c r="M53" s="46"/>
      <c r="N53" s="46"/>
      <c r="O53" s="46"/>
      <c r="P53" s="46"/>
      <c r="Q53" s="46"/>
      <c r="R53" s="46"/>
      <c r="S53" s="46"/>
      <c r="T53" s="46"/>
      <c r="U53" s="46"/>
      <c r="V53" s="46"/>
      <c r="W53" s="46"/>
      <c r="X53" s="46"/>
      <c r="Y53" s="46"/>
      <c r="Z53" s="46"/>
    </row>
    <row r="54" ht="22.5" customHeight="1">
      <c r="A54" s="47">
        <v>614482.0</v>
      </c>
      <c r="B54" s="47">
        <v>58902.0</v>
      </c>
      <c r="C54" s="48">
        <v>0.11</v>
      </c>
      <c r="D54" s="48">
        <v>0.0959</v>
      </c>
      <c r="E54" s="49">
        <f t="shared" si="1"/>
        <v>0.001279016049</v>
      </c>
      <c r="F54" s="49">
        <f t="shared" si="2"/>
        <v>0.0001406917654</v>
      </c>
      <c r="G54" s="49">
        <f t="shared" si="3"/>
        <v>0.0001226576391</v>
      </c>
      <c r="H54" s="46"/>
      <c r="I54" s="46"/>
      <c r="J54" s="46"/>
      <c r="K54" s="46"/>
      <c r="L54" s="46"/>
      <c r="M54" s="46"/>
      <c r="N54" s="46"/>
      <c r="O54" s="46"/>
      <c r="P54" s="46"/>
      <c r="Q54" s="46"/>
      <c r="R54" s="46"/>
      <c r="S54" s="46"/>
      <c r="T54" s="46"/>
      <c r="U54" s="46"/>
      <c r="V54" s="46"/>
      <c r="W54" s="46"/>
      <c r="X54" s="46"/>
      <c r="Y54" s="46"/>
      <c r="Z54" s="46"/>
    </row>
    <row r="55" ht="22.5" customHeight="1">
      <c r="A55" s="47">
        <v>915909.0</v>
      </c>
      <c r="B55" s="47">
        <v>101600.0</v>
      </c>
      <c r="C55" s="48">
        <v>0.08</v>
      </c>
      <c r="D55" s="48">
        <v>0.1109</v>
      </c>
      <c r="E55" s="49">
        <f t="shared" si="1"/>
        <v>0.0019064225</v>
      </c>
      <c r="F55" s="49">
        <f t="shared" si="2"/>
        <v>0.0001525138</v>
      </c>
      <c r="G55" s="49">
        <f t="shared" si="3"/>
        <v>0.0002114222553</v>
      </c>
      <c r="H55" s="46"/>
      <c r="I55" s="46"/>
      <c r="J55" s="46"/>
      <c r="K55" s="46"/>
      <c r="L55" s="46"/>
      <c r="M55" s="46"/>
      <c r="N55" s="46"/>
      <c r="O55" s="46"/>
      <c r="P55" s="46"/>
      <c r="Q55" s="46"/>
      <c r="R55" s="46"/>
      <c r="S55" s="46"/>
      <c r="T55" s="46"/>
      <c r="U55" s="46"/>
      <c r="V55" s="46"/>
      <c r="W55" s="46"/>
      <c r="X55" s="46"/>
      <c r="Y55" s="46"/>
      <c r="Z55" s="46"/>
    </row>
    <row r="56" ht="22.5" customHeight="1">
      <c r="A56" s="47">
        <v>493500.0</v>
      </c>
      <c r="B56" s="47">
        <v>37500.0</v>
      </c>
      <c r="C56" s="48">
        <v>0.07</v>
      </c>
      <c r="D56" s="48">
        <v>0.076</v>
      </c>
      <c r="E56" s="49">
        <f t="shared" si="1"/>
        <v>0.001027197575</v>
      </c>
      <c r="F56" s="49">
        <f t="shared" si="2"/>
        <v>0.00007190383026</v>
      </c>
      <c r="G56" s="49">
        <f t="shared" si="3"/>
        <v>0.00007806701571</v>
      </c>
      <c r="H56" s="46"/>
      <c r="I56" s="46"/>
      <c r="J56" s="46"/>
      <c r="K56" s="46"/>
      <c r="L56" s="46"/>
      <c r="M56" s="46"/>
      <c r="N56" s="46"/>
      <c r="O56" s="46"/>
      <c r="P56" s="46"/>
      <c r="Q56" s="46"/>
      <c r="R56" s="46"/>
      <c r="S56" s="46"/>
      <c r="T56" s="46"/>
      <c r="U56" s="46"/>
      <c r="V56" s="46"/>
      <c r="W56" s="46"/>
      <c r="X56" s="46"/>
      <c r="Y56" s="46"/>
      <c r="Z56" s="46"/>
    </row>
    <row r="57" ht="22.5" customHeight="1">
      <c r="A57" s="47">
        <v>4669050.43</v>
      </c>
      <c r="B57" s="47">
        <v>115528.78</v>
      </c>
      <c r="C57" s="48">
        <v>0.06</v>
      </c>
      <c r="D57" s="48">
        <v>0.0247</v>
      </c>
      <c r="E57" s="49">
        <f t="shared" si="1"/>
        <v>0.009718413941</v>
      </c>
      <c r="F57" s="49">
        <f t="shared" si="2"/>
        <v>0.0005831048365</v>
      </c>
      <c r="G57" s="49">
        <f t="shared" si="3"/>
        <v>0.0002400448244</v>
      </c>
      <c r="H57" s="46"/>
      <c r="I57" s="46"/>
      <c r="J57" s="46"/>
      <c r="K57" s="46"/>
      <c r="L57" s="46"/>
      <c r="M57" s="46"/>
      <c r="N57" s="46"/>
      <c r="O57" s="46"/>
      <c r="P57" s="46"/>
      <c r="Q57" s="46"/>
      <c r="R57" s="46"/>
      <c r="S57" s="46"/>
      <c r="T57" s="46"/>
      <c r="U57" s="46"/>
      <c r="V57" s="46"/>
      <c r="W57" s="46"/>
      <c r="X57" s="46"/>
      <c r="Y57" s="46"/>
      <c r="Z57" s="46"/>
    </row>
    <row r="58" ht="22.5" customHeight="1">
      <c r="A58" s="47">
        <v>2778684.03</v>
      </c>
      <c r="B58" s="47">
        <v>725357.91</v>
      </c>
      <c r="C58" s="48">
        <v>0.06</v>
      </c>
      <c r="D58" s="48">
        <v>0.261</v>
      </c>
      <c r="E58" s="49">
        <f t="shared" si="1"/>
        <v>0.005783703136</v>
      </c>
      <c r="F58" s="49">
        <f t="shared" si="2"/>
        <v>0.0003470221882</v>
      </c>
      <c r="G58" s="49">
        <f t="shared" si="3"/>
        <v>0.001509546519</v>
      </c>
      <c r="H58" s="46"/>
      <c r="I58" s="46"/>
      <c r="J58" s="46"/>
      <c r="K58" s="46"/>
      <c r="L58" s="46"/>
      <c r="M58" s="46"/>
      <c r="N58" s="46"/>
      <c r="O58" s="46"/>
      <c r="P58" s="46"/>
      <c r="Q58" s="46"/>
      <c r="R58" s="46"/>
      <c r="S58" s="46"/>
      <c r="T58" s="46"/>
      <c r="U58" s="46"/>
      <c r="V58" s="46"/>
      <c r="W58" s="46"/>
      <c r="X58" s="46"/>
      <c r="Y58" s="46"/>
      <c r="Z58" s="46"/>
    </row>
    <row r="59" ht="22.5" customHeight="1">
      <c r="A59" s="47">
        <v>2820996.92</v>
      </c>
      <c r="B59" s="47">
        <v>119973.0</v>
      </c>
      <c r="C59" s="48">
        <v>0.06</v>
      </c>
      <c r="D59" s="48">
        <v>0.0425</v>
      </c>
      <c r="E59" s="49">
        <f t="shared" si="1"/>
        <v>0.005871775473</v>
      </c>
      <c r="F59" s="49">
        <f t="shared" si="2"/>
        <v>0.0003523065284</v>
      </c>
      <c r="G59" s="49">
        <f t="shared" si="3"/>
        <v>0.0002495504576</v>
      </c>
      <c r="H59" s="46"/>
      <c r="I59" s="46"/>
      <c r="J59" s="46"/>
      <c r="K59" s="46"/>
      <c r="L59" s="46"/>
      <c r="M59" s="46"/>
      <c r="N59" s="46"/>
      <c r="O59" s="46"/>
      <c r="P59" s="46"/>
      <c r="Q59" s="46"/>
      <c r="R59" s="46"/>
      <c r="S59" s="46"/>
      <c r="T59" s="46"/>
      <c r="U59" s="46"/>
      <c r="V59" s="46"/>
      <c r="W59" s="46"/>
      <c r="X59" s="46"/>
      <c r="Y59" s="46"/>
      <c r="Z59" s="46"/>
    </row>
    <row r="60" ht="22.5" customHeight="1">
      <c r="A60" s="47">
        <v>453584.25</v>
      </c>
      <c r="B60" s="47">
        <v>23365.52</v>
      </c>
      <c r="C60" s="48">
        <v>0.06</v>
      </c>
      <c r="D60" s="48">
        <v>0.0515</v>
      </c>
      <c r="E60" s="49">
        <f t="shared" si="1"/>
        <v>0.0009441147756</v>
      </c>
      <c r="F60" s="49">
        <f t="shared" si="2"/>
        <v>0.00005664688653</v>
      </c>
      <c r="G60" s="49">
        <f t="shared" si="3"/>
        <v>0.00004862191094</v>
      </c>
      <c r="H60" s="46"/>
      <c r="I60" s="46"/>
      <c r="J60" s="46"/>
      <c r="K60" s="46"/>
      <c r="L60" s="46"/>
      <c r="M60" s="46"/>
      <c r="N60" s="46"/>
      <c r="O60" s="46"/>
      <c r="P60" s="46"/>
      <c r="Q60" s="46"/>
      <c r="R60" s="46"/>
      <c r="S60" s="46"/>
      <c r="T60" s="46"/>
      <c r="U60" s="46"/>
      <c r="V60" s="46"/>
      <c r="W60" s="46"/>
      <c r="X60" s="46"/>
      <c r="Y60" s="46"/>
      <c r="Z60" s="46"/>
    </row>
    <row r="61" ht="22.5" customHeight="1">
      <c r="A61" s="47">
        <v>705900.0</v>
      </c>
      <c r="B61" s="47">
        <v>67900.0</v>
      </c>
      <c r="C61" s="48">
        <v>0.07</v>
      </c>
      <c r="D61" s="48">
        <v>0.0962</v>
      </c>
      <c r="E61" s="49">
        <f t="shared" si="1"/>
        <v>0.001469298416</v>
      </c>
      <c r="F61" s="49">
        <f t="shared" si="2"/>
        <v>0.0001028508891</v>
      </c>
      <c r="G61" s="49">
        <f t="shared" si="3"/>
        <v>0.0001413465076</v>
      </c>
      <c r="H61" s="46"/>
      <c r="I61" s="46"/>
      <c r="J61" s="46"/>
      <c r="K61" s="46"/>
      <c r="L61" s="46"/>
      <c r="M61" s="46"/>
      <c r="N61" s="46"/>
      <c r="O61" s="46"/>
      <c r="P61" s="46"/>
      <c r="Q61" s="46"/>
      <c r="R61" s="46"/>
      <c r="S61" s="46"/>
      <c r="T61" s="46"/>
      <c r="U61" s="46"/>
      <c r="V61" s="46"/>
      <c r="W61" s="46"/>
      <c r="X61" s="46"/>
      <c r="Y61" s="46"/>
      <c r="Z61" s="46"/>
    </row>
    <row r="62" ht="22.5" customHeight="1">
      <c r="A62" s="47">
        <v>2341548.49</v>
      </c>
      <c r="B62" s="47">
        <v>336127.49</v>
      </c>
      <c r="C62" s="48">
        <v>0.1</v>
      </c>
      <c r="D62" s="48">
        <v>0.1435</v>
      </c>
      <c r="E62" s="49">
        <f t="shared" si="1"/>
        <v>0.004873825595</v>
      </c>
      <c r="F62" s="49">
        <f t="shared" si="2"/>
        <v>0.0004873825595</v>
      </c>
      <c r="G62" s="49">
        <f t="shared" si="3"/>
        <v>0.0006993939729</v>
      </c>
      <c r="H62" s="46"/>
      <c r="I62" s="46"/>
      <c r="J62" s="46"/>
      <c r="K62" s="46"/>
      <c r="L62" s="46"/>
      <c r="M62" s="46"/>
      <c r="N62" s="46"/>
      <c r="O62" s="46"/>
      <c r="P62" s="46"/>
      <c r="Q62" s="46"/>
      <c r="R62" s="46"/>
      <c r="S62" s="46"/>
      <c r="T62" s="46"/>
      <c r="U62" s="46"/>
      <c r="V62" s="46"/>
      <c r="W62" s="46"/>
      <c r="X62" s="46"/>
      <c r="Y62" s="46"/>
      <c r="Z62" s="46"/>
    </row>
    <row r="63" ht="22.5" customHeight="1">
      <c r="A63" s="47">
        <v>942680.0</v>
      </c>
      <c r="B63" s="47">
        <v>267600.0</v>
      </c>
      <c r="C63" s="48">
        <v>0.07</v>
      </c>
      <c r="D63" s="48">
        <v>0.2839</v>
      </c>
      <c r="E63" s="49">
        <f t="shared" si="1"/>
        <v>0.001962145107</v>
      </c>
      <c r="F63" s="49">
        <f t="shared" si="2"/>
        <v>0.0001373501575</v>
      </c>
      <c r="G63" s="49">
        <f t="shared" si="3"/>
        <v>0.0005570529958</v>
      </c>
      <c r="H63" s="46"/>
      <c r="I63" s="46"/>
      <c r="J63" s="46"/>
      <c r="K63" s="46"/>
      <c r="L63" s="46"/>
      <c r="M63" s="46"/>
      <c r="N63" s="46"/>
      <c r="O63" s="46"/>
      <c r="P63" s="46"/>
      <c r="Q63" s="46"/>
      <c r="R63" s="46"/>
      <c r="S63" s="46"/>
      <c r="T63" s="46"/>
      <c r="U63" s="46"/>
      <c r="V63" s="46"/>
      <c r="W63" s="46"/>
      <c r="X63" s="46"/>
      <c r="Y63" s="46"/>
      <c r="Z63" s="46"/>
    </row>
    <row r="64" ht="22.5" customHeight="1">
      <c r="A64" s="47">
        <v>593326.25</v>
      </c>
      <c r="B64" s="47">
        <v>75600.0</v>
      </c>
      <c r="C64" s="48">
        <v>0.04</v>
      </c>
      <c r="D64" s="48">
        <v>0.1274</v>
      </c>
      <c r="E64" s="49">
        <f t="shared" si="1"/>
        <v>0.001234981328</v>
      </c>
      <c r="F64" s="49">
        <f t="shared" si="2"/>
        <v>0.00004939925311</v>
      </c>
      <c r="G64" s="49">
        <f t="shared" si="3"/>
        <v>0.0001573366212</v>
      </c>
      <c r="H64" s="46"/>
      <c r="I64" s="46"/>
      <c r="J64" s="46"/>
      <c r="K64" s="46"/>
      <c r="L64" s="46"/>
      <c r="M64" s="46"/>
      <c r="N64" s="46"/>
      <c r="O64" s="46"/>
      <c r="P64" s="46"/>
      <c r="Q64" s="46"/>
      <c r="R64" s="46"/>
      <c r="S64" s="46"/>
      <c r="T64" s="46"/>
      <c r="U64" s="46"/>
      <c r="V64" s="46"/>
      <c r="W64" s="46"/>
      <c r="X64" s="46"/>
      <c r="Y64" s="46"/>
      <c r="Z64" s="46"/>
    </row>
    <row r="65" ht="22.5" customHeight="1">
      <c r="A65" s="47">
        <v>542500.0</v>
      </c>
      <c r="B65" s="47">
        <v>17000.0</v>
      </c>
      <c r="C65" s="48">
        <v>0.02</v>
      </c>
      <c r="D65" s="48">
        <v>0.0313</v>
      </c>
      <c r="E65" s="49">
        <f t="shared" si="1"/>
        <v>0.001129188824</v>
      </c>
      <c r="F65" s="49">
        <f t="shared" si="2"/>
        <v>0.00002258377648</v>
      </c>
      <c r="G65" s="49">
        <f t="shared" si="3"/>
        <v>0.00003534361018</v>
      </c>
      <c r="H65" s="46"/>
      <c r="I65" s="46"/>
      <c r="J65" s="46"/>
      <c r="K65" s="46"/>
      <c r="L65" s="46"/>
      <c r="M65" s="46"/>
      <c r="N65" s="46"/>
      <c r="O65" s="46"/>
      <c r="P65" s="46"/>
      <c r="Q65" s="46"/>
      <c r="R65" s="46"/>
      <c r="S65" s="46"/>
      <c r="T65" s="46"/>
      <c r="U65" s="46"/>
      <c r="V65" s="46"/>
      <c r="W65" s="46"/>
      <c r="X65" s="46"/>
      <c r="Y65" s="46"/>
      <c r="Z65" s="46"/>
    </row>
    <row r="66" ht="22.5" customHeight="1">
      <c r="A66" s="47">
        <v>479900.0</v>
      </c>
      <c r="B66" s="47">
        <v>47500.0</v>
      </c>
      <c r="C66" s="48">
        <v>0.03</v>
      </c>
      <c r="D66" s="48">
        <v>0.099</v>
      </c>
      <c r="E66" s="49">
        <f t="shared" si="1"/>
        <v>0.0009988898001</v>
      </c>
      <c r="F66" s="49">
        <f t="shared" si="2"/>
        <v>0.000029966694</v>
      </c>
      <c r="G66" s="49">
        <f t="shared" si="3"/>
        <v>0.00009889009021</v>
      </c>
      <c r="H66" s="46"/>
      <c r="I66" s="46"/>
      <c r="J66" s="46"/>
      <c r="K66" s="46"/>
      <c r="L66" s="46"/>
      <c r="M66" s="46"/>
      <c r="N66" s="46"/>
      <c r="O66" s="46"/>
      <c r="P66" s="46"/>
      <c r="Q66" s="46"/>
      <c r="R66" s="46"/>
      <c r="S66" s="46"/>
      <c r="T66" s="46"/>
      <c r="U66" s="46"/>
      <c r="V66" s="46"/>
      <c r="W66" s="46"/>
      <c r="X66" s="46"/>
      <c r="Y66" s="46"/>
      <c r="Z66" s="46"/>
    </row>
    <row r="67" ht="22.5" customHeight="1">
      <c r="A67" s="47">
        <v>1355476.5</v>
      </c>
      <c r="B67" s="47">
        <v>188025.0</v>
      </c>
      <c r="C67" s="48">
        <v>0.08</v>
      </c>
      <c r="D67" s="48">
        <v>0.1387</v>
      </c>
      <c r="E67" s="49">
        <f t="shared" si="1"/>
        <v>0.002821362055</v>
      </c>
      <c r="F67" s="49">
        <f t="shared" si="2"/>
        <v>0.0002257089644</v>
      </c>
      <c r="G67" s="49">
        <f t="shared" si="3"/>
        <v>0.000391322917</v>
      </c>
      <c r="H67" s="46"/>
      <c r="I67" s="46"/>
      <c r="J67" s="46"/>
      <c r="K67" s="46"/>
      <c r="L67" s="46"/>
      <c r="M67" s="46"/>
      <c r="N67" s="46"/>
      <c r="O67" s="46"/>
      <c r="P67" s="46"/>
      <c r="Q67" s="46"/>
      <c r="R67" s="46"/>
      <c r="S67" s="46"/>
      <c r="T67" s="46"/>
      <c r="U67" s="46"/>
      <c r="V67" s="46"/>
      <c r="W67" s="46"/>
      <c r="X67" s="46"/>
      <c r="Y67" s="46"/>
      <c r="Z67" s="46"/>
    </row>
    <row r="68" ht="22.5" customHeight="1">
      <c r="A68" s="47">
        <v>271200.0</v>
      </c>
      <c r="B68" s="47">
        <v>58600.0</v>
      </c>
      <c r="C68" s="48">
        <v>0.03</v>
      </c>
      <c r="D68" s="48">
        <v>0.2161</v>
      </c>
      <c r="E68" s="49">
        <f t="shared" si="1"/>
        <v>0.0005644903392</v>
      </c>
      <c r="F68" s="49">
        <f t="shared" si="2"/>
        <v>0.00001693471018</v>
      </c>
      <c r="G68" s="49">
        <f t="shared" si="3"/>
        <v>0.0001219863623</v>
      </c>
      <c r="H68" s="46"/>
      <c r="I68" s="46"/>
      <c r="J68" s="46"/>
      <c r="K68" s="46"/>
      <c r="L68" s="46"/>
      <c r="M68" s="46"/>
      <c r="N68" s="46"/>
      <c r="O68" s="46"/>
      <c r="P68" s="46"/>
      <c r="Q68" s="46"/>
      <c r="R68" s="46"/>
      <c r="S68" s="46"/>
      <c r="T68" s="46"/>
      <c r="U68" s="46"/>
      <c r="V68" s="46"/>
      <c r="W68" s="46"/>
      <c r="X68" s="46"/>
      <c r="Y68" s="46"/>
      <c r="Z68" s="46"/>
    </row>
    <row r="69" ht="22.5" customHeight="1">
      <c r="A69" s="47">
        <v>703690.0</v>
      </c>
      <c r="B69" s="47">
        <v>474490.0</v>
      </c>
      <c r="C69" s="48">
        <v>0.06</v>
      </c>
      <c r="D69" s="48">
        <v>0.6743</v>
      </c>
      <c r="E69" s="49">
        <f t="shared" si="1"/>
        <v>0.001464698403</v>
      </c>
      <c r="F69" s="49">
        <f t="shared" si="2"/>
        <v>0.00008788190415</v>
      </c>
      <c r="G69" s="49">
        <f t="shared" si="3"/>
        <v>0.0009876461329</v>
      </c>
      <c r="H69" s="46"/>
      <c r="I69" s="46"/>
      <c r="J69" s="46"/>
      <c r="K69" s="46"/>
      <c r="L69" s="46"/>
      <c r="M69" s="46"/>
      <c r="N69" s="46"/>
      <c r="O69" s="46"/>
      <c r="P69" s="46"/>
      <c r="Q69" s="46"/>
      <c r="R69" s="46"/>
      <c r="S69" s="46"/>
      <c r="T69" s="46"/>
      <c r="U69" s="46"/>
      <c r="V69" s="46"/>
      <c r="W69" s="46"/>
      <c r="X69" s="46"/>
      <c r="Y69" s="46"/>
      <c r="Z69" s="46"/>
    </row>
    <row r="70" ht="22.5" customHeight="1">
      <c r="A70" s="47">
        <v>632465.0</v>
      </c>
      <c r="B70" s="47">
        <v>104400.0</v>
      </c>
      <c r="C70" s="48">
        <v>0.05</v>
      </c>
      <c r="D70" s="48">
        <v>0.1651</v>
      </c>
      <c r="E70" s="49">
        <f t="shared" si="1"/>
        <v>0.001316446838</v>
      </c>
      <c r="F70" s="49">
        <f t="shared" si="2"/>
        <v>0.00006582234188</v>
      </c>
      <c r="G70" s="49">
        <f t="shared" si="3"/>
        <v>0.0002173453729</v>
      </c>
      <c r="H70" s="46"/>
      <c r="I70" s="46"/>
      <c r="J70" s="46"/>
      <c r="K70" s="46"/>
      <c r="L70" s="46"/>
      <c r="M70" s="46"/>
      <c r="N70" s="46"/>
      <c r="O70" s="46"/>
      <c r="P70" s="46"/>
      <c r="Q70" s="46"/>
      <c r="R70" s="46"/>
      <c r="S70" s="46"/>
      <c r="T70" s="46"/>
      <c r="U70" s="46"/>
      <c r="V70" s="46"/>
      <c r="W70" s="46"/>
      <c r="X70" s="46"/>
      <c r="Y70" s="46"/>
      <c r="Z70" s="46"/>
    </row>
    <row r="71" ht="22.5" customHeight="1">
      <c r="A71" s="47">
        <v>574772.0</v>
      </c>
      <c r="B71" s="47">
        <v>57300.0</v>
      </c>
      <c r="C71" s="48">
        <v>0.09</v>
      </c>
      <c r="D71" s="48">
        <v>0.0997</v>
      </c>
      <c r="E71" s="49">
        <f t="shared" si="1"/>
        <v>0.001196361509</v>
      </c>
      <c r="F71" s="49">
        <f t="shared" si="2"/>
        <v>0.0001076725358</v>
      </c>
      <c r="G71" s="49">
        <f t="shared" si="3"/>
        <v>0.0001192772424</v>
      </c>
      <c r="H71" s="46"/>
      <c r="I71" s="46"/>
      <c r="J71" s="46"/>
      <c r="K71" s="46"/>
      <c r="L71" s="46"/>
      <c r="M71" s="46"/>
      <c r="N71" s="46"/>
      <c r="O71" s="46"/>
      <c r="P71" s="46"/>
      <c r="Q71" s="46"/>
      <c r="R71" s="46"/>
      <c r="S71" s="46"/>
      <c r="T71" s="46"/>
      <c r="U71" s="46"/>
      <c r="V71" s="46"/>
      <c r="W71" s="46"/>
      <c r="X71" s="46"/>
      <c r="Y71" s="46"/>
      <c r="Z71" s="46"/>
    </row>
    <row r="72" ht="22.5" customHeight="1">
      <c r="A72" s="47">
        <v>292457.0</v>
      </c>
      <c r="B72" s="47">
        <v>57180.0</v>
      </c>
      <c r="C72" s="48">
        <v>0.02</v>
      </c>
      <c r="D72" s="48">
        <v>0.1955</v>
      </c>
      <c r="E72" s="49">
        <f t="shared" si="1"/>
        <v>0.000608735808</v>
      </c>
      <c r="F72" s="49">
        <f t="shared" si="2"/>
        <v>0.00001217471616</v>
      </c>
      <c r="G72" s="49">
        <f t="shared" si="3"/>
        <v>0.0001190078505</v>
      </c>
      <c r="H72" s="46"/>
      <c r="I72" s="46"/>
      <c r="J72" s="46"/>
      <c r="K72" s="46"/>
      <c r="L72" s="46"/>
      <c r="M72" s="46"/>
      <c r="N72" s="46"/>
      <c r="O72" s="46"/>
      <c r="P72" s="46"/>
      <c r="Q72" s="46"/>
      <c r="R72" s="46"/>
      <c r="S72" s="46"/>
      <c r="T72" s="46"/>
      <c r="U72" s="46"/>
      <c r="V72" s="46"/>
      <c r="W72" s="46"/>
      <c r="X72" s="46"/>
      <c r="Y72" s="46"/>
      <c r="Z72" s="46"/>
    </row>
    <row r="73" ht="22.5" customHeight="1">
      <c r="A73" s="47">
        <v>213560.0</v>
      </c>
      <c r="B73" s="47">
        <v>75400.0</v>
      </c>
      <c r="C73" s="48">
        <v>0.02</v>
      </c>
      <c r="D73" s="48">
        <v>0.3531</v>
      </c>
      <c r="E73" s="49">
        <f t="shared" si="1"/>
        <v>0.0004445153276</v>
      </c>
      <c r="F73" s="49">
        <f t="shared" si="2"/>
        <v>0.000008890306551</v>
      </c>
      <c r="G73" s="49">
        <f t="shared" si="3"/>
        <v>0.0001569583622</v>
      </c>
      <c r="H73" s="46"/>
      <c r="I73" s="46"/>
      <c r="J73" s="46"/>
      <c r="K73" s="46"/>
      <c r="L73" s="46"/>
      <c r="M73" s="46"/>
      <c r="N73" s="46"/>
      <c r="O73" s="46"/>
      <c r="P73" s="46"/>
      <c r="Q73" s="46"/>
      <c r="R73" s="46"/>
      <c r="S73" s="46"/>
      <c r="T73" s="46"/>
      <c r="U73" s="46"/>
      <c r="V73" s="46"/>
      <c r="W73" s="46"/>
      <c r="X73" s="46"/>
      <c r="Y73" s="46"/>
      <c r="Z73" s="46"/>
    </row>
    <row r="74" ht="22.5" customHeight="1">
      <c r="A74" s="47">
        <v>519335.0</v>
      </c>
      <c r="B74" s="47">
        <v>36529.0</v>
      </c>
      <c r="C74" s="48">
        <v>0.07</v>
      </c>
      <c r="D74" s="48">
        <v>0.0703</v>
      </c>
      <c r="E74" s="49">
        <f t="shared" si="1"/>
        <v>0.001080971941</v>
      </c>
      <c r="F74" s="49">
        <f t="shared" si="2"/>
        <v>0.00007566803584</v>
      </c>
      <c r="G74" s="49">
        <f t="shared" si="3"/>
        <v>0.00007599232743</v>
      </c>
      <c r="H74" s="46"/>
      <c r="I74" s="46"/>
      <c r="J74" s="46"/>
      <c r="K74" s="46"/>
      <c r="L74" s="46"/>
      <c r="M74" s="46"/>
      <c r="N74" s="46"/>
      <c r="O74" s="46"/>
      <c r="P74" s="46"/>
      <c r="Q74" s="46"/>
      <c r="R74" s="46"/>
      <c r="S74" s="46"/>
      <c r="T74" s="46"/>
      <c r="U74" s="46"/>
      <c r="V74" s="46"/>
      <c r="W74" s="46"/>
      <c r="X74" s="46"/>
      <c r="Y74" s="46"/>
      <c r="Z74" s="46"/>
    </row>
    <row r="75" ht="22.5" customHeight="1">
      <c r="A75" s="47">
        <v>575680.0</v>
      </c>
      <c r="B75" s="47">
        <v>29860.0</v>
      </c>
      <c r="C75" s="48">
        <v>0.04</v>
      </c>
      <c r="D75" s="48">
        <v>0.0519</v>
      </c>
      <c r="E75" s="49">
        <f t="shared" si="1"/>
        <v>0.001198251469</v>
      </c>
      <c r="F75" s="49">
        <f t="shared" si="2"/>
        <v>0.00004793005877</v>
      </c>
      <c r="G75" s="49">
        <f t="shared" si="3"/>
        <v>0.00006218925125</v>
      </c>
      <c r="H75" s="46"/>
      <c r="I75" s="46"/>
      <c r="J75" s="46"/>
      <c r="K75" s="46"/>
      <c r="L75" s="46"/>
      <c r="M75" s="46"/>
      <c r="N75" s="46"/>
      <c r="O75" s="46"/>
      <c r="P75" s="46"/>
      <c r="Q75" s="46"/>
      <c r="R75" s="46"/>
      <c r="S75" s="46"/>
      <c r="T75" s="46"/>
      <c r="U75" s="46"/>
      <c r="V75" s="46"/>
      <c r="W75" s="46"/>
      <c r="X75" s="46"/>
      <c r="Y75" s="46"/>
      <c r="Z75" s="46"/>
    </row>
    <row r="76" ht="22.5" customHeight="1">
      <c r="A76" s="47">
        <v>478902.04</v>
      </c>
      <c r="B76" s="47">
        <v>59900.0</v>
      </c>
      <c r="C76" s="48">
        <v>0.02</v>
      </c>
      <c r="D76" s="48">
        <v>0.1251</v>
      </c>
      <c r="E76" s="49">
        <f t="shared" si="1"/>
        <v>0.0009968125922</v>
      </c>
      <c r="F76" s="49">
        <f t="shared" si="2"/>
        <v>0.00001993625184</v>
      </c>
      <c r="G76" s="49">
        <f t="shared" si="3"/>
        <v>0.0001247012553</v>
      </c>
      <c r="H76" s="46"/>
      <c r="I76" s="46"/>
      <c r="J76" s="46"/>
      <c r="K76" s="46"/>
      <c r="L76" s="46"/>
      <c r="M76" s="46"/>
      <c r="N76" s="46"/>
      <c r="O76" s="46"/>
      <c r="P76" s="46"/>
      <c r="Q76" s="46"/>
      <c r="R76" s="46"/>
      <c r="S76" s="46"/>
      <c r="T76" s="46"/>
      <c r="U76" s="46"/>
      <c r="V76" s="46"/>
      <c r="W76" s="46"/>
      <c r="X76" s="46"/>
      <c r="Y76" s="46"/>
      <c r="Z76" s="46"/>
    </row>
    <row r="77" ht="22.5" customHeight="1">
      <c r="A77" s="47">
        <v>548500.0</v>
      </c>
      <c r="B77" s="47">
        <v>72300.0</v>
      </c>
      <c r="C77" s="48">
        <v>0.07</v>
      </c>
      <c r="D77" s="48">
        <v>0.1318</v>
      </c>
      <c r="E77" s="49">
        <f t="shared" si="1"/>
        <v>0.001141677548</v>
      </c>
      <c r="F77" s="49">
        <f t="shared" si="2"/>
        <v>0.00007991742837</v>
      </c>
      <c r="G77" s="49">
        <f t="shared" si="3"/>
        <v>0.0001504731008</v>
      </c>
      <c r="H77" s="46"/>
      <c r="I77" s="46"/>
      <c r="J77" s="46"/>
      <c r="K77" s="46"/>
      <c r="L77" s="46"/>
      <c r="M77" s="46"/>
      <c r="N77" s="46"/>
      <c r="O77" s="46"/>
      <c r="P77" s="46"/>
      <c r="Q77" s="46"/>
      <c r="R77" s="46"/>
      <c r="S77" s="46"/>
      <c r="T77" s="46"/>
      <c r="U77" s="46"/>
      <c r="V77" s="46"/>
      <c r="W77" s="46"/>
      <c r="X77" s="46"/>
      <c r="Y77" s="46"/>
      <c r="Z77" s="46"/>
    </row>
    <row r="78" ht="22.5" customHeight="1">
      <c r="A78" s="47">
        <v>859089.0</v>
      </c>
      <c r="B78" s="47">
        <v>24000.0</v>
      </c>
      <c r="C78" s="48">
        <v>0.05</v>
      </c>
      <c r="D78" s="48">
        <v>0.0279</v>
      </c>
      <c r="E78" s="49">
        <f t="shared" si="1"/>
        <v>0.001788154281</v>
      </c>
      <c r="F78" s="49">
        <f t="shared" si="2"/>
        <v>0.00008940771405</v>
      </c>
      <c r="G78" s="49">
        <f t="shared" si="3"/>
        <v>0.00004988950444</v>
      </c>
      <c r="H78" s="46"/>
      <c r="I78" s="46"/>
      <c r="J78" s="46"/>
      <c r="K78" s="46"/>
      <c r="L78" s="46"/>
      <c r="M78" s="46"/>
      <c r="N78" s="46"/>
      <c r="O78" s="46"/>
      <c r="P78" s="46"/>
      <c r="Q78" s="46"/>
      <c r="R78" s="46"/>
      <c r="S78" s="46"/>
      <c r="T78" s="46"/>
      <c r="U78" s="46"/>
      <c r="V78" s="46"/>
      <c r="W78" s="46"/>
      <c r="X78" s="46"/>
      <c r="Y78" s="46"/>
      <c r="Z78" s="46"/>
    </row>
    <row r="79" ht="22.5" customHeight="1">
      <c r="A79" s="47">
        <v>956735.0</v>
      </c>
      <c r="B79" s="47">
        <v>76540.0</v>
      </c>
      <c r="C79" s="48">
        <v>0.08</v>
      </c>
      <c r="D79" s="48">
        <v>0.08</v>
      </c>
      <c r="E79" s="49">
        <f t="shared" si="1"/>
        <v>0.001991399943</v>
      </c>
      <c r="F79" s="49">
        <f t="shared" si="2"/>
        <v>0.0001593119955</v>
      </c>
      <c r="G79" s="49">
        <f t="shared" si="3"/>
        <v>0.0001593119955</v>
      </c>
      <c r="H79" s="46"/>
      <c r="I79" s="46"/>
      <c r="J79" s="46"/>
      <c r="K79" s="46"/>
      <c r="L79" s="46"/>
      <c r="M79" s="46"/>
      <c r="N79" s="46"/>
      <c r="O79" s="46"/>
      <c r="P79" s="46"/>
      <c r="Q79" s="46"/>
      <c r="R79" s="46"/>
      <c r="S79" s="46"/>
      <c r="T79" s="46"/>
      <c r="U79" s="46"/>
      <c r="V79" s="46"/>
      <c r="W79" s="46"/>
      <c r="X79" s="46"/>
      <c r="Y79" s="46"/>
      <c r="Z79" s="46"/>
    </row>
    <row r="80" ht="22.5" customHeight="1">
      <c r="A80" s="47">
        <v>227375.0</v>
      </c>
      <c r="B80" s="47">
        <v>15740.0</v>
      </c>
      <c r="C80" s="48">
        <v>0.06</v>
      </c>
      <c r="D80" s="48">
        <v>0.0692</v>
      </c>
      <c r="E80" s="49">
        <f t="shared" si="1"/>
        <v>0.0004732706153</v>
      </c>
      <c r="F80" s="49">
        <f t="shared" si="2"/>
        <v>0.00002839623692</v>
      </c>
      <c r="G80" s="49">
        <f t="shared" si="3"/>
        <v>0.00003275032658</v>
      </c>
      <c r="H80" s="46"/>
      <c r="I80" s="46"/>
      <c r="J80" s="46"/>
      <c r="K80" s="46"/>
      <c r="L80" s="46"/>
      <c r="M80" s="46"/>
      <c r="N80" s="46"/>
      <c r="O80" s="46"/>
      <c r="P80" s="46"/>
      <c r="Q80" s="46"/>
      <c r="R80" s="46"/>
      <c r="S80" s="46"/>
      <c r="T80" s="46"/>
      <c r="U80" s="46"/>
      <c r="V80" s="46"/>
      <c r="W80" s="46"/>
      <c r="X80" s="46"/>
      <c r="Y80" s="46"/>
      <c r="Z80" s="46"/>
    </row>
    <row r="81" ht="22.5" customHeight="1">
      <c r="A81" s="47">
        <v>473484.5</v>
      </c>
      <c r="B81" s="47">
        <v>96194.5</v>
      </c>
      <c r="C81" s="48">
        <v>0.02</v>
      </c>
      <c r="D81" s="48">
        <v>0.2032</v>
      </c>
      <c r="E81" s="49">
        <f t="shared" si="1"/>
        <v>0.0009855362316</v>
      </c>
      <c r="F81" s="49">
        <f t="shared" si="2"/>
        <v>0.00001971072463</v>
      </c>
      <c r="G81" s="49">
        <f t="shared" si="3"/>
        <v>0.0002002609623</v>
      </c>
      <c r="H81" s="46"/>
      <c r="I81" s="46"/>
      <c r="J81" s="46"/>
      <c r="K81" s="46"/>
      <c r="L81" s="46"/>
      <c r="M81" s="46"/>
      <c r="N81" s="46"/>
      <c r="O81" s="46"/>
      <c r="P81" s="46"/>
      <c r="Q81" s="46"/>
      <c r="R81" s="46"/>
      <c r="S81" s="46"/>
      <c r="T81" s="46"/>
      <c r="U81" s="46"/>
      <c r="V81" s="46"/>
      <c r="W81" s="46"/>
      <c r="X81" s="46"/>
      <c r="Y81" s="46"/>
      <c r="Z81" s="46"/>
    </row>
    <row r="82" ht="22.5" customHeight="1">
      <c r="A82" s="47">
        <v>540200.0</v>
      </c>
      <c r="B82" s="47">
        <v>28200.0</v>
      </c>
      <c r="C82" s="48">
        <v>0.03</v>
      </c>
      <c r="D82" s="48">
        <v>0.0522</v>
      </c>
      <c r="E82" s="49">
        <f t="shared" si="1"/>
        <v>0.001124401479</v>
      </c>
      <c r="F82" s="49">
        <f t="shared" si="2"/>
        <v>0.00003373204438</v>
      </c>
      <c r="G82" s="49">
        <f t="shared" si="3"/>
        <v>0.00005869375723</v>
      </c>
      <c r="H82" s="46"/>
      <c r="I82" s="46"/>
      <c r="J82" s="46"/>
      <c r="K82" s="46"/>
      <c r="L82" s="46"/>
      <c r="M82" s="46"/>
      <c r="N82" s="46"/>
      <c r="O82" s="46"/>
      <c r="P82" s="46"/>
      <c r="Q82" s="46"/>
      <c r="R82" s="46"/>
      <c r="S82" s="46"/>
      <c r="T82" s="46"/>
      <c r="U82" s="46"/>
      <c r="V82" s="46"/>
      <c r="W82" s="46"/>
      <c r="X82" s="46"/>
      <c r="Y82" s="46"/>
      <c r="Z82" s="46"/>
    </row>
    <row r="83" ht="22.5" customHeight="1">
      <c r="A83" s="47">
        <v>291115.0</v>
      </c>
      <c r="B83" s="47">
        <v>22800.0</v>
      </c>
      <c r="C83" s="48">
        <v>0.05</v>
      </c>
      <c r="D83" s="48">
        <v>0.0783</v>
      </c>
      <c r="E83" s="49">
        <f t="shared" si="1"/>
        <v>0.0006059424966</v>
      </c>
      <c r="F83" s="49">
        <f t="shared" si="2"/>
        <v>0.00003029712483</v>
      </c>
      <c r="G83" s="49">
        <f t="shared" si="3"/>
        <v>0.00004744529749</v>
      </c>
      <c r="H83" s="46"/>
      <c r="I83" s="46"/>
      <c r="J83" s="46"/>
      <c r="K83" s="46"/>
      <c r="L83" s="46"/>
      <c r="M83" s="46"/>
      <c r="N83" s="46"/>
      <c r="O83" s="46"/>
      <c r="P83" s="46"/>
      <c r="Q83" s="46"/>
      <c r="R83" s="46"/>
      <c r="S83" s="46"/>
      <c r="T83" s="46"/>
      <c r="U83" s="46"/>
      <c r="V83" s="46"/>
      <c r="W83" s="46"/>
      <c r="X83" s="46"/>
      <c r="Y83" s="46"/>
      <c r="Z83" s="46"/>
    </row>
    <row r="84" ht="22.5" customHeight="1">
      <c r="A84" s="47">
        <v>663540.0</v>
      </c>
      <c r="B84" s="47">
        <v>116050.0</v>
      </c>
      <c r="C84" s="48">
        <v>0.06</v>
      </c>
      <c r="D84" s="48">
        <v>0.1749</v>
      </c>
      <c r="E84" s="49">
        <f t="shared" si="1"/>
        <v>0.001381128022</v>
      </c>
      <c r="F84" s="49">
        <f t="shared" si="2"/>
        <v>0.00008286768134</v>
      </c>
      <c r="G84" s="49">
        <f t="shared" si="3"/>
        <v>0.0002415592911</v>
      </c>
      <c r="H84" s="46"/>
      <c r="I84" s="46"/>
      <c r="J84" s="46"/>
      <c r="K84" s="46"/>
      <c r="L84" s="46"/>
      <c r="M84" s="46"/>
      <c r="N84" s="46"/>
      <c r="O84" s="46"/>
      <c r="P84" s="46"/>
      <c r="Q84" s="46"/>
      <c r="R84" s="46"/>
      <c r="S84" s="46"/>
      <c r="T84" s="46"/>
      <c r="U84" s="46"/>
      <c r="V84" s="46"/>
      <c r="W84" s="46"/>
      <c r="X84" s="46"/>
      <c r="Y84" s="46"/>
      <c r="Z84" s="46"/>
    </row>
    <row r="85" ht="22.5" customHeight="1">
      <c r="A85" s="47">
        <v>597800.0</v>
      </c>
      <c r="B85" s="47">
        <v>128600.0</v>
      </c>
      <c r="C85" s="48">
        <v>0.02</v>
      </c>
      <c r="D85" s="48">
        <v>0.2151</v>
      </c>
      <c r="E85" s="49">
        <f t="shared" si="1"/>
        <v>0.001244293233</v>
      </c>
      <c r="F85" s="49">
        <f t="shared" si="2"/>
        <v>0.00002488586466</v>
      </c>
      <c r="G85" s="49">
        <f t="shared" si="3"/>
        <v>0.0002676474744</v>
      </c>
      <c r="H85" s="46"/>
      <c r="I85" s="46"/>
      <c r="J85" s="46"/>
      <c r="K85" s="46"/>
      <c r="L85" s="46"/>
      <c r="M85" s="46"/>
      <c r="N85" s="46"/>
      <c r="O85" s="46"/>
      <c r="P85" s="46"/>
      <c r="Q85" s="46"/>
      <c r="R85" s="46"/>
      <c r="S85" s="46"/>
      <c r="T85" s="46"/>
      <c r="U85" s="46"/>
      <c r="V85" s="46"/>
      <c r="W85" s="46"/>
      <c r="X85" s="46"/>
      <c r="Y85" s="46"/>
      <c r="Z85" s="46"/>
    </row>
    <row r="86" ht="22.5" customHeight="1">
      <c r="A86" s="47">
        <v>125600.0</v>
      </c>
      <c r="B86" s="47">
        <v>29900.0</v>
      </c>
      <c r="C86" s="48">
        <v>0.02</v>
      </c>
      <c r="D86" s="48">
        <v>0.2381</v>
      </c>
      <c r="E86" s="49">
        <f t="shared" si="1"/>
        <v>0.0002614306291</v>
      </c>
      <c r="F86" s="49">
        <f t="shared" si="2"/>
        <v>0.000005228612581</v>
      </c>
      <c r="G86" s="49">
        <f t="shared" si="3"/>
        <v>0.00006224663278</v>
      </c>
      <c r="H86" s="46"/>
      <c r="I86" s="46"/>
      <c r="J86" s="46"/>
      <c r="K86" s="46"/>
      <c r="L86" s="46"/>
      <c r="M86" s="46"/>
      <c r="N86" s="46"/>
      <c r="O86" s="46"/>
      <c r="P86" s="46"/>
      <c r="Q86" s="46"/>
      <c r="R86" s="46"/>
      <c r="S86" s="46"/>
      <c r="T86" s="46"/>
      <c r="U86" s="46"/>
      <c r="V86" s="46"/>
      <c r="W86" s="46"/>
      <c r="X86" s="46"/>
      <c r="Y86" s="46"/>
      <c r="Z86" s="46"/>
    </row>
    <row r="87" ht="22.5" customHeight="1">
      <c r="A87" s="47">
        <v>451400.0</v>
      </c>
      <c r="B87" s="47">
        <v>88800.0</v>
      </c>
      <c r="C87" s="48">
        <v>0.07</v>
      </c>
      <c r="D87" s="48">
        <v>0.1967</v>
      </c>
      <c r="E87" s="49">
        <f t="shared" si="1"/>
        <v>0.0009395683595</v>
      </c>
      <c r="F87" s="49">
        <f t="shared" si="2"/>
        <v>0.00006576978517</v>
      </c>
      <c r="G87" s="49">
        <f t="shared" si="3"/>
        <v>0.0001848130963</v>
      </c>
      <c r="H87" s="46"/>
      <c r="I87" s="46"/>
      <c r="J87" s="46"/>
      <c r="K87" s="46"/>
      <c r="L87" s="46"/>
      <c r="M87" s="46"/>
      <c r="N87" s="46"/>
      <c r="O87" s="46"/>
      <c r="P87" s="46"/>
      <c r="Q87" s="46"/>
      <c r="R87" s="46"/>
      <c r="S87" s="46"/>
      <c r="T87" s="46"/>
      <c r="U87" s="46"/>
      <c r="V87" s="46"/>
      <c r="W87" s="46"/>
      <c r="X87" s="46"/>
      <c r="Y87" s="46"/>
      <c r="Z87" s="46"/>
    </row>
    <row r="88" ht="22.5" customHeight="1">
      <c r="A88" s="47">
        <v>828275.0</v>
      </c>
      <c r="B88" s="47">
        <v>134800.0</v>
      </c>
      <c r="C88" s="48">
        <v>0.07</v>
      </c>
      <c r="D88" s="48">
        <v>0.1627</v>
      </c>
      <c r="E88" s="49">
        <f t="shared" si="1"/>
        <v>0.001724016356</v>
      </c>
      <c r="F88" s="49">
        <f t="shared" si="2"/>
        <v>0.0001206811449</v>
      </c>
      <c r="G88" s="49">
        <f t="shared" si="3"/>
        <v>0.0002804974611</v>
      </c>
      <c r="H88" s="46"/>
      <c r="I88" s="46"/>
      <c r="J88" s="46"/>
      <c r="K88" s="46"/>
      <c r="L88" s="46"/>
      <c r="M88" s="46"/>
      <c r="N88" s="46"/>
      <c r="O88" s="46"/>
      <c r="P88" s="46"/>
      <c r="Q88" s="46"/>
      <c r="R88" s="46"/>
      <c r="S88" s="46"/>
      <c r="T88" s="46"/>
      <c r="U88" s="46"/>
      <c r="V88" s="46"/>
      <c r="W88" s="46"/>
      <c r="X88" s="46"/>
      <c r="Y88" s="46"/>
      <c r="Z88" s="46"/>
    </row>
    <row r="89" ht="22.5" customHeight="1">
      <c r="A89" s="47">
        <v>700400.0</v>
      </c>
      <c r="B89" s="47">
        <v>32000.0</v>
      </c>
      <c r="C89" s="48">
        <v>0.04</v>
      </c>
      <c r="D89" s="48">
        <v>0.0457</v>
      </c>
      <c r="E89" s="49">
        <f t="shared" si="1"/>
        <v>0.001457850419</v>
      </c>
      <c r="F89" s="49">
        <f t="shared" si="2"/>
        <v>0.00005831401675</v>
      </c>
      <c r="G89" s="49">
        <f t="shared" si="3"/>
        <v>0.00006662376414</v>
      </c>
      <c r="H89" s="46"/>
      <c r="I89" s="46"/>
      <c r="J89" s="46"/>
      <c r="K89" s="46"/>
      <c r="L89" s="46"/>
      <c r="M89" s="46"/>
      <c r="N89" s="46"/>
      <c r="O89" s="46"/>
      <c r="P89" s="46"/>
      <c r="Q89" s="46"/>
      <c r="R89" s="46"/>
      <c r="S89" s="46"/>
      <c r="T89" s="46"/>
      <c r="U89" s="46"/>
      <c r="V89" s="46"/>
      <c r="W89" s="46"/>
      <c r="X89" s="46"/>
      <c r="Y89" s="46"/>
      <c r="Z89" s="46"/>
    </row>
    <row r="90" ht="22.5" customHeight="1">
      <c r="A90" s="47">
        <v>460335.0</v>
      </c>
      <c r="B90" s="47">
        <v>112200.0</v>
      </c>
      <c r="C90" s="48">
        <v>0.02</v>
      </c>
      <c r="D90" s="48">
        <v>0.2437</v>
      </c>
      <c r="E90" s="49">
        <f t="shared" si="1"/>
        <v>0.0009581661515</v>
      </c>
      <c r="F90" s="49">
        <f t="shared" si="2"/>
        <v>0.00001916332303</v>
      </c>
      <c r="G90" s="49">
        <f t="shared" si="3"/>
        <v>0.0002335050911</v>
      </c>
      <c r="H90" s="46"/>
      <c r="I90" s="46"/>
      <c r="J90" s="46"/>
      <c r="K90" s="46"/>
      <c r="L90" s="46"/>
      <c r="M90" s="46"/>
      <c r="N90" s="46"/>
      <c r="O90" s="46"/>
      <c r="P90" s="46"/>
      <c r="Q90" s="46"/>
      <c r="R90" s="46"/>
      <c r="S90" s="46"/>
      <c r="T90" s="46"/>
      <c r="U90" s="46"/>
      <c r="V90" s="46"/>
      <c r="W90" s="46"/>
      <c r="X90" s="46"/>
      <c r="Y90" s="46"/>
      <c r="Z90" s="46"/>
    </row>
    <row r="91" ht="22.5" customHeight="1">
      <c r="A91" s="47">
        <v>772900.0</v>
      </c>
      <c r="B91" s="47">
        <v>67220.0</v>
      </c>
      <c r="C91" s="48">
        <v>0.02</v>
      </c>
      <c r="D91" s="48">
        <v>0.087</v>
      </c>
      <c r="E91" s="49">
        <f t="shared" si="1"/>
        <v>0.001608755838</v>
      </c>
      <c r="F91" s="49">
        <f t="shared" si="2"/>
        <v>0.00003217511675</v>
      </c>
      <c r="G91" s="49">
        <f t="shared" si="3"/>
        <v>0.0001399617579</v>
      </c>
      <c r="H91" s="46"/>
      <c r="I91" s="46"/>
      <c r="J91" s="46"/>
      <c r="K91" s="46"/>
      <c r="L91" s="46"/>
      <c r="M91" s="46"/>
      <c r="N91" s="46"/>
      <c r="O91" s="46"/>
      <c r="P91" s="46"/>
      <c r="Q91" s="46"/>
      <c r="R91" s="46"/>
      <c r="S91" s="46"/>
      <c r="T91" s="46"/>
      <c r="U91" s="46"/>
      <c r="V91" s="46"/>
      <c r="W91" s="46"/>
      <c r="X91" s="46"/>
      <c r="Y91" s="46"/>
      <c r="Z91" s="46"/>
    </row>
    <row r="92" ht="22.5" customHeight="1">
      <c r="A92" s="47">
        <v>548910.0</v>
      </c>
      <c r="B92" s="47">
        <v>50300.0</v>
      </c>
      <c r="C92" s="48">
        <v>0.02</v>
      </c>
      <c r="D92" s="48">
        <v>0.0916</v>
      </c>
      <c r="E92" s="49">
        <f t="shared" si="1"/>
        <v>0.001142530944</v>
      </c>
      <c r="F92" s="49">
        <f t="shared" si="2"/>
        <v>0.00002285061889</v>
      </c>
      <c r="G92" s="49">
        <f t="shared" si="3"/>
        <v>0.0001046558345</v>
      </c>
      <c r="H92" s="46"/>
      <c r="I92" s="46"/>
      <c r="J92" s="46"/>
      <c r="K92" s="46"/>
      <c r="L92" s="46"/>
      <c r="M92" s="46"/>
      <c r="N92" s="46"/>
      <c r="O92" s="46"/>
      <c r="P92" s="46"/>
      <c r="Q92" s="46"/>
      <c r="R92" s="46"/>
      <c r="S92" s="46"/>
      <c r="T92" s="46"/>
      <c r="U92" s="46"/>
      <c r="V92" s="46"/>
      <c r="W92" s="46"/>
      <c r="X92" s="46"/>
      <c r="Y92" s="46"/>
      <c r="Z92" s="46"/>
    </row>
    <row r="93" ht="22.5" customHeight="1">
      <c r="A93" s="47">
        <v>1026995.0</v>
      </c>
      <c r="B93" s="47">
        <v>31500.0</v>
      </c>
      <c r="C93" s="48">
        <v>0.03</v>
      </c>
      <c r="D93" s="48">
        <v>0.0307</v>
      </c>
      <c r="E93" s="49">
        <f t="shared" si="1"/>
        <v>0.002137642905</v>
      </c>
      <c r="F93" s="49">
        <f t="shared" si="2"/>
        <v>0.00006412928716</v>
      </c>
      <c r="G93" s="49">
        <f t="shared" si="3"/>
        <v>0.00006562563719</v>
      </c>
      <c r="H93" s="46"/>
      <c r="I93" s="46"/>
      <c r="J93" s="46"/>
      <c r="K93" s="46"/>
      <c r="L93" s="46"/>
      <c r="M93" s="46"/>
      <c r="N93" s="46"/>
      <c r="O93" s="46"/>
      <c r="P93" s="46"/>
      <c r="Q93" s="46"/>
      <c r="R93" s="46"/>
      <c r="S93" s="46"/>
      <c r="T93" s="46"/>
      <c r="U93" s="46"/>
      <c r="V93" s="46"/>
      <c r="W93" s="46"/>
      <c r="X93" s="46"/>
      <c r="Y93" s="46"/>
      <c r="Z93" s="46"/>
    </row>
    <row r="94" ht="22.5" customHeight="1">
      <c r="A94" s="47">
        <v>3538938.0</v>
      </c>
      <c r="B94" s="47">
        <v>341619.0</v>
      </c>
      <c r="C94" s="48">
        <v>0.02</v>
      </c>
      <c r="D94" s="48">
        <v>0.0965</v>
      </c>
      <c r="E94" s="49">
        <f t="shared" si="1"/>
        <v>0.007366136844</v>
      </c>
      <c r="F94" s="49">
        <f t="shared" si="2"/>
        <v>0.0001473227369</v>
      </c>
      <c r="G94" s="49">
        <f t="shared" si="3"/>
        <v>0.0007108322054</v>
      </c>
      <c r="H94" s="46"/>
      <c r="I94" s="46"/>
      <c r="J94" s="46"/>
      <c r="K94" s="46"/>
      <c r="L94" s="46"/>
      <c r="M94" s="46"/>
      <c r="N94" s="46"/>
      <c r="O94" s="46"/>
      <c r="P94" s="46"/>
      <c r="Q94" s="46"/>
      <c r="R94" s="46"/>
      <c r="S94" s="46"/>
      <c r="T94" s="46"/>
      <c r="U94" s="46"/>
      <c r="V94" s="46"/>
      <c r="W94" s="46"/>
      <c r="X94" s="46"/>
      <c r="Y94" s="46"/>
      <c r="Z94" s="46"/>
    </row>
    <row r="95" ht="22.5" customHeight="1">
      <c r="A95" s="47">
        <v>429600.0</v>
      </c>
      <c r="B95" s="47">
        <v>25100.0</v>
      </c>
      <c r="C95" s="48">
        <v>0.03</v>
      </c>
      <c r="D95" s="48">
        <v>0.0584</v>
      </c>
      <c r="E95" s="49">
        <f t="shared" si="1"/>
        <v>0.0008941926612</v>
      </c>
      <c r="F95" s="49">
        <f t="shared" si="2"/>
        <v>0.00002682577984</v>
      </c>
      <c r="G95" s="49">
        <f t="shared" si="3"/>
        <v>0.00005222085141</v>
      </c>
      <c r="H95" s="46"/>
      <c r="I95" s="46"/>
      <c r="J95" s="46"/>
      <c r="K95" s="46"/>
      <c r="L95" s="46"/>
      <c r="M95" s="46"/>
      <c r="N95" s="46"/>
      <c r="O95" s="46"/>
      <c r="P95" s="46"/>
      <c r="Q95" s="46"/>
      <c r="R95" s="46"/>
      <c r="S95" s="46"/>
      <c r="T95" s="46"/>
      <c r="U95" s="46"/>
      <c r="V95" s="46"/>
      <c r="W95" s="46"/>
      <c r="X95" s="46"/>
      <c r="Y95" s="46"/>
      <c r="Z95" s="46"/>
    </row>
    <row r="96" ht="22.5" customHeight="1">
      <c r="A96" s="47">
        <v>472000.0</v>
      </c>
      <c r="B96" s="47">
        <v>197500.0</v>
      </c>
      <c r="C96" s="48">
        <v>0.03</v>
      </c>
      <c r="D96" s="48">
        <v>0.4184</v>
      </c>
      <c r="E96" s="49">
        <f t="shared" si="1"/>
        <v>0.000982446313</v>
      </c>
      <c r="F96" s="49">
        <f t="shared" si="2"/>
        <v>0.00002947338939</v>
      </c>
      <c r="G96" s="49">
        <f t="shared" si="3"/>
        <v>0.0004110555374</v>
      </c>
      <c r="H96" s="46"/>
      <c r="I96" s="46"/>
      <c r="J96" s="46"/>
      <c r="K96" s="46"/>
      <c r="L96" s="46"/>
      <c r="M96" s="46"/>
      <c r="N96" s="46"/>
      <c r="O96" s="46"/>
      <c r="P96" s="46"/>
      <c r="Q96" s="46"/>
      <c r="R96" s="46"/>
      <c r="S96" s="46"/>
      <c r="T96" s="46"/>
      <c r="U96" s="46"/>
      <c r="V96" s="46"/>
      <c r="W96" s="46"/>
      <c r="X96" s="46"/>
      <c r="Y96" s="46"/>
      <c r="Z96" s="46"/>
    </row>
    <row r="97" ht="22.5" customHeight="1">
      <c r="A97" s="47">
        <v>554505.0</v>
      </c>
      <c r="B97" s="47">
        <v>54620.0</v>
      </c>
      <c r="C97" s="48">
        <v>0.03</v>
      </c>
      <c r="D97" s="48">
        <v>0.0985</v>
      </c>
      <c r="E97" s="49">
        <f t="shared" si="1"/>
        <v>0.00115417668</v>
      </c>
      <c r="F97" s="49">
        <f t="shared" si="2"/>
        <v>0.00003462530039</v>
      </c>
      <c r="G97" s="49">
        <f t="shared" si="3"/>
        <v>0.0001136864029</v>
      </c>
      <c r="H97" s="46"/>
      <c r="I97" s="46"/>
      <c r="J97" s="46"/>
      <c r="K97" s="46"/>
      <c r="L97" s="46"/>
      <c r="M97" s="46"/>
      <c r="N97" s="46"/>
      <c r="O97" s="46"/>
      <c r="P97" s="46"/>
      <c r="Q97" s="46"/>
      <c r="R97" s="46"/>
      <c r="S97" s="46"/>
      <c r="T97" s="46"/>
      <c r="U97" s="46"/>
      <c r="V97" s="46"/>
      <c r="W97" s="46"/>
      <c r="X97" s="46"/>
      <c r="Y97" s="46"/>
      <c r="Z97" s="46"/>
    </row>
    <row r="98" ht="22.5" customHeight="1">
      <c r="A98" s="47">
        <v>2142970.0</v>
      </c>
      <c r="B98" s="47">
        <v>262820.0</v>
      </c>
      <c r="C98" s="48">
        <v>0.03</v>
      </c>
      <c r="D98" s="48">
        <v>0.1226</v>
      </c>
      <c r="E98" s="49">
        <f t="shared" si="1"/>
        <v>0.004460493592</v>
      </c>
      <c r="F98" s="49">
        <f t="shared" si="2"/>
        <v>0.0001338148078</v>
      </c>
      <c r="G98" s="49">
        <f t="shared" si="3"/>
        <v>0.0005468565144</v>
      </c>
      <c r="H98" s="46"/>
      <c r="I98" s="46"/>
      <c r="J98" s="46"/>
      <c r="K98" s="46"/>
      <c r="L98" s="46"/>
      <c r="M98" s="46"/>
      <c r="N98" s="46"/>
      <c r="O98" s="46"/>
      <c r="P98" s="46"/>
      <c r="Q98" s="46"/>
      <c r="R98" s="46"/>
      <c r="S98" s="46"/>
      <c r="T98" s="46"/>
      <c r="U98" s="46"/>
      <c r="V98" s="46"/>
      <c r="W98" s="46"/>
      <c r="X98" s="46"/>
      <c r="Y98" s="46"/>
      <c r="Z98" s="46"/>
    </row>
    <row r="99" ht="22.5" customHeight="1">
      <c r="A99" s="47">
        <v>773125.0</v>
      </c>
      <c r="B99" s="47">
        <v>201200.0</v>
      </c>
      <c r="C99" s="48">
        <v>0.03</v>
      </c>
      <c r="D99" s="48">
        <v>0.2602</v>
      </c>
      <c r="E99" s="49">
        <f t="shared" si="1"/>
        <v>0.001609224165</v>
      </c>
      <c r="F99" s="49">
        <f t="shared" si="2"/>
        <v>0.00004827672494</v>
      </c>
      <c r="G99" s="49">
        <f t="shared" si="3"/>
        <v>0.0004187201277</v>
      </c>
      <c r="H99" s="46"/>
      <c r="I99" s="46"/>
      <c r="J99" s="46"/>
      <c r="K99" s="46"/>
      <c r="L99" s="46"/>
      <c r="M99" s="46"/>
      <c r="N99" s="46"/>
      <c r="O99" s="46"/>
      <c r="P99" s="46"/>
      <c r="Q99" s="46"/>
      <c r="R99" s="46"/>
      <c r="S99" s="46"/>
      <c r="T99" s="46"/>
      <c r="U99" s="46"/>
      <c r="V99" s="46"/>
      <c r="W99" s="46"/>
      <c r="X99" s="46"/>
      <c r="Y99" s="46"/>
      <c r="Z99" s="46"/>
    </row>
    <row r="100" ht="22.5" customHeight="1">
      <c r="A100" s="47">
        <v>557518.0</v>
      </c>
      <c r="B100" s="47">
        <v>52100.0</v>
      </c>
      <c r="C100" s="48">
        <v>0.02</v>
      </c>
      <c r="D100" s="48">
        <v>0.0934</v>
      </c>
      <c r="E100" s="49">
        <f t="shared" si="1"/>
        <v>0.001160448101</v>
      </c>
      <c r="F100" s="49">
        <f t="shared" si="2"/>
        <v>0.00002320896201</v>
      </c>
      <c r="G100" s="49">
        <f t="shared" si="3"/>
        <v>0.0001083858526</v>
      </c>
      <c r="H100" s="46"/>
      <c r="I100" s="46"/>
      <c r="J100" s="46"/>
      <c r="K100" s="46"/>
      <c r="L100" s="46"/>
      <c r="M100" s="46"/>
      <c r="N100" s="46"/>
      <c r="O100" s="46"/>
      <c r="P100" s="46"/>
      <c r="Q100" s="46"/>
      <c r="R100" s="46"/>
      <c r="S100" s="46"/>
      <c r="T100" s="46"/>
      <c r="U100" s="46"/>
      <c r="V100" s="46"/>
      <c r="W100" s="46"/>
      <c r="X100" s="46"/>
      <c r="Y100" s="46"/>
      <c r="Z100" s="46"/>
    </row>
    <row r="101" ht="22.5" customHeight="1">
      <c r="A101" s="47">
        <v>1227300.0</v>
      </c>
      <c r="B101" s="47">
        <v>151600.0</v>
      </c>
      <c r="C101" s="48">
        <v>0.03</v>
      </c>
      <c r="D101" s="48">
        <v>0.1235</v>
      </c>
      <c r="E101" s="49">
        <f t="shared" si="1"/>
        <v>0.002554568559</v>
      </c>
      <c r="F101" s="49">
        <f t="shared" si="2"/>
        <v>0.00007663705678</v>
      </c>
      <c r="G101" s="49">
        <f t="shared" si="3"/>
        <v>0.0003154892171</v>
      </c>
      <c r="H101" s="46"/>
      <c r="I101" s="46"/>
      <c r="J101" s="46"/>
      <c r="K101" s="46"/>
      <c r="L101" s="46"/>
      <c r="M101" s="46"/>
      <c r="N101" s="46"/>
      <c r="O101" s="46"/>
      <c r="P101" s="46"/>
      <c r="Q101" s="46"/>
      <c r="R101" s="46"/>
      <c r="S101" s="46"/>
      <c r="T101" s="46"/>
      <c r="U101" s="46"/>
      <c r="V101" s="46"/>
      <c r="W101" s="46"/>
      <c r="X101" s="46"/>
      <c r="Y101" s="46"/>
      <c r="Z101" s="46"/>
    </row>
    <row r="102" ht="22.5" customHeight="1">
      <c r="A102" s="47">
        <v>1491639.0</v>
      </c>
      <c r="B102" s="47">
        <v>113900.0</v>
      </c>
      <c r="C102" s="48">
        <v>0.03</v>
      </c>
      <c r="D102" s="48">
        <v>0.0764</v>
      </c>
      <c r="E102" s="49">
        <f t="shared" si="1"/>
        <v>0.003104778042</v>
      </c>
      <c r="F102" s="49">
        <f t="shared" si="2"/>
        <v>0.00009314334127</v>
      </c>
      <c r="G102" s="49">
        <f t="shared" si="3"/>
        <v>0.0002372050424</v>
      </c>
      <c r="H102" s="46"/>
      <c r="I102" s="46"/>
      <c r="J102" s="46"/>
      <c r="K102" s="46"/>
      <c r="L102" s="46"/>
      <c r="M102" s="46"/>
      <c r="N102" s="46"/>
      <c r="O102" s="46"/>
      <c r="P102" s="46"/>
      <c r="Q102" s="46"/>
      <c r="R102" s="46"/>
      <c r="S102" s="46"/>
      <c r="T102" s="46"/>
      <c r="U102" s="46"/>
      <c r="V102" s="46"/>
      <c r="W102" s="46"/>
      <c r="X102" s="46"/>
      <c r="Y102" s="46"/>
      <c r="Z102" s="46"/>
    </row>
    <row r="103" ht="22.5" customHeight="1">
      <c r="A103" s="47">
        <v>1653485.0</v>
      </c>
      <c r="B103" s="47">
        <v>54650.0</v>
      </c>
      <c r="C103" s="48">
        <v>0.03</v>
      </c>
      <c r="D103" s="48">
        <v>0.0331</v>
      </c>
      <c r="E103" s="49">
        <f t="shared" si="1"/>
        <v>0.003441653055</v>
      </c>
      <c r="F103" s="49">
        <f t="shared" si="2"/>
        <v>0.0001032495916</v>
      </c>
      <c r="G103" s="49">
        <f t="shared" si="3"/>
        <v>0.0001139187161</v>
      </c>
      <c r="H103" s="46"/>
      <c r="I103" s="46"/>
      <c r="J103" s="46"/>
      <c r="K103" s="46"/>
      <c r="L103" s="46"/>
      <c r="M103" s="46"/>
      <c r="N103" s="46"/>
      <c r="O103" s="46"/>
      <c r="P103" s="46"/>
      <c r="Q103" s="46"/>
      <c r="R103" s="46"/>
      <c r="S103" s="46"/>
      <c r="T103" s="46"/>
      <c r="U103" s="46"/>
      <c r="V103" s="46"/>
      <c r="W103" s="46"/>
      <c r="X103" s="46"/>
      <c r="Y103" s="46"/>
      <c r="Z103" s="46"/>
    </row>
    <row r="104" ht="22.5" customHeight="1">
      <c r="A104" s="47">
        <v>349862.0</v>
      </c>
      <c r="B104" s="47">
        <v>42000.0</v>
      </c>
      <c r="C104" s="48">
        <v>0.01</v>
      </c>
      <c r="D104" s="48">
        <v>0.12</v>
      </c>
      <c r="E104" s="49">
        <f t="shared" si="1"/>
        <v>0.0007282216779</v>
      </c>
      <c r="F104" s="49">
        <f t="shared" si="2"/>
        <v>0.000007282216779</v>
      </c>
      <c r="G104" s="49">
        <f t="shared" si="3"/>
        <v>0.00008738660135</v>
      </c>
      <c r="H104" s="46"/>
      <c r="I104" s="46"/>
      <c r="J104" s="46"/>
      <c r="K104" s="46"/>
      <c r="L104" s="46"/>
      <c r="M104" s="46"/>
      <c r="N104" s="46"/>
      <c r="O104" s="46"/>
      <c r="P104" s="46"/>
      <c r="Q104" s="46"/>
      <c r="R104" s="46"/>
      <c r="S104" s="46"/>
      <c r="T104" s="46"/>
      <c r="U104" s="46"/>
      <c r="V104" s="46"/>
      <c r="W104" s="46"/>
      <c r="X104" s="46"/>
      <c r="Y104" s="46"/>
      <c r="Z104" s="46"/>
    </row>
    <row r="105" ht="22.5" customHeight="1">
      <c r="A105" s="47">
        <v>378945.0</v>
      </c>
      <c r="B105" s="47">
        <v>35800.0</v>
      </c>
      <c r="C105" s="48">
        <v>0.03</v>
      </c>
      <c r="D105" s="48">
        <v>0.0945</v>
      </c>
      <c r="E105" s="49">
        <f t="shared" si="1"/>
        <v>0.0007887566061</v>
      </c>
      <c r="F105" s="49">
        <f t="shared" si="2"/>
        <v>0.00002366269818</v>
      </c>
      <c r="G105" s="49">
        <f t="shared" si="3"/>
        <v>0.00007453749928</v>
      </c>
      <c r="H105" s="46"/>
      <c r="I105" s="46"/>
      <c r="J105" s="46"/>
      <c r="K105" s="46"/>
      <c r="L105" s="46"/>
      <c r="M105" s="46"/>
      <c r="N105" s="46"/>
      <c r="O105" s="46"/>
      <c r="P105" s="46"/>
      <c r="Q105" s="46"/>
      <c r="R105" s="46"/>
      <c r="S105" s="46"/>
      <c r="T105" s="46"/>
      <c r="U105" s="46"/>
      <c r="V105" s="46"/>
      <c r="W105" s="46"/>
      <c r="X105" s="46"/>
      <c r="Y105" s="46"/>
      <c r="Z105" s="46"/>
    </row>
    <row r="106" ht="22.5" customHeight="1">
      <c r="A106" s="47">
        <v>227998.0</v>
      </c>
      <c r="B106" s="47">
        <v>6000.0</v>
      </c>
      <c r="C106" s="48">
        <v>0.02</v>
      </c>
      <c r="D106" s="48">
        <v>0.0263</v>
      </c>
      <c r="E106" s="49">
        <f t="shared" si="1"/>
        <v>0.0004745673612</v>
      </c>
      <c r="F106" s="49">
        <f t="shared" si="2"/>
        <v>0.000009491347224</v>
      </c>
      <c r="G106" s="49">
        <f t="shared" si="3"/>
        <v>0.0000124811216</v>
      </c>
      <c r="H106" s="46"/>
      <c r="I106" s="46"/>
      <c r="J106" s="46"/>
      <c r="K106" s="46"/>
      <c r="L106" s="46"/>
      <c r="M106" s="46"/>
      <c r="N106" s="46"/>
      <c r="O106" s="46"/>
      <c r="P106" s="46"/>
      <c r="Q106" s="46"/>
      <c r="R106" s="46"/>
      <c r="S106" s="46"/>
      <c r="T106" s="46"/>
      <c r="U106" s="46"/>
      <c r="V106" s="46"/>
      <c r="W106" s="46"/>
      <c r="X106" s="46"/>
      <c r="Y106" s="46"/>
      <c r="Z106" s="46"/>
    </row>
    <row r="107" ht="22.5" customHeight="1">
      <c r="A107" s="47">
        <v>649325.0</v>
      </c>
      <c r="B107" s="47">
        <v>87243.0</v>
      </c>
      <c r="C107" s="48">
        <v>0.01</v>
      </c>
      <c r="D107" s="48">
        <v>0.1344</v>
      </c>
      <c r="E107" s="49">
        <f t="shared" si="1"/>
        <v>0.001351540153</v>
      </c>
      <c r="F107" s="49">
        <f t="shared" si="2"/>
        <v>0.00001351540153</v>
      </c>
      <c r="G107" s="49">
        <f t="shared" si="3"/>
        <v>0.0001816469966</v>
      </c>
      <c r="H107" s="46"/>
      <c r="I107" s="46"/>
      <c r="J107" s="46"/>
      <c r="K107" s="46"/>
      <c r="L107" s="46"/>
      <c r="M107" s="46"/>
      <c r="N107" s="46"/>
      <c r="O107" s="46"/>
      <c r="P107" s="46"/>
      <c r="Q107" s="46"/>
      <c r="R107" s="46"/>
      <c r="S107" s="46"/>
      <c r="T107" s="46"/>
      <c r="U107" s="46"/>
      <c r="V107" s="46"/>
      <c r="W107" s="46"/>
      <c r="X107" s="46"/>
      <c r="Y107" s="46"/>
      <c r="Z107" s="46"/>
    </row>
    <row r="108" ht="22.5" customHeight="1">
      <c r="A108" s="47">
        <v>326700.0</v>
      </c>
      <c r="B108" s="47">
        <v>29200.0</v>
      </c>
      <c r="C108" s="48">
        <v>0.03</v>
      </c>
      <c r="D108" s="48">
        <v>0.0894</v>
      </c>
      <c r="E108" s="49">
        <f t="shared" si="1"/>
        <v>0.0006800110391</v>
      </c>
      <c r="F108" s="49">
        <f t="shared" si="2"/>
        <v>0.00002040033117</v>
      </c>
      <c r="G108" s="49">
        <f t="shared" si="3"/>
        <v>0.0000607929869</v>
      </c>
      <c r="H108" s="46"/>
      <c r="I108" s="46"/>
      <c r="J108" s="46"/>
      <c r="K108" s="46"/>
      <c r="L108" s="46"/>
      <c r="M108" s="46"/>
      <c r="N108" s="46"/>
      <c r="O108" s="46"/>
      <c r="P108" s="46"/>
      <c r="Q108" s="46"/>
      <c r="R108" s="46"/>
      <c r="S108" s="46"/>
      <c r="T108" s="46"/>
      <c r="U108" s="46"/>
      <c r="V108" s="46"/>
      <c r="W108" s="46"/>
      <c r="X108" s="46"/>
      <c r="Y108" s="46"/>
      <c r="Z108" s="46"/>
    </row>
    <row r="109" ht="22.5" customHeight="1">
      <c r="A109" s="47">
        <v>637229.0</v>
      </c>
      <c r="B109" s="47">
        <v>138250.0</v>
      </c>
      <c r="C109" s="48">
        <v>0.03</v>
      </c>
      <c r="D109" s="48">
        <v>0.217</v>
      </c>
      <c r="E109" s="49">
        <f t="shared" si="1"/>
        <v>0.001326362885</v>
      </c>
      <c r="F109" s="49">
        <f t="shared" si="2"/>
        <v>0.00003979088654</v>
      </c>
      <c r="G109" s="49">
        <f t="shared" si="3"/>
        <v>0.000287820746</v>
      </c>
      <c r="H109" s="46"/>
      <c r="I109" s="46"/>
      <c r="J109" s="46"/>
      <c r="K109" s="46"/>
      <c r="L109" s="46"/>
      <c r="M109" s="46"/>
      <c r="N109" s="46"/>
      <c r="O109" s="46"/>
      <c r="P109" s="46"/>
      <c r="Q109" s="46"/>
      <c r="R109" s="46"/>
      <c r="S109" s="46"/>
      <c r="T109" s="46"/>
      <c r="U109" s="46"/>
      <c r="V109" s="46"/>
      <c r="W109" s="46"/>
      <c r="X109" s="46"/>
      <c r="Y109" s="46"/>
      <c r="Z109" s="46"/>
    </row>
    <row r="110" ht="22.5" customHeight="1">
      <c r="A110" s="47">
        <v>395675.0</v>
      </c>
      <c r="B110" s="47">
        <v>20800.0</v>
      </c>
      <c r="C110" s="48">
        <v>0.02</v>
      </c>
      <c r="D110" s="48">
        <v>0.0526</v>
      </c>
      <c r="E110" s="49">
        <f t="shared" si="1"/>
        <v>0.0008235793324</v>
      </c>
      <c r="F110" s="49">
        <f t="shared" si="2"/>
        <v>0.00001647158665</v>
      </c>
      <c r="G110" s="49">
        <f t="shared" si="3"/>
        <v>0.00004332027289</v>
      </c>
      <c r="H110" s="46"/>
      <c r="I110" s="46"/>
      <c r="J110" s="46"/>
      <c r="K110" s="46"/>
      <c r="L110" s="46"/>
      <c r="M110" s="46"/>
      <c r="N110" s="46"/>
      <c r="O110" s="46"/>
      <c r="P110" s="46"/>
      <c r="Q110" s="46"/>
      <c r="R110" s="46"/>
      <c r="S110" s="46"/>
      <c r="T110" s="46"/>
      <c r="U110" s="46"/>
      <c r="V110" s="46"/>
      <c r="W110" s="46"/>
      <c r="X110" s="46"/>
      <c r="Y110" s="46"/>
      <c r="Z110" s="46"/>
    </row>
    <row r="111" ht="22.5" customHeight="1">
      <c r="A111" s="47">
        <v>779900.0</v>
      </c>
      <c r="B111" s="47">
        <v>285000.0</v>
      </c>
      <c r="C111" s="48">
        <v>0.04</v>
      </c>
      <c r="D111" s="48">
        <v>0.3654</v>
      </c>
      <c r="E111" s="49">
        <f t="shared" si="1"/>
        <v>0.001623326016</v>
      </c>
      <c r="F111" s="49">
        <f t="shared" si="2"/>
        <v>0.00006493304064</v>
      </c>
      <c r="G111" s="49">
        <f t="shared" si="3"/>
        <v>0.0005931633262</v>
      </c>
      <c r="H111" s="46"/>
      <c r="I111" s="46"/>
      <c r="J111" s="46"/>
      <c r="K111" s="46"/>
      <c r="L111" s="46"/>
      <c r="M111" s="46"/>
      <c r="N111" s="46"/>
      <c r="O111" s="46"/>
      <c r="P111" s="46"/>
      <c r="Q111" s="46"/>
      <c r="R111" s="46"/>
      <c r="S111" s="46"/>
      <c r="T111" s="46"/>
      <c r="U111" s="46"/>
      <c r="V111" s="46"/>
      <c r="W111" s="46"/>
      <c r="X111" s="46"/>
      <c r="Y111" s="46"/>
      <c r="Z111" s="46"/>
    </row>
    <row r="112" ht="22.5" customHeight="1">
      <c r="A112" s="47">
        <v>785713.0</v>
      </c>
      <c r="B112" s="47">
        <v>72930.0</v>
      </c>
      <c r="C112" s="48">
        <v>0.03</v>
      </c>
      <c r="D112" s="48">
        <v>0.0928</v>
      </c>
      <c r="E112" s="49">
        <f t="shared" si="1"/>
        <v>0.001635425508</v>
      </c>
      <c r="F112" s="49">
        <f t="shared" si="2"/>
        <v>0.00004906276525</v>
      </c>
      <c r="G112" s="49">
        <f t="shared" si="3"/>
        <v>0.0001517674872</v>
      </c>
      <c r="H112" s="46"/>
      <c r="I112" s="46"/>
      <c r="J112" s="46"/>
      <c r="K112" s="46"/>
      <c r="L112" s="46"/>
      <c r="M112" s="46"/>
      <c r="N112" s="46"/>
      <c r="O112" s="46"/>
      <c r="P112" s="46"/>
      <c r="Q112" s="46"/>
      <c r="R112" s="46"/>
      <c r="S112" s="46"/>
      <c r="T112" s="46"/>
      <c r="U112" s="46"/>
      <c r="V112" s="46"/>
      <c r="W112" s="46"/>
      <c r="X112" s="46"/>
      <c r="Y112" s="46"/>
      <c r="Z112" s="46"/>
    </row>
    <row r="113" ht="22.5" customHeight="1">
      <c r="A113" s="47">
        <v>650740.0</v>
      </c>
      <c r="B113" s="47">
        <v>34000.0</v>
      </c>
      <c r="C113" s="48">
        <v>0.03</v>
      </c>
      <c r="D113" s="48">
        <v>0.0522</v>
      </c>
      <c r="E113" s="49">
        <f t="shared" si="1"/>
        <v>0.00135448541</v>
      </c>
      <c r="F113" s="49">
        <f t="shared" si="2"/>
        <v>0.00004063456231</v>
      </c>
      <c r="G113" s="49">
        <f t="shared" si="3"/>
        <v>0.00007070413843</v>
      </c>
      <c r="H113" s="46"/>
      <c r="I113" s="46"/>
      <c r="J113" s="46"/>
      <c r="K113" s="46"/>
      <c r="L113" s="46"/>
      <c r="M113" s="46"/>
      <c r="N113" s="46"/>
      <c r="O113" s="46"/>
      <c r="P113" s="46"/>
      <c r="Q113" s="46"/>
      <c r="R113" s="46"/>
      <c r="S113" s="46"/>
      <c r="T113" s="46"/>
      <c r="U113" s="46"/>
      <c r="V113" s="46"/>
      <c r="W113" s="46"/>
      <c r="X113" s="46"/>
      <c r="Y113" s="46"/>
      <c r="Z113" s="46"/>
    </row>
    <row r="114" ht="22.5" customHeight="1">
      <c r="A114" s="47">
        <v>1166590.0</v>
      </c>
      <c r="B114" s="47">
        <v>229900.0</v>
      </c>
      <c r="C114" s="48">
        <v>0.03</v>
      </c>
      <c r="D114" s="48">
        <v>0.1971</v>
      </c>
      <c r="E114" s="49">
        <f t="shared" si="1"/>
        <v>0.002428203484</v>
      </c>
      <c r="F114" s="49">
        <f t="shared" si="2"/>
        <v>0.00007284610451</v>
      </c>
      <c r="G114" s="49">
        <f t="shared" si="3"/>
        <v>0.0004785989066</v>
      </c>
      <c r="H114" s="46"/>
      <c r="I114" s="46"/>
      <c r="J114" s="46"/>
      <c r="K114" s="46"/>
      <c r="L114" s="46"/>
      <c r="M114" s="46"/>
      <c r="N114" s="46"/>
      <c r="O114" s="46"/>
      <c r="P114" s="46"/>
      <c r="Q114" s="46"/>
      <c r="R114" s="46"/>
      <c r="S114" s="46"/>
      <c r="T114" s="46"/>
      <c r="U114" s="46"/>
      <c r="V114" s="46"/>
      <c r="W114" s="46"/>
      <c r="X114" s="46"/>
      <c r="Y114" s="46"/>
      <c r="Z114" s="46"/>
    </row>
    <row r="115" ht="22.5" customHeight="1">
      <c r="A115" s="47">
        <v>611380.0</v>
      </c>
      <c r="B115" s="47">
        <v>72180.0</v>
      </c>
      <c r="C115" s="48">
        <v>0.02</v>
      </c>
      <c r="D115" s="48">
        <v>0.1181</v>
      </c>
      <c r="E115" s="49">
        <f t="shared" si="1"/>
        <v>0.001272559379</v>
      </c>
      <c r="F115" s="49">
        <f t="shared" si="2"/>
        <v>0.00002545118758</v>
      </c>
      <c r="G115" s="49">
        <f t="shared" si="3"/>
        <v>0.0001502892627</v>
      </c>
      <c r="H115" s="46"/>
      <c r="I115" s="46"/>
      <c r="J115" s="46"/>
      <c r="K115" s="46"/>
      <c r="L115" s="46"/>
      <c r="M115" s="46"/>
      <c r="N115" s="46"/>
      <c r="O115" s="46"/>
      <c r="P115" s="46"/>
      <c r="Q115" s="46"/>
      <c r="R115" s="46"/>
      <c r="S115" s="46"/>
      <c r="T115" s="46"/>
      <c r="U115" s="46"/>
      <c r="V115" s="46"/>
      <c r="W115" s="46"/>
      <c r="X115" s="46"/>
      <c r="Y115" s="46"/>
      <c r="Z115" s="46"/>
    </row>
    <row r="116" ht="22.5" customHeight="1">
      <c r="A116" s="47">
        <v>1161360.0</v>
      </c>
      <c r="B116" s="47">
        <v>309760.0</v>
      </c>
      <c r="C116" s="48">
        <v>0.03</v>
      </c>
      <c r="D116" s="48">
        <v>0.2667</v>
      </c>
      <c r="E116" s="49">
        <f t="shared" si="1"/>
        <v>0.002417317479</v>
      </c>
      <c r="F116" s="49">
        <f t="shared" si="2"/>
        <v>0.00007251952437</v>
      </c>
      <c r="G116" s="49">
        <f t="shared" si="3"/>
        <v>0.0006446985717</v>
      </c>
      <c r="H116" s="46"/>
      <c r="I116" s="46"/>
      <c r="J116" s="46"/>
      <c r="K116" s="46"/>
      <c r="L116" s="46"/>
      <c r="M116" s="46"/>
      <c r="N116" s="46"/>
      <c r="O116" s="46"/>
      <c r="P116" s="46"/>
      <c r="Q116" s="46"/>
      <c r="R116" s="46"/>
      <c r="S116" s="46"/>
      <c r="T116" s="46"/>
      <c r="U116" s="46"/>
      <c r="V116" s="46"/>
      <c r="W116" s="46"/>
      <c r="X116" s="46"/>
      <c r="Y116" s="46"/>
      <c r="Z116" s="46"/>
    </row>
    <row r="117" ht="22.5" customHeight="1">
      <c r="A117" s="47">
        <v>735670.0</v>
      </c>
      <c r="B117" s="47">
        <v>80400.0</v>
      </c>
      <c r="C117" s="48">
        <v>0.03</v>
      </c>
      <c r="D117" s="48">
        <v>0.1093</v>
      </c>
      <c r="E117" s="49">
        <f t="shared" si="1"/>
        <v>0.001531263303</v>
      </c>
      <c r="F117" s="49">
        <f t="shared" si="2"/>
        <v>0.0000459378991</v>
      </c>
      <c r="G117" s="49">
        <f t="shared" si="3"/>
        <v>0.000167367079</v>
      </c>
      <c r="H117" s="46"/>
      <c r="I117" s="46"/>
      <c r="J117" s="46"/>
      <c r="K117" s="46"/>
      <c r="L117" s="46"/>
      <c r="M117" s="46"/>
      <c r="N117" s="46"/>
      <c r="O117" s="46"/>
      <c r="P117" s="46"/>
      <c r="Q117" s="46"/>
      <c r="R117" s="46"/>
      <c r="S117" s="46"/>
      <c r="T117" s="46"/>
      <c r="U117" s="46"/>
      <c r="V117" s="46"/>
      <c r="W117" s="46"/>
      <c r="X117" s="46"/>
      <c r="Y117" s="46"/>
      <c r="Z117" s="46"/>
    </row>
    <row r="118" ht="22.5" customHeight="1">
      <c r="A118" s="47">
        <v>663450.0</v>
      </c>
      <c r="B118" s="47">
        <v>68880.0</v>
      </c>
      <c r="C118" s="48">
        <v>0.03</v>
      </c>
      <c r="D118" s="48">
        <v>0.1038</v>
      </c>
      <c r="E118" s="49">
        <f t="shared" si="1"/>
        <v>0.001380940691</v>
      </c>
      <c r="F118" s="49">
        <f t="shared" si="2"/>
        <v>0.00004142822074</v>
      </c>
      <c r="G118" s="49">
        <f t="shared" si="3"/>
        <v>0.0001433416438</v>
      </c>
      <c r="H118" s="46"/>
      <c r="I118" s="46"/>
      <c r="J118" s="46"/>
      <c r="K118" s="46"/>
      <c r="L118" s="46"/>
      <c r="M118" s="46"/>
      <c r="N118" s="46"/>
      <c r="O118" s="46"/>
      <c r="P118" s="46"/>
      <c r="Q118" s="46"/>
      <c r="R118" s="46"/>
      <c r="S118" s="46"/>
      <c r="T118" s="46"/>
      <c r="U118" s="46"/>
      <c r="V118" s="46"/>
      <c r="W118" s="46"/>
      <c r="X118" s="46"/>
      <c r="Y118" s="46"/>
      <c r="Z118" s="46"/>
    </row>
    <row r="119" ht="22.5" customHeight="1">
      <c r="A119" s="47">
        <v>452910.0</v>
      </c>
      <c r="B119" s="47">
        <v>74750.0</v>
      </c>
      <c r="C119" s="48">
        <v>0.02</v>
      </c>
      <c r="D119" s="48">
        <v>0.165</v>
      </c>
      <c r="E119" s="49">
        <f t="shared" si="1"/>
        <v>0.0009427113552</v>
      </c>
      <c r="F119" s="49">
        <f t="shared" si="2"/>
        <v>0.0000188542271</v>
      </c>
      <c r="G119" s="49">
        <f t="shared" si="3"/>
        <v>0.0001555473736</v>
      </c>
      <c r="H119" s="46"/>
      <c r="I119" s="46"/>
      <c r="J119" s="46"/>
      <c r="K119" s="46"/>
      <c r="L119" s="46"/>
      <c r="M119" s="46"/>
      <c r="N119" s="46"/>
      <c r="O119" s="46"/>
      <c r="P119" s="46"/>
      <c r="Q119" s="46"/>
      <c r="R119" s="46"/>
      <c r="S119" s="46"/>
      <c r="T119" s="46"/>
      <c r="U119" s="46"/>
      <c r="V119" s="46"/>
      <c r="W119" s="46"/>
      <c r="X119" s="46"/>
      <c r="Y119" s="46"/>
      <c r="Z119" s="46"/>
    </row>
    <row r="120" ht="22.5" customHeight="1">
      <c r="A120" s="47">
        <v>330235.0</v>
      </c>
      <c r="B120" s="47">
        <v>40000.0</v>
      </c>
      <c r="C120" s="48">
        <v>0.06</v>
      </c>
      <c r="D120" s="48">
        <v>0.1211</v>
      </c>
      <c r="E120" s="49">
        <f t="shared" si="1"/>
        <v>0.0006873689792</v>
      </c>
      <c r="F120" s="49">
        <f t="shared" si="2"/>
        <v>0.00004124213875</v>
      </c>
      <c r="G120" s="49">
        <f t="shared" si="3"/>
        <v>0.00008324038338</v>
      </c>
      <c r="H120" s="46"/>
      <c r="I120" s="46"/>
      <c r="J120" s="46"/>
      <c r="K120" s="46"/>
      <c r="L120" s="46"/>
      <c r="M120" s="46"/>
      <c r="N120" s="46"/>
      <c r="O120" s="46"/>
      <c r="P120" s="46"/>
      <c r="Q120" s="46"/>
      <c r="R120" s="46"/>
      <c r="S120" s="46"/>
      <c r="T120" s="46"/>
      <c r="U120" s="46"/>
      <c r="V120" s="46"/>
      <c r="W120" s="46"/>
      <c r="X120" s="46"/>
      <c r="Y120" s="46"/>
      <c r="Z120" s="46"/>
    </row>
    <row r="121" ht="22.5" customHeight="1">
      <c r="A121" s="47">
        <v>248245.0</v>
      </c>
      <c r="B121" s="47">
        <v>64000.0</v>
      </c>
      <c r="C121" s="48">
        <v>0.06</v>
      </c>
      <c r="D121" s="48">
        <v>0.2578</v>
      </c>
      <c r="E121" s="49">
        <f t="shared" si="1"/>
        <v>0.0005167105614</v>
      </c>
      <c r="F121" s="49">
        <f t="shared" si="2"/>
        <v>0.00003100263368</v>
      </c>
      <c r="G121" s="49">
        <f t="shared" si="3"/>
        <v>0.0001332079827</v>
      </c>
      <c r="H121" s="46"/>
      <c r="I121" s="46"/>
      <c r="J121" s="46"/>
      <c r="K121" s="46"/>
      <c r="L121" s="46"/>
      <c r="M121" s="46"/>
      <c r="N121" s="46"/>
      <c r="O121" s="46"/>
      <c r="P121" s="46"/>
      <c r="Q121" s="46"/>
      <c r="R121" s="46"/>
      <c r="S121" s="46"/>
      <c r="T121" s="46"/>
      <c r="U121" s="46"/>
      <c r="V121" s="46"/>
      <c r="W121" s="46"/>
      <c r="X121" s="46"/>
      <c r="Y121" s="46"/>
      <c r="Z121" s="46"/>
    </row>
    <row r="122" ht="22.5" customHeight="1">
      <c r="A122" s="47">
        <v>3622681.65</v>
      </c>
      <c r="B122" s="47">
        <v>263381.67</v>
      </c>
      <c r="C122" s="48">
        <v>0.06</v>
      </c>
      <c r="D122" s="48">
        <v>0.0727</v>
      </c>
      <c r="E122" s="49">
        <f t="shared" si="1"/>
        <v>0.007540445403</v>
      </c>
      <c r="F122" s="49">
        <f t="shared" si="2"/>
        <v>0.0004524267242</v>
      </c>
      <c r="G122" s="49">
        <f t="shared" si="3"/>
        <v>0.0005481903808</v>
      </c>
      <c r="H122" s="46"/>
      <c r="I122" s="46"/>
      <c r="J122" s="46"/>
      <c r="K122" s="46"/>
      <c r="L122" s="46"/>
      <c r="M122" s="46"/>
      <c r="N122" s="46"/>
      <c r="O122" s="46"/>
      <c r="P122" s="46"/>
      <c r="Q122" s="46"/>
      <c r="R122" s="46"/>
      <c r="S122" s="46"/>
      <c r="T122" s="46"/>
      <c r="U122" s="46"/>
      <c r="V122" s="46"/>
      <c r="W122" s="46"/>
      <c r="X122" s="46"/>
      <c r="Y122" s="46"/>
      <c r="Z122" s="46"/>
    </row>
    <row r="123" ht="22.5" customHeight="1">
      <c r="A123" s="47">
        <v>8736943.34</v>
      </c>
      <c r="B123" s="47">
        <v>466053.51</v>
      </c>
      <c r="C123" s="48">
        <v>0.06</v>
      </c>
      <c r="D123" s="48">
        <v>0.0533</v>
      </c>
      <c r="E123" s="49">
        <f t="shared" si="1"/>
        <v>0.01818554613</v>
      </c>
      <c r="F123" s="49">
        <f t="shared" si="2"/>
        <v>0.001091132768</v>
      </c>
      <c r="G123" s="49">
        <f t="shared" si="3"/>
        <v>0.0009692896085</v>
      </c>
      <c r="H123" s="46"/>
      <c r="I123" s="46"/>
      <c r="J123" s="46"/>
      <c r="K123" s="46"/>
      <c r="L123" s="46"/>
      <c r="M123" s="46"/>
      <c r="N123" s="46"/>
      <c r="O123" s="46"/>
      <c r="P123" s="46"/>
      <c r="Q123" s="46"/>
      <c r="R123" s="46"/>
      <c r="S123" s="46"/>
      <c r="T123" s="46"/>
      <c r="U123" s="46"/>
      <c r="V123" s="46"/>
      <c r="W123" s="46"/>
      <c r="X123" s="46"/>
      <c r="Y123" s="46"/>
      <c r="Z123" s="46"/>
    </row>
    <row r="124" ht="22.5" customHeight="1">
      <c r="A124" s="47">
        <v>2228430.35</v>
      </c>
      <c r="B124" s="47">
        <v>137747.85</v>
      </c>
      <c r="C124" s="48">
        <v>0.06</v>
      </c>
      <c r="D124" s="48">
        <v>0.0618</v>
      </c>
      <c r="E124" s="49">
        <f t="shared" si="1"/>
        <v>0.004638375384</v>
      </c>
      <c r="F124" s="49">
        <f t="shared" si="2"/>
        <v>0.000278302523</v>
      </c>
      <c r="G124" s="49">
        <f t="shared" si="3"/>
        <v>0.0002866515987</v>
      </c>
      <c r="H124" s="46"/>
      <c r="I124" s="46"/>
      <c r="J124" s="46"/>
      <c r="K124" s="46"/>
      <c r="L124" s="46"/>
      <c r="M124" s="46"/>
      <c r="N124" s="46"/>
      <c r="O124" s="46"/>
      <c r="P124" s="46"/>
      <c r="Q124" s="46"/>
      <c r="R124" s="46"/>
      <c r="S124" s="46"/>
      <c r="T124" s="46"/>
      <c r="U124" s="46"/>
      <c r="V124" s="46"/>
      <c r="W124" s="46"/>
      <c r="X124" s="46"/>
      <c r="Y124" s="46"/>
      <c r="Z124" s="46"/>
    </row>
    <row r="125" ht="22.5" customHeight="1">
      <c r="A125" s="47">
        <v>5632955.41</v>
      </c>
      <c r="B125" s="47">
        <v>233026.92</v>
      </c>
      <c r="C125" s="48">
        <v>0.06</v>
      </c>
      <c r="D125" s="48">
        <v>0.0414</v>
      </c>
      <c r="E125" s="49">
        <f t="shared" si="1"/>
        <v>0.01172473787</v>
      </c>
      <c r="F125" s="49">
        <f t="shared" si="2"/>
        <v>0.0007034842721</v>
      </c>
      <c r="G125" s="49">
        <f t="shared" si="3"/>
        <v>0.0004854041478</v>
      </c>
      <c r="H125" s="46"/>
      <c r="I125" s="46"/>
      <c r="J125" s="46"/>
      <c r="K125" s="46"/>
      <c r="L125" s="46"/>
      <c r="M125" s="46"/>
      <c r="N125" s="46"/>
      <c r="O125" s="46"/>
      <c r="P125" s="46"/>
      <c r="Q125" s="46"/>
      <c r="R125" s="46"/>
      <c r="S125" s="46"/>
      <c r="T125" s="46"/>
      <c r="U125" s="46"/>
      <c r="V125" s="46"/>
      <c r="W125" s="46"/>
      <c r="X125" s="46"/>
      <c r="Y125" s="46"/>
      <c r="Z125" s="46"/>
    </row>
    <row r="126" ht="22.5" customHeight="1">
      <c r="A126" s="47">
        <v>1211300.65</v>
      </c>
      <c r="B126" s="47">
        <v>177588.25</v>
      </c>
      <c r="C126" s="48">
        <v>0.06</v>
      </c>
      <c r="D126" s="48">
        <v>0.1466</v>
      </c>
      <c r="E126" s="49">
        <f t="shared" si="1"/>
        <v>0.002521266647</v>
      </c>
      <c r="F126" s="49">
        <f t="shared" si="2"/>
        <v>0.0001512759988</v>
      </c>
      <c r="G126" s="49">
        <f t="shared" si="3"/>
        <v>0.0003696176905</v>
      </c>
      <c r="H126" s="46"/>
      <c r="I126" s="46"/>
      <c r="J126" s="46"/>
      <c r="K126" s="46"/>
      <c r="L126" s="46"/>
      <c r="M126" s="46"/>
      <c r="N126" s="46"/>
      <c r="O126" s="46"/>
      <c r="P126" s="46"/>
      <c r="Q126" s="46"/>
      <c r="R126" s="46"/>
      <c r="S126" s="46"/>
      <c r="T126" s="46"/>
      <c r="U126" s="46"/>
      <c r="V126" s="46"/>
      <c r="W126" s="46"/>
      <c r="X126" s="46"/>
      <c r="Y126" s="46"/>
      <c r="Z126" s="46"/>
    </row>
    <row r="127" ht="22.5" customHeight="1">
      <c r="A127" s="47">
        <v>2061664.68</v>
      </c>
      <c r="B127" s="47">
        <v>289818.4</v>
      </c>
      <c r="C127" s="48">
        <v>0.06</v>
      </c>
      <c r="D127" s="48">
        <v>0.1406</v>
      </c>
      <c r="E127" s="49">
        <f t="shared" si="1"/>
        <v>0.004291260304</v>
      </c>
      <c r="F127" s="49">
        <f t="shared" si="2"/>
        <v>0.0002574756183</v>
      </c>
      <c r="G127" s="49">
        <f t="shared" si="3"/>
        <v>0.0006033511988</v>
      </c>
      <c r="H127" s="46"/>
      <c r="I127" s="46"/>
      <c r="J127" s="46"/>
      <c r="K127" s="46"/>
      <c r="L127" s="46"/>
      <c r="M127" s="46"/>
      <c r="N127" s="46"/>
      <c r="O127" s="46"/>
      <c r="P127" s="46"/>
      <c r="Q127" s="46"/>
      <c r="R127" s="46"/>
      <c r="S127" s="46"/>
      <c r="T127" s="46"/>
      <c r="U127" s="46"/>
      <c r="V127" s="46"/>
      <c r="W127" s="46"/>
      <c r="X127" s="46"/>
      <c r="Y127" s="46"/>
      <c r="Z127" s="46"/>
    </row>
    <row r="128" ht="22.5" customHeight="1">
      <c r="A128" s="47">
        <v>1393911.57</v>
      </c>
      <c r="B128" s="47">
        <v>61703.25</v>
      </c>
      <c r="C128" s="48">
        <v>0.06</v>
      </c>
      <c r="D128" s="48">
        <v>0.0443</v>
      </c>
      <c r="E128" s="49">
        <f t="shared" si="1"/>
        <v>0.002901362887</v>
      </c>
      <c r="F128" s="49">
        <f t="shared" si="2"/>
        <v>0.0001740817732</v>
      </c>
      <c r="G128" s="49">
        <f t="shared" si="3"/>
        <v>0.0001285303759</v>
      </c>
      <c r="H128" s="46"/>
      <c r="I128" s="46"/>
      <c r="J128" s="46"/>
      <c r="K128" s="46"/>
      <c r="L128" s="46"/>
      <c r="M128" s="46"/>
      <c r="N128" s="46"/>
      <c r="O128" s="46"/>
      <c r="P128" s="46"/>
      <c r="Q128" s="46"/>
      <c r="R128" s="46"/>
      <c r="S128" s="46"/>
      <c r="T128" s="46"/>
      <c r="U128" s="46"/>
      <c r="V128" s="46"/>
      <c r="W128" s="46"/>
      <c r="X128" s="46"/>
      <c r="Y128" s="46"/>
      <c r="Z128" s="46"/>
    </row>
    <row r="129" ht="22.5" customHeight="1">
      <c r="A129" s="47">
        <v>5428844.61</v>
      </c>
      <c r="B129" s="47">
        <v>798559.62</v>
      </c>
      <c r="C129" s="48">
        <v>0.06</v>
      </c>
      <c r="D129" s="48">
        <v>0.1471</v>
      </c>
      <c r="E129" s="49">
        <f t="shared" si="1"/>
        <v>0.01129989062</v>
      </c>
      <c r="F129" s="49">
        <f t="shared" si="2"/>
        <v>0.000677993437</v>
      </c>
      <c r="G129" s="49">
        <f t="shared" si="3"/>
        <v>0.00166221391</v>
      </c>
      <c r="H129" s="46"/>
      <c r="I129" s="46"/>
      <c r="J129" s="46"/>
      <c r="K129" s="46"/>
      <c r="L129" s="46"/>
      <c r="M129" s="46"/>
      <c r="N129" s="46"/>
      <c r="O129" s="46"/>
      <c r="P129" s="46"/>
      <c r="Q129" s="46"/>
      <c r="R129" s="46"/>
      <c r="S129" s="46"/>
      <c r="T129" s="46"/>
      <c r="U129" s="46"/>
      <c r="V129" s="46"/>
      <c r="W129" s="46"/>
      <c r="X129" s="46"/>
      <c r="Y129" s="46"/>
      <c r="Z129" s="46"/>
    </row>
    <row r="130" ht="22.5" customHeight="1">
      <c r="A130" s="47">
        <v>738709.0</v>
      </c>
      <c r="B130" s="47">
        <v>105510.0</v>
      </c>
      <c r="C130" s="48">
        <v>0.08</v>
      </c>
      <c r="D130" s="48">
        <v>0.1428</v>
      </c>
      <c r="E130" s="49">
        <f t="shared" si="1"/>
        <v>0.001537588842</v>
      </c>
      <c r="F130" s="49">
        <f t="shared" si="2"/>
        <v>0.0001230071074</v>
      </c>
      <c r="G130" s="49">
        <f t="shared" si="3"/>
        <v>0.0002195676866</v>
      </c>
      <c r="H130" s="46"/>
      <c r="I130" s="46"/>
      <c r="J130" s="46"/>
      <c r="K130" s="46"/>
      <c r="L130" s="46"/>
      <c r="M130" s="46"/>
      <c r="N130" s="46"/>
      <c r="O130" s="46"/>
      <c r="P130" s="46"/>
      <c r="Q130" s="46"/>
      <c r="R130" s="46"/>
      <c r="S130" s="46"/>
      <c r="T130" s="46"/>
      <c r="U130" s="46"/>
      <c r="V130" s="46"/>
      <c r="W130" s="46"/>
      <c r="X130" s="46"/>
      <c r="Y130" s="46"/>
      <c r="Z130" s="46"/>
    </row>
    <row r="131" ht="22.5" customHeight="1">
      <c r="A131" s="47">
        <v>356390.0</v>
      </c>
      <c r="B131" s="47">
        <v>115828.0</v>
      </c>
      <c r="C131" s="48">
        <v>0.02</v>
      </c>
      <c r="D131" s="48">
        <v>0.325</v>
      </c>
      <c r="E131" s="49">
        <f t="shared" si="1"/>
        <v>0.00074180941</v>
      </c>
      <c r="F131" s="49">
        <f t="shared" si="2"/>
        <v>0.0000148361882</v>
      </c>
      <c r="G131" s="49">
        <f t="shared" si="3"/>
        <v>0.0002410880582</v>
      </c>
      <c r="H131" s="46"/>
      <c r="I131" s="46"/>
      <c r="J131" s="46"/>
      <c r="K131" s="46"/>
      <c r="L131" s="46"/>
      <c r="M131" s="46"/>
      <c r="N131" s="46"/>
      <c r="O131" s="46"/>
      <c r="P131" s="46"/>
      <c r="Q131" s="46"/>
      <c r="R131" s="46"/>
      <c r="S131" s="46"/>
      <c r="T131" s="46"/>
      <c r="U131" s="46"/>
      <c r="V131" s="46"/>
      <c r="W131" s="46"/>
      <c r="X131" s="46"/>
      <c r="Y131" s="46"/>
      <c r="Z131" s="46"/>
    </row>
    <row r="132" ht="22.5" customHeight="1">
      <c r="A132" s="47">
        <v>1050920.0</v>
      </c>
      <c r="B132" s="47">
        <v>110800.0</v>
      </c>
      <c r="C132" s="48">
        <v>0.04</v>
      </c>
      <c r="D132" s="48">
        <v>0.1054</v>
      </c>
      <c r="E132" s="49">
        <f t="shared" si="1"/>
        <v>0.002187441693</v>
      </c>
      <c r="F132" s="49">
        <f t="shared" si="2"/>
        <v>0.00008749766774</v>
      </c>
      <c r="G132" s="49">
        <f t="shared" si="3"/>
        <v>0.0002305563545</v>
      </c>
      <c r="H132" s="46"/>
      <c r="I132" s="46"/>
      <c r="J132" s="46"/>
      <c r="K132" s="46"/>
      <c r="L132" s="46"/>
      <c r="M132" s="46"/>
      <c r="N132" s="46"/>
      <c r="O132" s="46"/>
      <c r="P132" s="46"/>
      <c r="Q132" s="46"/>
      <c r="R132" s="46"/>
      <c r="S132" s="46"/>
      <c r="T132" s="46"/>
      <c r="U132" s="46"/>
      <c r="V132" s="46"/>
      <c r="W132" s="46"/>
      <c r="X132" s="46"/>
      <c r="Y132" s="46"/>
      <c r="Z132" s="46"/>
    </row>
    <row r="133" ht="22.5" customHeight="1">
      <c r="A133" s="47">
        <v>869100.0</v>
      </c>
      <c r="B133" s="47">
        <v>95500.0</v>
      </c>
      <c r="C133" s="48">
        <v>0.04</v>
      </c>
      <c r="D133" s="48">
        <v>0.1099</v>
      </c>
      <c r="E133" s="49">
        <f t="shared" si="1"/>
        <v>0.001808991717</v>
      </c>
      <c r="F133" s="49">
        <f t="shared" si="2"/>
        <v>0.0000723596687</v>
      </c>
      <c r="G133" s="49">
        <f t="shared" si="3"/>
        <v>0.0001988081898</v>
      </c>
      <c r="H133" s="46"/>
      <c r="I133" s="46"/>
      <c r="J133" s="46"/>
      <c r="K133" s="46"/>
      <c r="L133" s="46"/>
      <c r="M133" s="46"/>
      <c r="N133" s="46"/>
      <c r="O133" s="46"/>
      <c r="P133" s="46"/>
      <c r="Q133" s="46"/>
      <c r="R133" s="46"/>
      <c r="S133" s="46"/>
      <c r="T133" s="46"/>
      <c r="U133" s="46"/>
      <c r="V133" s="46"/>
      <c r="W133" s="46"/>
      <c r="X133" s="46"/>
      <c r="Y133" s="46"/>
      <c r="Z133" s="46"/>
    </row>
    <row r="134" ht="22.5" customHeight="1">
      <c r="A134" s="47">
        <v>2033259.0</v>
      </c>
      <c r="B134" s="47">
        <v>639629.0</v>
      </c>
      <c r="C134" s="48">
        <v>0.04</v>
      </c>
      <c r="D134" s="48">
        <v>0.3146</v>
      </c>
      <c r="E134" s="49">
        <f t="shared" si="1"/>
        <v>0.004232135186</v>
      </c>
      <c r="F134" s="49">
        <f t="shared" si="2"/>
        <v>0.0001692854075</v>
      </c>
      <c r="G134" s="49">
        <f t="shared" si="3"/>
        <v>0.00133142973</v>
      </c>
      <c r="H134" s="46"/>
      <c r="I134" s="46"/>
      <c r="J134" s="46"/>
      <c r="K134" s="46"/>
      <c r="L134" s="46"/>
      <c r="M134" s="46"/>
      <c r="N134" s="46"/>
      <c r="O134" s="46"/>
      <c r="P134" s="46"/>
      <c r="Q134" s="46"/>
      <c r="R134" s="46"/>
      <c r="S134" s="46"/>
      <c r="T134" s="46"/>
      <c r="U134" s="46"/>
      <c r="V134" s="46"/>
      <c r="W134" s="46"/>
      <c r="X134" s="46"/>
      <c r="Y134" s="46"/>
      <c r="Z134" s="46"/>
    </row>
    <row r="135" ht="22.5" customHeight="1">
      <c r="A135" s="47">
        <v>1816038.0</v>
      </c>
      <c r="B135" s="47">
        <v>221300.0</v>
      </c>
      <c r="C135" s="48">
        <v>0.04</v>
      </c>
      <c r="D135" s="48">
        <v>0.1219</v>
      </c>
      <c r="E135" s="49">
        <f t="shared" si="1"/>
        <v>0.003779999656</v>
      </c>
      <c r="F135" s="49">
        <f t="shared" si="2"/>
        <v>0.0001511999862</v>
      </c>
      <c r="G135" s="49">
        <f t="shared" si="3"/>
        <v>0.000460781958</v>
      </c>
      <c r="H135" s="46"/>
      <c r="I135" s="46"/>
      <c r="J135" s="46"/>
      <c r="K135" s="46"/>
      <c r="L135" s="46"/>
      <c r="M135" s="46"/>
      <c r="N135" s="46"/>
      <c r="O135" s="46"/>
      <c r="P135" s="46"/>
      <c r="Q135" s="46"/>
      <c r="R135" s="46"/>
      <c r="S135" s="46"/>
      <c r="T135" s="46"/>
      <c r="U135" s="46"/>
      <c r="V135" s="46"/>
      <c r="W135" s="46"/>
      <c r="X135" s="46"/>
      <c r="Y135" s="46"/>
      <c r="Z135" s="46"/>
    </row>
    <row r="136" ht="22.5" customHeight="1">
      <c r="A136" s="47">
        <v>436273.0</v>
      </c>
      <c r="B136" s="47">
        <v>66160.0</v>
      </c>
      <c r="C136" s="48">
        <v>0.02</v>
      </c>
      <c r="D136" s="48">
        <v>0.1516</v>
      </c>
      <c r="E136" s="49">
        <f t="shared" si="1"/>
        <v>0.0009080822041</v>
      </c>
      <c r="F136" s="49">
        <f t="shared" si="2"/>
        <v>0.00001816164408</v>
      </c>
      <c r="G136" s="49">
        <f t="shared" si="3"/>
        <v>0.0001376652621</v>
      </c>
      <c r="H136" s="46"/>
      <c r="I136" s="46"/>
      <c r="J136" s="46"/>
      <c r="K136" s="46"/>
      <c r="L136" s="46"/>
      <c r="M136" s="46"/>
      <c r="N136" s="46"/>
      <c r="O136" s="46"/>
      <c r="P136" s="46"/>
      <c r="Q136" s="46"/>
      <c r="R136" s="46"/>
      <c r="S136" s="46"/>
      <c r="T136" s="46"/>
      <c r="U136" s="46"/>
      <c r="V136" s="46"/>
      <c r="W136" s="46"/>
      <c r="X136" s="46"/>
      <c r="Y136" s="46"/>
      <c r="Z136" s="46"/>
    </row>
    <row r="137" ht="22.5" customHeight="1">
      <c r="A137" s="47">
        <v>733782.0</v>
      </c>
      <c r="B137" s="47">
        <v>55650.0</v>
      </c>
      <c r="C137" s="48">
        <v>0.04</v>
      </c>
      <c r="D137" s="48">
        <v>0.0758</v>
      </c>
      <c r="E137" s="49">
        <f t="shared" si="1"/>
        <v>0.001527333518</v>
      </c>
      <c r="F137" s="49">
        <f t="shared" si="2"/>
        <v>0.00006109334072</v>
      </c>
      <c r="G137" s="49">
        <f t="shared" si="3"/>
        <v>0.0001157718807</v>
      </c>
      <c r="H137" s="46"/>
      <c r="I137" s="46"/>
      <c r="J137" s="46"/>
      <c r="K137" s="46"/>
      <c r="L137" s="46"/>
      <c r="M137" s="46"/>
      <c r="N137" s="46"/>
      <c r="O137" s="46"/>
      <c r="P137" s="46"/>
      <c r="Q137" s="46"/>
      <c r="R137" s="46"/>
      <c r="S137" s="46"/>
      <c r="T137" s="46"/>
      <c r="U137" s="46"/>
      <c r="V137" s="46"/>
      <c r="W137" s="46"/>
      <c r="X137" s="46"/>
      <c r="Y137" s="46"/>
      <c r="Z137" s="46"/>
    </row>
    <row r="138" ht="22.5" customHeight="1">
      <c r="A138" s="47">
        <v>900980.0</v>
      </c>
      <c r="B138" s="47">
        <v>175375.0</v>
      </c>
      <c r="C138" s="48">
        <v>0.04</v>
      </c>
      <c r="D138" s="48">
        <v>0.1946</v>
      </c>
      <c r="E138" s="49">
        <f t="shared" si="1"/>
        <v>0.001875348473</v>
      </c>
      <c r="F138" s="49">
        <f t="shared" si="2"/>
        <v>0.00007501393891</v>
      </c>
      <c r="G138" s="49">
        <f t="shared" si="3"/>
        <v>0.0003649428128</v>
      </c>
      <c r="H138" s="46"/>
      <c r="I138" s="46"/>
      <c r="J138" s="46"/>
      <c r="K138" s="46"/>
      <c r="L138" s="46"/>
      <c r="M138" s="46"/>
      <c r="N138" s="46"/>
      <c r="O138" s="46"/>
      <c r="P138" s="46"/>
      <c r="Q138" s="46"/>
      <c r="R138" s="46"/>
      <c r="S138" s="46"/>
      <c r="T138" s="46"/>
      <c r="U138" s="46"/>
      <c r="V138" s="46"/>
      <c r="W138" s="46"/>
      <c r="X138" s="46"/>
      <c r="Y138" s="46"/>
      <c r="Z138" s="46"/>
    </row>
    <row r="139" ht="22.5" customHeight="1">
      <c r="A139" s="47">
        <v>693290.0</v>
      </c>
      <c r="B139" s="47">
        <v>60980.0</v>
      </c>
      <c r="C139" s="48">
        <v>0.06</v>
      </c>
      <c r="D139" s="48">
        <v>0.088</v>
      </c>
      <c r="E139" s="49">
        <f t="shared" si="1"/>
        <v>0.00144305128</v>
      </c>
      <c r="F139" s="49">
        <f t="shared" si="2"/>
        <v>0.00008658307683</v>
      </c>
      <c r="G139" s="49">
        <f t="shared" si="3"/>
        <v>0.0001269885127</v>
      </c>
      <c r="H139" s="46"/>
      <c r="I139" s="46"/>
      <c r="J139" s="46"/>
      <c r="K139" s="46"/>
      <c r="L139" s="46"/>
      <c r="M139" s="46"/>
      <c r="N139" s="46"/>
      <c r="O139" s="46"/>
      <c r="P139" s="46"/>
      <c r="Q139" s="46"/>
      <c r="R139" s="46"/>
      <c r="S139" s="46"/>
      <c r="T139" s="46"/>
      <c r="U139" s="46"/>
      <c r="V139" s="46"/>
      <c r="W139" s="46"/>
      <c r="X139" s="46"/>
      <c r="Y139" s="46"/>
      <c r="Z139" s="46"/>
    </row>
    <row r="140" ht="22.5" customHeight="1">
      <c r="A140" s="47">
        <v>1516350.0</v>
      </c>
      <c r="B140" s="47">
        <v>156800.0</v>
      </c>
      <c r="C140" s="48">
        <v>0.06</v>
      </c>
      <c r="D140" s="48">
        <v>0.1034</v>
      </c>
      <c r="E140" s="49">
        <f t="shared" si="1"/>
        <v>0.003156212853</v>
      </c>
      <c r="F140" s="49">
        <f t="shared" si="2"/>
        <v>0.0001893727712</v>
      </c>
      <c r="G140" s="49">
        <f t="shared" si="3"/>
        <v>0.000326352409</v>
      </c>
      <c r="H140" s="46"/>
      <c r="I140" s="46"/>
      <c r="J140" s="46"/>
      <c r="K140" s="46"/>
      <c r="L140" s="46"/>
      <c r="M140" s="46"/>
      <c r="N140" s="46"/>
      <c r="O140" s="46"/>
      <c r="P140" s="46"/>
      <c r="Q140" s="46"/>
      <c r="R140" s="46"/>
      <c r="S140" s="46"/>
      <c r="T140" s="46"/>
      <c r="U140" s="46"/>
      <c r="V140" s="46"/>
      <c r="W140" s="46"/>
      <c r="X140" s="46"/>
      <c r="Y140" s="46"/>
      <c r="Z140" s="46"/>
    </row>
    <row r="141" ht="22.5" customHeight="1">
      <c r="A141" s="47">
        <v>1393100.0</v>
      </c>
      <c r="B141" s="47">
        <v>322500.0</v>
      </c>
      <c r="C141" s="48">
        <v>0.08</v>
      </c>
      <c r="D141" s="48">
        <v>0.2315</v>
      </c>
      <c r="E141" s="49">
        <f t="shared" si="1"/>
        <v>0.002899673641</v>
      </c>
      <c r="F141" s="49">
        <f t="shared" si="2"/>
        <v>0.0002319738913</v>
      </c>
      <c r="G141" s="49">
        <f t="shared" si="3"/>
        <v>0.000671274448</v>
      </c>
      <c r="H141" s="46"/>
      <c r="I141" s="46"/>
      <c r="J141" s="46"/>
      <c r="K141" s="46"/>
      <c r="L141" s="46"/>
      <c r="M141" s="46"/>
      <c r="N141" s="46"/>
      <c r="O141" s="46"/>
      <c r="P141" s="46"/>
      <c r="Q141" s="46"/>
      <c r="R141" s="46"/>
      <c r="S141" s="46"/>
      <c r="T141" s="46"/>
      <c r="U141" s="46"/>
      <c r="V141" s="46"/>
      <c r="W141" s="46"/>
      <c r="X141" s="46"/>
      <c r="Y141" s="46"/>
      <c r="Z141" s="46"/>
    </row>
    <row r="142" ht="22.5" customHeight="1">
      <c r="A142" s="47">
        <v>380350.0</v>
      </c>
      <c r="B142" s="47">
        <v>64450.0</v>
      </c>
      <c r="C142" s="48">
        <v>0.11</v>
      </c>
      <c r="D142" s="48">
        <v>0.1694</v>
      </c>
      <c r="E142" s="49">
        <f t="shared" si="1"/>
        <v>0.0007916810491</v>
      </c>
      <c r="F142" s="49">
        <f t="shared" si="2"/>
        <v>0.0000870849154</v>
      </c>
      <c r="G142" s="49">
        <f t="shared" si="3"/>
        <v>0.0001341107697</v>
      </c>
      <c r="H142" s="46"/>
      <c r="I142" s="46"/>
      <c r="J142" s="46"/>
      <c r="K142" s="46"/>
      <c r="L142" s="46"/>
      <c r="M142" s="46"/>
      <c r="N142" s="46"/>
      <c r="O142" s="46"/>
      <c r="P142" s="46"/>
      <c r="Q142" s="46"/>
      <c r="R142" s="46"/>
      <c r="S142" s="46"/>
      <c r="T142" s="46"/>
      <c r="U142" s="46"/>
      <c r="V142" s="46"/>
      <c r="W142" s="46"/>
      <c r="X142" s="46"/>
      <c r="Y142" s="46"/>
      <c r="Z142" s="46"/>
    </row>
    <row r="143" ht="22.5" customHeight="1">
      <c r="A143" s="47">
        <v>607795.0</v>
      </c>
      <c r="B143" s="47">
        <v>93285.0</v>
      </c>
      <c r="C143" s="48">
        <v>0.05</v>
      </c>
      <c r="D143" s="48">
        <v>0.1535</v>
      </c>
      <c r="E143" s="49">
        <f t="shared" si="1"/>
        <v>0.001265097366</v>
      </c>
      <c r="F143" s="49">
        <f t="shared" si="2"/>
        <v>0.00006325486831</v>
      </c>
      <c r="G143" s="49">
        <f t="shared" si="3"/>
        <v>0.0001941924457</v>
      </c>
      <c r="H143" s="46"/>
      <c r="I143" s="46"/>
      <c r="J143" s="46"/>
      <c r="K143" s="46"/>
      <c r="L143" s="46"/>
      <c r="M143" s="46"/>
      <c r="N143" s="46"/>
      <c r="O143" s="46"/>
      <c r="P143" s="46"/>
      <c r="Q143" s="46"/>
      <c r="R143" s="46"/>
      <c r="S143" s="46"/>
      <c r="T143" s="46"/>
      <c r="U143" s="46"/>
      <c r="V143" s="46"/>
      <c r="W143" s="46"/>
      <c r="X143" s="46"/>
      <c r="Y143" s="46"/>
      <c r="Z143" s="46"/>
    </row>
    <row r="144" ht="22.5" customHeight="1">
      <c r="A144" s="47">
        <v>701419.0</v>
      </c>
      <c r="B144" s="47">
        <v>33600.0</v>
      </c>
      <c r="C144" s="48">
        <v>0.04</v>
      </c>
      <c r="D144" s="48">
        <v>0.0479</v>
      </c>
      <c r="E144" s="49">
        <f t="shared" si="1"/>
        <v>0.00145997142</v>
      </c>
      <c r="F144" s="49">
        <f t="shared" si="2"/>
        <v>0.00005839885682</v>
      </c>
      <c r="G144" s="49">
        <f t="shared" si="3"/>
        <v>0.00006993263104</v>
      </c>
      <c r="H144" s="46"/>
      <c r="I144" s="46"/>
      <c r="J144" s="46"/>
      <c r="K144" s="46"/>
      <c r="L144" s="46"/>
      <c r="M144" s="46"/>
      <c r="N144" s="46"/>
      <c r="O144" s="46"/>
      <c r="P144" s="46"/>
      <c r="Q144" s="46"/>
      <c r="R144" s="46"/>
      <c r="S144" s="46"/>
      <c r="T144" s="46"/>
      <c r="U144" s="46"/>
      <c r="V144" s="46"/>
      <c r="W144" s="46"/>
      <c r="X144" s="46"/>
      <c r="Y144" s="46"/>
      <c r="Z144" s="46"/>
    </row>
    <row r="145" ht="22.5" customHeight="1">
      <c r="A145" s="47">
        <v>577909.0</v>
      </c>
      <c r="B145" s="47">
        <v>33832.0</v>
      </c>
      <c r="C145" s="48">
        <v>0.04</v>
      </c>
      <c r="D145" s="48">
        <v>0.0585</v>
      </c>
      <c r="E145" s="49">
        <f t="shared" si="1"/>
        <v>0.00120289103</v>
      </c>
      <c r="F145" s="49">
        <f t="shared" si="2"/>
        <v>0.00004811564121</v>
      </c>
      <c r="G145" s="49">
        <f t="shared" si="3"/>
        <v>0.00007036912527</v>
      </c>
      <c r="H145" s="46"/>
      <c r="I145" s="46"/>
      <c r="J145" s="46"/>
      <c r="K145" s="46"/>
      <c r="L145" s="46"/>
      <c r="M145" s="46"/>
      <c r="N145" s="46"/>
      <c r="O145" s="46"/>
      <c r="P145" s="46"/>
      <c r="Q145" s="46"/>
      <c r="R145" s="46"/>
      <c r="S145" s="46"/>
      <c r="T145" s="46"/>
      <c r="U145" s="46"/>
      <c r="V145" s="46"/>
      <c r="W145" s="46"/>
      <c r="X145" s="46"/>
      <c r="Y145" s="46"/>
      <c r="Z145" s="46"/>
    </row>
    <row r="146" ht="22.5" customHeight="1">
      <c r="A146" s="47">
        <v>786745.0</v>
      </c>
      <c r="B146" s="47">
        <v>88174.0</v>
      </c>
      <c r="C146" s="48">
        <v>0.08</v>
      </c>
      <c r="D146" s="48">
        <v>0.1121</v>
      </c>
      <c r="E146" s="49">
        <f t="shared" si="1"/>
        <v>0.001637573569</v>
      </c>
      <c r="F146" s="49">
        <f t="shared" si="2"/>
        <v>0.0001310058855</v>
      </c>
      <c r="G146" s="49">
        <f t="shared" si="3"/>
        <v>0.0001835719971</v>
      </c>
      <c r="H146" s="46"/>
      <c r="I146" s="46"/>
      <c r="J146" s="46"/>
      <c r="K146" s="46"/>
      <c r="L146" s="46"/>
      <c r="M146" s="46"/>
      <c r="N146" s="46"/>
      <c r="O146" s="46"/>
      <c r="P146" s="46"/>
      <c r="Q146" s="46"/>
      <c r="R146" s="46"/>
      <c r="S146" s="46"/>
      <c r="T146" s="46"/>
      <c r="U146" s="46"/>
      <c r="V146" s="46"/>
      <c r="W146" s="46"/>
      <c r="X146" s="46"/>
      <c r="Y146" s="46"/>
      <c r="Z146" s="46"/>
    </row>
    <row r="147" ht="22.5" customHeight="1">
      <c r="A147" s="47">
        <v>1094493.0</v>
      </c>
      <c r="B147" s="47">
        <v>141400.0</v>
      </c>
      <c r="C147" s="48">
        <v>0.1</v>
      </c>
      <c r="D147" s="48">
        <v>0.1292</v>
      </c>
      <c r="E147" s="49">
        <f t="shared" si="1"/>
        <v>0.002278136891</v>
      </c>
      <c r="F147" s="49">
        <f t="shared" si="2"/>
        <v>0.0002278136891</v>
      </c>
      <c r="G147" s="49">
        <f t="shared" si="3"/>
        <v>0.0002943352863</v>
      </c>
      <c r="H147" s="46"/>
      <c r="I147" s="46"/>
      <c r="J147" s="46"/>
      <c r="K147" s="46"/>
      <c r="L147" s="46"/>
      <c r="M147" s="46"/>
      <c r="N147" s="46"/>
      <c r="O147" s="46"/>
      <c r="P147" s="46"/>
      <c r="Q147" s="46"/>
      <c r="R147" s="46"/>
      <c r="S147" s="46"/>
      <c r="T147" s="46"/>
      <c r="U147" s="46"/>
      <c r="V147" s="46"/>
      <c r="W147" s="46"/>
      <c r="X147" s="46"/>
      <c r="Y147" s="46"/>
      <c r="Z147" s="46"/>
    </row>
    <row r="148" ht="22.5" customHeight="1">
      <c r="A148" s="47">
        <v>654650.0</v>
      </c>
      <c r="B148" s="47">
        <v>23100.0</v>
      </c>
      <c r="C148" s="48">
        <v>0.1</v>
      </c>
      <c r="D148" s="48">
        <v>0.0353</v>
      </c>
      <c r="E148" s="49">
        <f t="shared" si="1"/>
        <v>0.001362623896</v>
      </c>
      <c r="F148" s="49">
        <f t="shared" si="2"/>
        <v>0.0001362623896</v>
      </c>
      <c r="G148" s="49">
        <f t="shared" si="3"/>
        <v>0.00004810062352</v>
      </c>
      <c r="H148" s="46"/>
      <c r="I148" s="46"/>
      <c r="J148" s="46"/>
      <c r="K148" s="46"/>
      <c r="L148" s="46"/>
      <c r="M148" s="46"/>
      <c r="N148" s="46"/>
      <c r="O148" s="46"/>
      <c r="P148" s="46"/>
      <c r="Q148" s="46"/>
      <c r="R148" s="46"/>
      <c r="S148" s="46"/>
      <c r="T148" s="46"/>
      <c r="U148" s="46"/>
      <c r="V148" s="46"/>
      <c r="W148" s="46"/>
      <c r="X148" s="46"/>
      <c r="Y148" s="46"/>
      <c r="Z148" s="46"/>
    </row>
    <row r="149" ht="22.5" customHeight="1">
      <c r="A149" s="47">
        <v>905000.0</v>
      </c>
      <c r="B149" s="47">
        <v>62100.0</v>
      </c>
      <c r="C149" s="48">
        <v>0.06</v>
      </c>
      <c r="D149" s="48">
        <v>0.0686</v>
      </c>
      <c r="E149" s="49">
        <f t="shared" si="1"/>
        <v>0.001883715918</v>
      </c>
      <c r="F149" s="49">
        <f t="shared" si="2"/>
        <v>0.0001130229551</v>
      </c>
      <c r="G149" s="49">
        <f t="shared" si="3"/>
        <v>0.000129222912</v>
      </c>
      <c r="H149" s="46"/>
      <c r="I149" s="46"/>
      <c r="J149" s="46"/>
      <c r="K149" s="46"/>
      <c r="L149" s="46"/>
      <c r="M149" s="46"/>
      <c r="N149" s="46"/>
      <c r="O149" s="46"/>
      <c r="P149" s="46"/>
      <c r="Q149" s="46"/>
      <c r="R149" s="46"/>
      <c r="S149" s="46"/>
      <c r="T149" s="46"/>
      <c r="U149" s="46"/>
      <c r="V149" s="46"/>
      <c r="W149" s="46"/>
      <c r="X149" s="46"/>
      <c r="Y149" s="46"/>
      <c r="Z149" s="46"/>
    </row>
    <row r="150" ht="22.5" customHeight="1">
      <c r="A150" s="47">
        <v>1089300.0</v>
      </c>
      <c r="B150" s="47">
        <v>129650.0</v>
      </c>
      <c r="C150" s="48">
        <v>0.05</v>
      </c>
      <c r="D150" s="48">
        <v>0.119</v>
      </c>
      <c r="E150" s="49">
        <f t="shared" si="1"/>
        <v>0.0022673279</v>
      </c>
      <c r="F150" s="49">
        <f t="shared" si="2"/>
        <v>0.000113366395</v>
      </c>
      <c r="G150" s="49">
        <f t="shared" si="3"/>
        <v>0.0002698120201</v>
      </c>
      <c r="H150" s="46"/>
      <c r="I150" s="46"/>
      <c r="J150" s="46"/>
      <c r="K150" s="46"/>
      <c r="L150" s="46"/>
      <c r="M150" s="46"/>
      <c r="N150" s="46"/>
      <c r="O150" s="46"/>
      <c r="P150" s="46"/>
      <c r="Q150" s="46"/>
      <c r="R150" s="46"/>
      <c r="S150" s="46"/>
      <c r="T150" s="46"/>
      <c r="U150" s="46"/>
      <c r="V150" s="46"/>
      <c r="W150" s="46"/>
      <c r="X150" s="46"/>
      <c r="Y150" s="46"/>
      <c r="Z150" s="46"/>
    </row>
    <row r="151" ht="22.5" customHeight="1">
      <c r="A151" s="47">
        <v>826545.0</v>
      </c>
      <c r="B151" s="47">
        <v>64200.0</v>
      </c>
      <c r="C151" s="48">
        <v>0.05</v>
      </c>
      <c r="D151" s="48">
        <v>0.0777</v>
      </c>
      <c r="E151" s="49">
        <f t="shared" si="1"/>
        <v>0.00172041544</v>
      </c>
      <c r="F151" s="49">
        <f t="shared" si="2"/>
        <v>0.00008602077201</v>
      </c>
      <c r="G151" s="49">
        <f t="shared" si="3"/>
        <v>0.0001336762797</v>
      </c>
      <c r="H151" s="46"/>
      <c r="I151" s="46"/>
      <c r="J151" s="46"/>
      <c r="K151" s="46"/>
      <c r="L151" s="46"/>
      <c r="M151" s="46"/>
      <c r="N151" s="46"/>
      <c r="O151" s="46"/>
      <c r="P151" s="46"/>
      <c r="Q151" s="46"/>
      <c r="R151" s="46"/>
      <c r="S151" s="46"/>
      <c r="T151" s="46"/>
      <c r="U151" s="46"/>
      <c r="V151" s="46"/>
      <c r="W151" s="46"/>
      <c r="X151" s="46"/>
      <c r="Y151" s="46"/>
      <c r="Z151" s="46"/>
    </row>
    <row r="152" ht="22.5" customHeight="1">
      <c r="A152" s="47">
        <v>731386.0</v>
      </c>
      <c r="B152" s="47">
        <v>70451.0</v>
      </c>
      <c r="C152" s="48">
        <v>0.1</v>
      </c>
      <c r="D152" s="48">
        <v>0.0963</v>
      </c>
      <c r="E152" s="49">
        <f t="shared" si="1"/>
        <v>0.001522346354</v>
      </c>
      <c r="F152" s="49">
        <f t="shared" si="2"/>
        <v>0.0001522346354</v>
      </c>
      <c r="G152" s="49">
        <f t="shared" si="3"/>
        <v>0.0001466019539</v>
      </c>
      <c r="H152" s="46"/>
      <c r="I152" s="46"/>
      <c r="J152" s="46"/>
      <c r="K152" s="46"/>
      <c r="L152" s="46"/>
      <c r="M152" s="46"/>
      <c r="N152" s="46"/>
      <c r="O152" s="46"/>
      <c r="P152" s="46"/>
      <c r="Q152" s="46"/>
      <c r="R152" s="46"/>
      <c r="S152" s="46"/>
      <c r="T152" s="46"/>
      <c r="U152" s="46"/>
      <c r="V152" s="46"/>
      <c r="W152" s="46"/>
      <c r="X152" s="46"/>
      <c r="Y152" s="46"/>
      <c r="Z152" s="46"/>
    </row>
    <row r="153" ht="22.5" customHeight="1">
      <c r="A153" s="47">
        <v>1130164.0</v>
      </c>
      <c r="B153" s="47">
        <v>153934.0</v>
      </c>
      <c r="C153" s="48">
        <v>0.1</v>
      </c>
      <c r="D153" s="48">
        <v>0.1362</v>
      </c>
      <c r="E153" s="49">
        <f t="shared" si="1"/>
        <v>0.002352384438</v>
      </c>
      <c r="F153" s="49">
        <f t="shared" si="2"/>
        <v>0.0002352384438</v>
      </c>
      <c r="G153" s="49">
        <f t="shared" si="3"/>
        <v>0.0003203947605</v>
      </c>
      <c r="H153" s="46"/>
      <c r="I153" s="46"/>
      <c r="J153" s="46"/>
      <c r="K153" s="46"/>
      <c r="L153" s="46"/>
      <c r="M153" s="46"/>
      <c r="N153" s="46"/>
      <c r="O153" s="46"/>
      <c r="P153" s="46"/>
      <c r="Q153" s="46"/>
      <c r="R153" s="46"/>
      <c r="S153" s="46"/>
      <c r="T153" s="46"/>
      <c r="U153" s="46"/>
      <c r="V153" s="46"/>
      <c r="W153" s="46"/>
      <c r="X153" s="46"/>
      <c r="Y153" s="46"/>
      <c r="Z153" s="46"/>
    </row>
    <row r="154" ht="22.5" customHeight="1">
      <c r="A154" s="47">
        <v>767385.0</v>
      </c>
      <c r="B154" s="47">
        <v>97361.0</v>
      </c>
      <c r="C154" s="48">
        <v>0.05</v>
      </c>
      <c r="D154" s="48">
        <v>0.1269</v>
      </c>
      <c r="E154" s="49">
        <f t="shared" si="1"/>
        <v>0.001597276618</v>
      </c>
      <c r="F154" s="49">
        <f t="shared" si="2"/>
        <v>0.00007986383092</v>
      </c>
      <c r="G154" s="49">
        <f t="shared" si="3"/>
        <v>0.0002026944029</v>
      </c>
      <c r="H154" s="46"/>
      <c r="I154" s="46"/>
      <c r="J154" s="46"/>
      <c r="K154" s="46"/>
      <c r="L154" s="46"/>
      <c r="M154" s="46"/>
      <c r="N154" s="46"/>
      <c r="O154" s="46"/>
      <c r="P154" s="46"/>
      <c r="Q154" s="46"/>
      <c r="R154" s="46"/>
      <c r="S154" s="46"/>
      <c r="T154" s="46"/>
      <c r="U154" s="46"/>
      <c r="V154" s="46"/>
      <c r="W154" s="46"/>
      <c r="X154" s="46"/>
      <c r="Y154" s="46"/>
      <c r="Z154" s="46"/>
    </row>
    <row r="155" ht="22.5" customHeight="1">
      <c r="A155" s="47">
        <v>1035893.0</v>
      </c>
      <c r="B155" s="47">
        <v>113700.0</v>
      </c>
      <c r="C155" s="48">
        <v>0.08</v>
      </c>
      <c r="D155" s="48">
        <v>0.1098</v>
      </c>
      <c r="E155" s="49">
        <f t="shared" si="1"/>
        <v>0.002156163683</v>
      </c>
      <c r="F155" s="49">
        <f t="shared" si="2"/>
        <v>0.0001724930947</v>
      </c>
      <c r="G155" s="49">
        <f t="shared" si="3"/>
        <v>0.0002367467724</v>
      </c>
      <c r="H155" s="46"/>
      <c r="I155" s="46"/>
      <c r="J155" s="46"/>
      <c r="K155" s="46"/>
      <c r="L155" s="46"/>
      <c r="M155" s="46"/>
      <c r="N155" s="46"/>
      <c r="O155" s="46"/>
      <c r="P155" s="46"/>
      <c r="Q155" s="46"/>
      <c r="R155" s="46"/>
      <c r="S155" s="46"/>
      <c r="T155" s="46"/>
      <c r="U155" s="46"/>
      <c r="V155" s="46"/>
      <c r="W155" s="46"/>
      <c r="X155" s="46"/>
      <c r="Y155" s="46"/>
      <c r="Z155" s="46"/>
    </row>
    <row r="156" ht="22.5" customHeight="1">
      <c r="A156" s="47">
        <v>492301.0</v>
      </c>
      <c r="B156" s="47">
        <v>200388.0</v>
      </c>
      <c r="C156" s="48">
        <v>0.08</v>
      </c>
      <c r="D156" s="48">
        <v>0.407</v>
      </c>
      <c r="E156" s="49">
        <f t="shared" si="1"/>
        <v>0.001024701912</v>
      </c>
      <c r="F156" s="49">
        <f t="shared" si="2"/>
        <v>0.00008197615294</v>
      </c>
      <c r="G156" s="49">
        <f t="shared" si="3"/>
        <v>0.0004170536781</v>
      </c>
      <c r="H156" s="46"/>
      <c r="I156" s="46"/>
      <c r="J156" s="46"/>
      <c r="K156" s="46"/>
      <c r="L156" s="46"/>
      <c r="M156" s="46"/>
      <c r="N156" s="46"/>
      <c r="O156" s="46"/>
      <c r="P156" s="46"/>
      <c r="Q156" s="46"/>
      <c r="R156" s="46"/>
      <c r="S156" s="46"/>
      <c r="T156" s="46"/>
      <c r="U156" s="46"/>
      <c r="V156" s="46"/>
      <c r="W156" s="46"/>
      <c r="X156" s="46"/>
      <c r="Y156" s="46"/>
      <c r="Z156" s="46"/>
    </row>
    <row r="157" ht="22.5" customHeight="1">
      <c r="A157" s="47">
        <v>178555.0</v>
      </c>
      <c r="B157" s="47">
        <v>49810.0</v>
      </c>
      <c r="C157" s="48">
        <v>0.06</v>
      </c>
      <c r="D157" s="48">
        <v>0.279</v>
      </c>
      <c r="E157" s="49">
        <f t="shared" si="1"/>
        <v>0.0003716540284</v>
      </c>
      <c r="F157" s="49">
        <f t="shared" si="2"/>
        <v>0.00002229924171</v>
      </c>
      <c r="G157" s="49">
        <f t="shared" si="3"/>
        <v>0.0001036914739</v>
      </c>
      <c r="H157" s="46"/>
      <c r="I157" s="46"/>
      <c r="J157" s="46"/>
      <c r="K157" s="46"/>
      <c r="L157" s="46"/>
      <c r="M157" s="46"/>
      <c r="N157" s="46"/>
      <c r="O157" s="46"/>
      <c r="P157" s="46"/>
      <c r="Q157" s="46"/>
      <c r="R157" s="46"/>
      <c r="S157" s="46"/>
      <c r="T157" s="46"/>
      <c r="U157" s="46"/>
      <c r="V157" s="46"/>
      <c r="W157" s="46"/>
      <c r="X157" s="46"/>
      <c r="Y157" s="46"/>
      <c r="Z157" s="46"/>
    </row>
    <row r="158" ht="22.5" customHeight="1">
      <c r="A158" s="47">
        <v>240700.0</v>
      </c>
      <c r="B158" s="47">
        <v>95100.0</v>
      </c>
      <c r="C158" s="48">
        <v>0.08</v>
      </c>
      <c r="D158" s="48">
        <v>0.3951</v>
      </c>
      <c r="E158" s="49">
        <f t="shared" si="1"/>
        <v>0.0005010059906</v>
      </c>
      <c r="F158" s="49">
        <f t="shared" si="2"/>
        <v>0.00004008047925</v>
      </c>
      <c r="G158" s="49">
        <f t="shared" si="3"/>
        <v>0.0001979474669</v>
      </c>
      <c r="H158" s="46"/>
      <c r="I158" s="46"/>
      <c r="J158" s="46"/>
      <c r="K158" s="46"/>
      <c r="L158" s="46"/>
      <c r="M158" s="46"/>
      <c r="N158" s="46"/>
      <c r="O158" s="46"/>
      <c r="P158" s="46"/>
      <c r="Q158" s="46"/>
      <c r="R158" s="46"/>
      <c r="S158" s="46"/>
      <c r="T158" s="46"/>
      <c r="U158" s="46"/>
      <c r="V158" s="46"/>
      <c r="W158" s="46"/>
      <c r="X158" s="46"/>
      <c r="Y158" s="46"/>
      <c r="Z158" s="46"/>
    </row>
    <row r="159" ht="22.5" customHeight="1">
      <c r="A159" s="47">
        <v>244875.0</v>
      </c>
      <c r="B159" s="47">
        <v>82700.0</v>
      </c>
      <c r="C159" s="48">
        <v>0.08</v>
      </c>
      <c r="D159" s="48">
        <v>0.3377</v>
      </c>
      <c r="E159" s="49">
        <f t="shared" si="1"/>
        <v>0.0005096960612</v>
      </c>
      <c r="F159" s="49">
        <f t="shared" si="2"/>
        <v>0.0000407756849</v>
      </c>
      <c r="G159" s="49">
        <f t="shared" si="3"/>
        <v>0.0001721243599</v>
      </c>
      <c r="H159" s="46"/>
      <c r="I159" s="46"/>
      <c r="J159" s="46"/>
      <c r="K159" s="46"/>
      <c r="L159" s="46"/>
      <c r="M159" s="46"/>
      <c r="N159" s="46"/>
      <c r="O159" s="46"/>
      <c r="P159" s="46"/>
      <c r="Q159" s="46"/>
      <c r="R159" s="46"/>
      <c r="S159" s="46"/>
      <c r="T159" s="46"/>
      <c r="U159" s="46"/>
      <c r="V159" s="46"/>
      <c r="W159" s="46"/>
      <c r="X159" s="46"/>
      <c r="Y159" s="46"/>
      <c r="Z159" s="46"/>
    </row>
    <row r="160" ht="22.5" customHeight="1">
      <c r="A160" s="47">
        <v>196680.0</v>
      </c>
      <c r="B160" s="47">
        <v>56680.0</v>
      </c>
      <c r="C160" s="48">
        <v>0.08</v>
      </c>
      <c r="D160" s="48">
        <v>0.2882</v>
      </c>
      <c r="E160" s="49">
        <f t="shared" si="1"/>
        <v>0.0004093803832</v>
      </c>
      <c r="F160" s="49">
        <f t="shared" si="2"/>
        <v>0.00003275043065</v>
      </c>
      <c r="G160" s="49">
        <f t="shared" si="3"/>
        <v>0.0001179834264</v>
      </c>
      <c r="H160" s="46"/>
      <c r="I160" s="46"/>
      <c r="J160" s="46"/>
      <c r="K160" s="46"/>
      <c r="L160" s="46"/>
      <c r="M160" s="46"/>
      <c r="N160" s="46"/>
      <c r="O160" s="46"/>
      <c r="P160" s="46"/>
      <c r="Q160" s="46"/>
      <c r="R160" s="46"/>
      <c r="S160" s="46"/>
      <c r="T160" s="46"/>
      <c r="U160" s="46"/>
      <c r="V160" s="46"/>
      <c r="W160" s="46"/>
      <c r="X160" s="46"/>
      <c r="Y160" s="46"/>
      <c r="Z160" s="46"/>
    </row>
    <row r="161" ht="22.5" customHeight="1">
      <c r="A161" s="47">
        <v>263800.0</v>
      </c>
      <c r="B161" s="47">
        <v>61900.0</v>
      </c>
      <c r="C161" s="48">
        <v>0.08</v>
      </c>
      <c r="D161" s="48">
        <v>0.2346</v>
      </c>
      <c r="E161" s="49">
        <f t="shared" si="1"/>
        <v>0.0005490875792</v>
      </c>
      <c r="F161" s="49">
        <f t="shared" si="2"/>
        <v>0.00004392700634</v>
      </c>
      <c r="G161" s="49">
        <f t="shared" si="3"/>
        <v>0.0001288159461</v>
      </c>
      <c r="H161" s="46"/>
      <c r="I161" s="46"/>
      <c r="J161" s="46"/>
      <c r="K161" s="46"/>
      <c r="L161" s="46"/>
      <c r="M161" s="46"/>
      <c r="N161" s="46"/>
      <c r="O161" s="46"/>
      <c r="P161" s="46"/>
      <c r="Q161" s="46"/>
      <c r="R161" s="46"/>
      <c r="S161" s="46"/>
      <c r="T161" s="46"/>
      <c r="U161" s="46"/>
      <c r="V161" s="46"/>
      <c r="W161" s="46"/>
      <c r="X161" s="46"/>
      <c r="Y161" s="46"/>
      <c r="Z161" s="46"/>
    </row>
    <row r="162" ht="22.5" customHeight="1">
      <c r="A162" s="47">
        <v>3549785.0</v>
      </c>
      <c r="B162" s="47">
        <v>549770.0</v>
      </c>
      <c r="C162" s="48">
        <v>0.12</v>
      </c>
      <c r="D162" s="48">
        <v>0.1549</v>
      </c>
      <c r="E162" s="49">
        <f t="shared" si="1"/>
        <v>0.007388714376</v>
      </c>
      <c r="F162" s="49">
        <f t="shared" si="2"/>
        <v>0.0008866457251</v>
      </c>
      <c r="G162" s="49">
        <f t="shared" si="3"/>
        <v>0.001144511857</v>
      </c>
      <c r="H162" s="46"/>
      <c r="I162" s="46"/>
      <c r="J162" s="46"/>
      <c r="K162" s="46"/>
      <c r="L162" s="46"/>
      <c r="M162" s="46"/>
      <c r="N162" s="46"/>
      <c r="O162" s="46"/>
      <c r="P162" s="46"/>
      <c r="Q162" s="46"/>
      <c r="R162" s="46"/>
      <c r="S162" s="46"/>
      <c r="T162" s="46"/>
      <c r="U162" s="46"/>
      <c r="V162" s="46"/>
      <c r="W162" s="46"/>
      <c r="X162" s="46"/>
      <c r="Y162" s="46"/>
      <c r="Z162" s="46"/>
    </row>
    <row r="163" ht="22.5" customHeight="1">
      <c r="A163" s="47">
        <v>8112248.24</v>
      </c>
      <c r="B163" s="47">
        <v>262047.76</v>
      </c>
      <c r="C163" s="48">
        <v>0.06</v>
      </c>
      <c r="D163" s="48">
        <v>0.0323</v>
      </c>
      <c r="E163" s="49">
        <f t="shared" si="1"/>
        <v>0.01688527198</v>
      </c>
      <c r="F163" s="49">
        <f t="shared" si="2"/>
        <v>0.001013116319</v>
      </c>
      <c r="G163" s="49">
        <f t="shared" si="3"/>
        <v>0.0005453942849</v>
      </c>
      <c r="H163" s="46"/>
      <c r="I163" s="46"/>
      <c r="J163" s="46"/>
      <c r="K163" s="46"/>
      <c r="L163" s="46"/>
      <c r="M163" s="46"/>
      <c r="N163" s="46"/>
      <c r="O163" s="46"/>
      <c r="P163" s="46"/>
      <c r="Q163" s="46"/>
      <c r="R163" s="46"/>
      <c r="S163" s="46"/>
      <c r="T163" s="46"/>
      <c r="U163" s="46"/>
      <c r="V163" s="46"/>
      <c r="W163" s="46"/>
      <c r="X163" s="46"/>
      <c r="Y163" s="46"/>
      <c r="Z163" s="46"/>
    </row>
    <row r="164" ht="22.5" customHeight="1">
      <c r="A164" s="47">
        <v>5573030.63</v>
      </c>
      <c r="B164" s="47">
        <v>673076.26</v>
      </c>
      <c r="C164" s="48">
        <v>0.06</v>
      </c>
      <c r="D164" s="48">
        <v>0.1208</v>
      </c>
      <c r="E164" s="49">
        <f t="shared" si="1"/>
        <v>0.01160000719</v>
      </c>
      <c r="F164" s="49">
        <f t="shared" si="2"/>
        <v>0.0006960004316</v>
      </c>
      <c r="G164" s="49">
        <f t="shared" si="3"/>
        <v>0.001401280869</v>
      </c>
      <c r="H164" s="46"/>
      <c r="I164" s="46"/>
      <c r="J164" s="46"/>
      <c r="K164" s="46"/>
      <c r="L164" s="46"/>
      <c r="M164" s="46"/>
      <c r="N164" s="46"/>
      <c r="O164" s="46"/>
      <c r="P164" s="46"/>
      <c r="Q164" s="46"/>
      <c r="R164" s="46"/>
      <c r="S164" s="46"/>
      <c r="T164" s="46"/>
      <c r="U164" s="46"/>
      <c r="V164" s="46"/>
      <c r="W164" s="46"/>
      <c r="X164" s="46"/>
      <c r="Y164" s="46"/>
      <c r="Z164" s="46"/>
    </row>
    <row r="165" ht="22.5" customHeight="1">
      <c r="A165" s="47">
        <v>6303186.78</v>
      </c>
      <c r="B165" s="47">
        <v>1220571.19</v>
      </c>
      <c r="C165" s="48">
        <v>0.06</v>
      </c>
      <c r="D165" s="48">
        <v>0.1936</v>
      </c>
      <c r="E165" s="49">
        <f t="shared" si="1"/>
        <v>0.01311979367</v>
      </c>
      <c r="F165" s="49">
        <f t="shared" si="2"/>
        <v>0.0007871876202</v>
      </c>
      <c r="G165" s="49">
        <f t="shared" si="3"/>
        <v>0.002539992055</v>
      </c>
      <c r="H165" s="46"/>
      <c r="I165" s="46"/>
      <c r="J165" s="46"/>
      <c r="K165" s="46"/>
      <c r="L165" s="46"/>
      <c r="M165" s="46"/>
      <c r="N165" s="46"/>
      <c r="O165" s="46"/>
      <c r="P165" s="46"/>
      <c r="Q165" s="46"/>
      <c r="R165" s="46"/>
      <c r="S165" s="46"/>
      <c r="T165" s="46"/>
      <c r="U165" s="46"/>
      <c r="V165" s="46"/>
      <c r="W165" s="46"/>
      <c r="X165" s="46"/>
      <c r="Y165" s="46"/>
      <c r="Z165" s="46"/>
    </row>
    <row r="166" ht="22.5" customHeight="1">
      <c r="A166" s="47">
        <v>2032376.29</v>
      </c>
      <c r="B166" s="47">
        <v>164492.37</v>
      </c>
      <c r="C166" s="48">
        <v>0.06</v>
      </c>
      <c r="D166" s="48">
        <v>0.0809</v>
      </c>
      <c r="E166" s="49">
        <f t="shared" si="1"/>
        <v>0.004230297866</v>
      </c>
      <c r="F166" s="49">
        <f t="shared" si="2"/>
        <v>0.000253817872</v>
      </c>
      <c r="G166" s="49">
        <f t="shared" si="3"/>
        <v>0.0003422310974</v>
      </c>
      <c r="H166" s="46"/>
      <c r="I166" s="46"/>
      <c r="J166" s="46"/>
      <c r="K166" s="46"/>
      <c r="L166" s="46"/>
      <c r="M166" s="46"/>
      <c r="N166" s="46"/>
      <c r="O166" s="46"/>
      <c r="P166" s="46"/>
      <c r="Q166" s="46"/>
      <c r="R166" s="46"/>
      <c r="S166" s="46"/>
      <c r="T166" s="46"/>
      <c r="U166" s="46"/>
      <c r="V166" s="46"/>
      <c r="W166" s="46"/>
      <c r="X166" s="46"/>
      <c r="Y166" s="46"/>
      <c r="Z166" s="46"/>
    </row>
    <row r="167" ht="22.5" customHeight="1">
      <c r="A167" s="47">
        <v>820335.0</v>
      </c>
      <c r="B167" s="47">
        <v>158650.0</v>
      </c>
      <c r="C167" s="48">
        <v>0.1</v>
      </c>
      <c r="D167" s="48">
        <v>0.1934</v>
      </c>
      <c r="E167" s="49">
        <f t="shared" si="1"/>
        <v>0.001707489611</v>
      </c>
      <c r="F167" s="49">
        <f t="shared" si="2"/>
        <v>0.0001707489611</v>
      </c>
      <c r="G167" s="49">
        <f t="shared" si="3"/>
        <v>0.0003302284907</v>
      </c>
      <c r="H167" s="46"/>
      <c r="I167" s="46"/>
      <c r="J167" s="46"/>
      <c r="K167" s="46"/>
      <c r="L167" s="46"/>
      <c r="M167" s="46"/>
      <c r="N167" s="46"/>
      <c r="O167" s="46"/>
      <c r="P167" s="46"/>
      <c r="Q167" s="46"/>
      <c r="R167" s="46"/>
      <c r="S167" s="46"/>
      <c r="T167" s="46"/>
      <c r="U167" s="46"/>
      <c r="V167" s="46"/>
      <c r="W167" s="46"/>
      <c r="X167" s="46"/>
      <c r="Y167" s="46"/>
      <c r="Z167" s="46"/>
    </row>
    <row r="168" ht="22.5" customHeight="1">
      <c r="A168" s="47">
        <v>1122970.0</v>
      </c>
      <c r="B168" s="47">
        <v>219600.0</v>
      </c>
      <c r="C168" s="48">
        <v>0.07</v>
      </c>
      <c r="D168" s="48">
        <v>0.1956</v>
      </c>
      <c r="E168" s="49">
        <f t="shared" si="1"/>
        <v>0.002337410458</v>
      </c>
      <c r="F168" s="49">
        <f t="shared" si="2"/>
        <v>0.0001636187321</v>
      </c>
      <c r="G168" s="49">
        <f t="shared" si="3"/>
        <v>0.0004571974856</v>
      </c>
      <c r="H168" s="46"/>
      <c r="I168" s="46"/>
      <c r="J168" s="46"/>
      <c r="K168" s="46"/>
      <c r="L168" s="46"/>
      <c r="M168" s="46"/>
      <c r="N168" s="46"/>
      <c r="O168" s="46"/>
      <c r="P168" s="46"/>
      <c r="Q168" s="46"/>
      <c r="R168" s="46"/>
      <c r="S168" s="46"/>
      <c r="T168" s="46"/>
      <c r="U168" s="46"/>
      <c r="V168" s="46"/>
      <c r="W168" s="46"/>
      <c r="X168" s="46"/>
      <c r="Y168" s="46"/>
      <c r="Z168" s="46"/>
    </row>
    <row r="169" ht="22.5" customHeight="1">
      <c r="A169" s="47">
        <v>1865795.0</v>
      </c>
      <c r="B169" s="47">
        <v>429340.0</v>
      </c>
      <c r="C169" s="48">
        <v>0.12</v>
      </c>
      <c r="D169" s="48">
        <v>0.2301</v>
      </c>
      <c r="E169" s="49">
        <f t="shared" si="1"/>
        <v>0.003883566565</v>
      </c>
      <c r="F169" s="49">
        <f t="shared" si="2"/>
        <v>0.0004660279878</v>
      </c>
      <c r="G169" s="49">
        <f t="shared" si="3"/>
        <v>0.0008936086666</v>
      </c>
      <c r="H169" s="46"/>
      <c r="I169" s="46"/>
      <c r="J169" s="46"/>
      <c r="K169" s="46"/>
      <c r="L169" s="46"/>
      <c r="M169" s="46"/>
      <c r="N169" s="46"/>
      <c r="O169" s="46"/>
      <c r="P169" s="46"/>
      <c r="Q169" s="46"/>
      <c r="R169" s="46"/>
      <c r="S169" s="46"/>
      <c r="T169" s="46"/>
      <c r="U169" s="46"/>
      <c r="V169" s="46"/>
      <c r="W169" s="46"/>
      <c r="X169" s="46"/>
      <c r="Y169" s="46"/>
      <c r="Z169" s="46"/>
    </row>
    <row r="170" ht="22.5" customHeight="1">
      <c r="A170" s="47">
        <v>143660.0</v>
      </c>
      <c r="B170" s="47">
        <v>121330.0</v>
      </c>
      <c r="C170" s="48">
        <v>0.06</v>
      </c>
      <c r="D170" s="48">
        <v>0.8446</v>
      </c>
      <c r="E170" s="49">
        <f t="shared" si="1"/>
        <v>0.0002990216893</v>
      </c>
      <c r="F170" s="49">
        <f t="shared" si="2"/>
        <v>0.00001794130136</v>
      </c>
      <c r="G170" s="49">
        <f t="shared" si="3"/>
        <v>0.0002525537187</v>
      </c>
      <c r="H170" s="46"/>
      <c r="I170" s="46"/>
      <c r="J170" s="46"/>
      <c r="K170" s="46"/>
      <c r="L170" s="46"/>
      <c r="M170" s="46"/>
      <c r="N170" s="46"/>
      <c r="O170" s="46"/>
      <c r="P170" s="46"/>
      <c r="Q170" s="46"/>
      <c r="R170" s="46"/>
      <c r="S170" s="46"/>
      <c r="T170" s="46"/>
      <c r="U170" s="46"/>
      <c r="V170" s="46"/>
      <c r="W170" s="46"/>
      <c r="X170" s="46"/>
      <c r="Y170" s="46"/>
      <c r="Z170" s="46"/>
    </row>
    <row r="171" ht="22.5" customHeight="1">
      <c r="A171" s="47">
        <v>1026000.0</v>
      </c>
      <c r="B171" s="47">
        <v>30800.0</v>
      </c>
      <c r="C171" s="48">
        <v>0.03</v>
      </c>
      <c r="D171" s="48">
        <v>0.03</v>
      </c>
      <c r="E171" s="49">
        <f t="shared" si="1"/>
        <v>0.002135571858</v>
      </c>
      <c r="F171" s="49">
        <f t="shared" si="2"/>
        <v>0.00006406715575</v>
      </c>
      <c r="G171" s="49">
        <f t="shared" si="3"/>
        <v>0.00006406715575</v>
      </c>
      <c r="H171" s="46"/>
      <c r="I171" s="46"/>
      <c r="J171" s="46"/>
      <c r="K171" s="46"/>
      <c r="L171" s="46"/>
      <c r="M171" s="46"/>
      <c r="N171" s="46"/>
      <c r="O171" s="46"/>
      <c r="P171" s="46"/>
      <c r="Q171" s="46"/>
      <c r="R171" s="46"/>
      <c r="S171" s="46"/>
      <c r="T171" s="46"/>
      <c r="U171" s="46"/>
      <c r="V171" s="46"/>
      <c r="W171" s="46"/>
      <c r="X171" s="46"/>
      <c r="Y171" s="46"/>
      <c r="Z171" s="46"/>
    </row>
    <row r="172" ht="22.5" customHeight="1">
      <c r="A172" s="47">
        <v>847130.0</v>
      </c>
      <c r="B172" s="47">
        <v>27700.0</v>
      </c>
      <c r="C172" s="48">
        <v>0.03</v>
      </c>
      <c r="D172" s="48">
        <v>0.0327</v>
      </c>
      <c r="E172" s="49">
        <f t="shared" si="1"/>
        <v>0.001763262172</v>
      </c>
      <c r="F172" s="49">
        <f t="shared" si="2"/>
        <v>0.00005289786516</v>
      </c>
      <c r="G172" s="49">
        <f t="shared" si="3"/>
        <v>0.00005765867302</v>
      </c>
      <c r="H172" s="46"/>
      <c r="I172" s="46"/>
      <c r="J172" s="46"/>
      <c r="K172" s="46"/>
      <c r="L172" s="46"/>
      <c r="M172" s="46"/>
      <c r="N172" s="46"/>
      <c r="O172" s="46"/>
      <c r="P172" s="46"/>
      <c r="Q172" s="46"/>
      <c r="R172" s="46"/>
      <c r="S172" s="46"/>
      <c r="T172" s="46"/>
      <c r="U172" s="46"/>
      <c r="V172" s="46"/>
      <c r="W172" s="46"/>
      <c r="X172" s="46"/>
      <c r="Y172" s="46"/>
      <c r="Z172" s="46"/>
    </row>
    <row r="173" ht="22.5" customHeight="1">
      <c r="A173" s="47">
        <v>666390.0</v>
      </c>
      <c r="B173" s="47">
        <v>81510.0</v>
      </c>
      <c r="C173" s="48">
        <v>0.04</v>
      </c>
      <c r="D173" s="48">
        <v>0.1223</v>
      </c>
      <c r="E173" s="49">
        <f t="shared" si="1"/>
        <v>0.001387060166</v>
      </c>
      <c r="F173" s="49">
        <f t="shared" si="2"/>
        <v>0.00005548240666</v>
      </c>
      <c r="G173" s="49">
        <f t="shared" si="3"/>
        <v>0.0001696374584</v>
      </c>
      <c r="H173" s="46"/>
      <c r="I173" s="46"/>
      <c r="J173" s="46"/>
      <c r="K173" s="46"/>
      <c r="L173" s="46"/>
      <c r="M173" s="46"/>
      <c r="N173" s="46"/>
      <c r="O173" s="46"/>
      <c r="P173" s="46"/>
      <c r="Q173" s="46"/>
      <c r="R173" s="46"/>
      <c r="S173" s="46"/>
      <c r="T173" s="46"/>
      <c r="U173" s="46"/>
      <c r="V173" s="46"/>
      <c r="W173" s="46"/>
      <c r="X173" s="46"/>
      <c r="Y173" s="46"/>
      <c r="Z173" s="46"/>
    </row>
    <row r="174" ht="22.5" customHeight="1">
      <c r="A174" s="47">
        <v>569395.0</v>
      </c>
      <c r="B174" s="47">
        <v>63500.0</v>
      </c>
      <c r="C174" s="48">
        <v>0.04</v>
      </c>
      <c r="D174" s="48">
        <v>0.1115</v>
      </c>
      <c r="E174" s="49">
        <f t="shared" si="1"/>
        <v>0.001185169531</v>
      </c>
      <c r="F174" s="49">
        <f t="shared" si="2"/>
        <v>0.00004740678122</v>
      </c>
      <c r="G174" s="49">
        <f t="shared" si="3"/>
        <v>0.0001321464027</v>
      </c>
      <c r="H174" s="46"/>
      <c r="I174" s="46"/>
      <c r="J174" s="46"/>
      <c r="K174" s="46"/>
      <c r="L174" s="46"/>
      <c r="M174" s="46"/>
      <c r="N174" s="46"/>
      <c r="O174" s="46"/>
      <c r="P174" s="46"/>
      <c r="Q174" s="46"/>
      <c r="R174" s="46"/>
      <c r="S174" s="46"/>
      <c r="T174" s="46"/>
      <c r="U174" s="46"/>
      <c r="V174" s="46"/>
      <c r="W174" s="46"/>
      <c r="X174" s="46"/>
      <c r="Y174" s="46"/>
      <c r="Z174" s="46"/>
    </row>
    <row r="175" ht="22.5" customHeight="1">
      <c r="A175" s="47">
        <v>366340.0</v>
      </c>
      <c r="B175" s="47">
        <v>25850.0</v>
      </c>
      <c r="C175" s="48">
        <v>0.05</v>
      </c>
      <c r="D175" s="48">
        <v>0.0706</v>
      </c>
      <c r="E175" s="49">
        <f t="shared" si="1"/>
        <v>0.0007625198778</v>
      </c>
      <c r="F175" s="49">
        <f t="shared" si="2"/>
        <v>0.00003812599389</v>
      </c>
      <c r="G175" s="49">
        <f t="shared" si="3"/>
        <v>0.00005383390337</v>
      </c>
      <c r="H175" s="46"/>
      <c r="I175" s="46"/>
      <c r="J175" s="46"/>
      <c r="K175" s="46"/>
      <c r="L175" s="46"/>
      <c r="M175" s="46"/>
      <c r="N175" s="46"/>
      <c r="O175" s="46"/>
      <c r="P175" s="46"/>
      <c r="Q175" s="46"/>
      <c r="R175" s="46"/>
      <c r="S175" s="46"/>
      <c r="T175" s="46"/>
      <c r="U175" s="46"/>
      <c r="V175" s="46"/>
      <c r="W175" s="46"/>
      <c r="X175" s="46"/>
      <c r="Y175" s="46"/>
      <c r="Z175" s="46"/>
    </row>
    <row r="176" ht="22.5" customHeight="1">
      <c r="A176" s="47">
        <v>1494905.0</v>
      </c>
      <c r="B176" s="47">
        <v>62525.0</v>
      </c>
      <c r="C176" s="48">
        <v>0.04</v>
      </c>
      <c r="D176" s="48">
        <v>0.0418</v>
      </c>
      <c r="E176" s="49">
        <f t="shared" si="1"/>
        <v>0.003111576071</v>
      </c>
      <c r="F176" s="49">
        <f t="shared" si="2"/>
        <v>0.0001244630428</v>
      </c>
      <c r="G176" s="49">
        <f t="shared" si="3"/>
        <v>0.0001300638798</v>
      </c>
      <c r="H176" s="46"/>
      <c r="I176" s="46"/>
      <c r="J176" s="46"/>
      <c r="K176" s="46"/>
      <c r="L176" s="46"/>
      <c r="M176" s="46"/>
      <c r="N176" s="46"/>
      <c r="O176" s="46"/>
      <c r="P176" s="46"/>
      <c r="Q176" s="46"/>
      <c r="R176" s="46"/>
      <c r="S176" s="46"/>
      <c r="T176" s="46"/>
      <c r="U176" s="46"/>
      <c r="V176" s="46"/>
      <c r="W176" s="46"/>
      <c r="X176" s="46"/>
      <c r="Y176" s="46"/>
      <c r="Z176" s="46"/>
    </row>
    <row r="177" ht="22.5" customHeight="1">
      <c r="A177" s="47">
        <v>881100.0</v>
      </c>
      <c r="B177" s="47">
        <v>61610.0</v>
      </c>
      <c r="C177" s="48">
        <v>0.06</v>
      </c>
      <c r="D177" s="48">
        <v>0.0699</v>
      </c>
      <c r="E177" s="49">
        <f t="shared" si="1"/>
        <v>0.001833969166</v>
      </c>
      <c r="F177" s="49">
        <f t="shared" si="2"/>
        <v>0.00011003815</v>
      </c>
      <c r="G177" s="49">
        <f t="shared" si="3"/>
        <v>0.0001281944447</v>
      </c>
      <c r="H177" s="46"/>
      <c r="I177" s="46"/>
      <c r="J177" s="46"/>
      <c r="K177" s="46"/>
      <c r="L177" s="46"/>
      <c r="M177" s="46"/>
      <c r="N177" s="46"/>
      <c r="O177" s="46"/>
      <c r="P177" s="46"/>
      <c r="Q177" s="46"/>
      <c r="R177" s="46"/>
      <c r="S177" s="46"/>
      <c r="T177" s="46"/>
      <c r="U177" s="46"/>
      <c r="V177" s="46"/>
      <c r="W177" s="46"/>
      <c r="X177" s="46"/>
      <c r="Y177" s="46"/>
      <c r="Z177" s="46"/>
    </row>
    <row r="178" ht="22.5" customHeight="1">
      <c r="A178" s="47">
        <v>1083144.0</v>
      </c>
      <c r="B178" s="47">
        <v>51650.0</v>
      </c>
      <c r="C178" s="48">
        <v>0.04</v>
      </c>
      <c r="D178" s="48">
        <v>0.0477</v>
      </c>
      <c r="E178" s="49">
        <f t="shared" si="1"/>
        <v>0.002254514469</v>
      </c>
      <c r="F178" s="49">
        <f t="shared" si="2"/>
        <v>0.00009018057875</v>
      </c>
      <c r="G178" s="49">
        <f t="shared" si="3"/>
        <v>0.0001075403402</v>
      </c>
      <c r="H178" s="46"/>
      <c r="I178" s="46"/>
      <c r="J178" s="46"/>
      <c r="K178" s="46"/>
      <c r="L178" s="46"/>
      <c r="M178" s="46"/>
      <c r="N178" s="46"/>
      <c r="O178" s="46"/>
      <c r="P178" s="46"/>
      <c r="Q178" s="46"/>
      <c r="R178" s="46"/>
      <c r="S178" s="46"/>
      <c r="T178" s="46"/>
      <c r="U178" s="46"/>
      <c r="V178" s="46"/>
      <c r="W178" s="46"/>
      <c r="X178" s="46"/>
      <c r="Y178" s="46"/>
      <c r="Z178" s="46"/>
    </row>
    <row r="179" ht="22.5" customHeight="1">
      <c r="A179" s="47">
        <v>836974.0</v>
      </c>
      <c r="B179" s="47">
        <v>108844.0</v>
      </c>
      <c r="C179" s="48">
        <v>0.06</v>
      </c>
      <c r="D179" s="48">
        <v>0.13</v>
      </c>
      <c r="E179" s="49">
        <f t="shared" si="1"/>
        <v>0.001742122925</v>
      </c>
      <c r="F179" s="49">
        <f t="shared" si="2"/>
        <v>0.0001045273755</v>
      </c>
      <c r="G179" s="49">
        <f t="shared" si="3"/>
        <v>0.0002264759802</v>
      </c>
      <c r="H179" s="46"/>
      <c r="I179" s="46"/>
      <c r="J179" s="46"/>
      <c r="K179" s="46"/>
      <c r="L179" s="46"/>
      <c r="M179" s="46"/>
      <c r="N179" s="46"/>
      <c r="O179" s="46"/>
      <c r="P179" s="46"/>
      <c r="Q179" s="46"/>
      <c r="R179" s="46"/>
      <c r="S179" s="46"/>
      <c r="T179" s="46"/>
      <c r="U179" s="46"/>
      <c r="V179" s="46"/>
      <c r="W179" s="46"/>
      <c r="X179" s="46"/>
      <c r="Y179" s="46"/>
      <c r="Z179" s="46"/>
    </row>
    <row r="180" ht="22.5" customHeight="1">
      <c r="A180" s="47">
        <v>1185170.0</v>
      </c>
      <c r="B180" s="47">
        <v>140370.0</v>
      </c>
      <c r="C180" s="48">
        <v>0.06</v>
      </c>
      <c r="D180" s="48">
        <v>0.1184</v>
      </c>
      <c r="E180" s="49">
        <f t="shared" si="1"/>
        <v>0.0024668769</v>
      </c>
      <c r="F180" s="49">
        <f t="shared" si="2"/>
        <v>0.000148012614</v>
      </c>
      <c r="G180" s="49">
        <f t="shared" si="3"/>
        <v>0.000292078225</v>
      </c>
      <c r="H180" s="46"/>
      <c r="I180" s="46"/>
      <c r="J180" s="46"/>
      <c r="K180" s="46"/>
      <c r="L180" s="46"/>
      <c r="M180" s="46"/>
      <c r="N180" s="46"/>
      <c r="O180" s="46"/>
      <c r="P180" s="46"/>
      <c r="Q180" s="46"/>
      <c r="R180" s="46"/>
      <c r="S180" s="46"/>
      <c r="T180" s="46"/>
      <c r="U180" s="46"/>
      <c r="V180" s="46"/>
      <c r="W180" s="46"/>
      <c r="X180" s="46"/>
      <c r="Y180" s="46"/>
      <c r="Z180" s="46"/>
    </row>
    <row r="181" ht="22.5" customHeight="1">
      <c r="A181" s="47">
        <v>1003180.0</v>
      </c>
      <c r="B181" s="47">
        <v>145780.0</v>
      </c>
      <c r="C181" s="48">
        <v>0.1</v>
      </c>
      <c r="D181" s="48">
        <v>0.1453</v>
      </c>
      <c r="E181" s="49">
        <f t="shared" si="1"/>
        <v>0.002088073077</v>
      </c>
      <c r="F181" s="49">
        <f t="shared" si="2"/>
        <v>0.0002088073077</v>
      </c>
      <c r="G181" s="49">
        <f t="shared" si="3"/>
        <v>0.0003033970181</v>
      </c>
      <c r="H181" s="46"/>
      <c r="I181" s="46"/>
      <c r="J181" s="46"/>
      <c r="K181" s="46"/>
      <c r="L181" s="46"/>
      <c r="M181" s="46"/>
      <c r="N181" s="46"/>
      <c r="O181" s="46"/>
      <c r="P181" s="46"/>
      <c r="Q181" s="46"/>
      <c r="R181" s="46"/>
      <c r="S181" s="46"/>
      <c r="T181" s="46"/>
      <c r="U181" s="46"/>
      <c r="V181" s="46"/>
      <c r="W181" s="46"/>
      <c r="X181" s="46"/>
      <c r="Y181" s="46"/>
      <c r="Z181" s="46"/>
    </row>
    <row r="182" ht="22.5" customHeight="1">
      <c r="A182" s="47">
        <v>1336640.0</v>
      </c>
      <c r="B182" s="47">
        <v>546740.0</v>
      </c>
      <c r="C182" s="48">
        <v>0.1</v>
      </c>
      <c r="D182" s="48">
        <v>0.409</v>
      </c>
      <c r="E182" s="49">
        <f t="shared" si="1"/>
        <v>0.002782154745</v>
      </c>
      <c r="F182" s="49">
        <f t="shared" si="2"/>
        <v>0.0002782154745</v>
      </c>
      <c r="G182" s="49">
        <f t="shared" si="3"/>
        <v>0.001137901291</v>
      </c>
      <c r="H182" s="46"/>
      <c r="I182" s="46"/>
      <c r="J182" s="46"/>
      <c r="K182" s="46"/>
      <c r="L182" s="46"/>
      <c r="M182" s="46"/>
      <c r="N182" s="46"/>
      <c r="O182" s="46"/>
      <c r="P182" s="46"/>
      <c r="Q182" s="46"/>
      <c r="R182" s="46"/>
      <c r="S182" s="46"/>
      <c r="T182" s="46"/>
      <c r="U182" s="46"/>
      <c r="V182" s="46"/>
      <c r="W182" s="46"/>
      <c r="X182" s="46"/>
      <c r="Y182" s="46"/>
      <c r="Z182" s="46"/>
    </row>
    <row r="183" ht="22.5" customHeight="1">
      <c r="A183" s="47">
        <v>1250420.0</v>
      </c>
      <c r="B183" s="47">
        <v>394200.0</v>
      </c>
      <c r="C183" s="48">
        <v>0.1</v>
      </c>
      <c r="D183" s="48">
        <v>0.3153</v>
      </c>
      <c r="E183" s="49">
        <f t="shared" si="1"/>
        <v>0.002602691777</v>
      </c>
      <c r="F183" s="49">
        <f t="shared" si="2"/>
        <v>0.0002602691777</v>
      </c>
      <c r="G183" s="49">
        <f t="shared" si="3"/>
        <v>0.0008206287173</v>
      </c>
      <c r="H183" s="46"/>
      <c r="I183" s="46"/>
      <c r="J183" s="46"/>
      <c r="K183" s="46"/>
      <c r="L183" s="46"/>
      <c r="M183" s="46"/>
      <c r="N183" s="46"/>
      <c r="O183" s="46"/>
      <c r="P183" s="46"/>
      <c r="Q183" s="46"/>
      <c r="R183" s="46"/>
      <c r="S183" s="46"/>
      <c r="T183" s="46"/>
      <c r="U183" s="46"/>
      <c r="V183" s="46"/>
      <c r="W183" s="46"/>
      <c r="X183" s="46"/>
      <c r="Y183" s="46"/>
      <c r="Z183" s="46"/>
    </row>
    <row r="184" ht="22.5" customHeight="1">
      <c r="A184" s="47">
        <v>1538425.0</v>
      </c>
      <c r="B184" s="47">
        <v>395220.0</v>
      </c>
      <c r="C184" s="48">
        <v>0.04</v>
      </c>
      <c r="D184" s="48">
        <v>0.2569</v>
      </c>
      <c r="E184" s="49">
        <f t="shared" si="1"/>
        <v>0.003202160952</v>
      </c>
      <c r="F184" s="49">
        <f t="shared" si="2"/>
        <v>0.0001280864381</v>
      </c>
      <c r="G184" s="49">
        <f t="shared" si="3"/>
        <v>0.0008226351485</v>
      </c>
      <c r="H184" s="46"/>
      <c r="I184" s="46"/>
      <c r="J184" s="46"/>
      <c r="K184" s="46"/>
      <c r="L184" s="46"/>
      <c r="M184" s="46"/>
      <c r="N184" s="46"/>
      <c r="O184" s="46"/>
      <c r="P184" s="46"/>
      <c r="Q184" s="46"/>
      <c r="R184" s="46"/>
      <c r="S184" s="46"/>
      <c r="T184" s="46"/>
      <c r="U184" s="46"/>
      <c r="V184" s="46"/>
      <c r="W184" s="46"/>
      <c r="X184" s="46"/>
      <c r="Y184" s="46"/>
      <c r="Z184" s="46"/>
    </row>
    <row r="185" ht="22.5" customHeight="1">
      <c r="A185" s="47">
        <v>375274.0</v>
      </c>
      <c r="B185" s="47">
        <v>48800.0</v>
      </c>
      <c r="C185" s="48">
        <v>0.02</v>
      </c>
      <c r="D185" s="48">
        <v>0.13</v>
      </c>
      <c r="E185" s="49">
        <f t="shared" si="1"/>
        <v>0.0007811155883</v>
      </c>
      <c r="F185" s="49">
        <f t="shared" si="2"/>
        <v>0.00001562231177</v>
      </c>
      <c r="G185" s="49">
        <f t="shared" si="3"/>
        <v>0.0001015450265</v>
      </c>
      <c r="H185" s="46"/>
      <c r="I185" s="46"/>
      <c r="J185" s="46"/>
      <c r="K185" s="46"/>
      <c r="L185" s="46"/>
      <c r="M185" s="46"/>
      <c r="N185" s="46"/>
      <c r="O185" s="46"/>
      <c r="P185" s="46"/>
      <c r="Q185" s="46"/>
      <c r="R185" s="46"/>
      <c r="S185" s="46"/>
      <c r="T185" s="46"/>
      <c r="U185" s="46"/>
      <c r="V185" s="46"/>
      <c r="W185" s="46"/>
      <c r="X185" s="46"/>
      <c r="Y185" s="46"/>
      <c r="Z185" s="46"/>
    </row>
    <row r="186" ht="22.5" customHeight="1">
      <c r="A186" s="47">
        <v>862400.0</v>
      </c>
      <c r="B186" s="47">
        <v>271000.0</v>
      </c>
      <c r="C186" s="48">
        <v>0.06</v>
      </c>
      <c r="D186" s="48">
        <v>0.3142</v>
      </c>
      <c r="E186" s="49">
        <f t="shared" si="1"/>
        <v>0.001795045975</v>
      </c>
      <c r="F186" s="49">
        <f t="shared" si="2"/>
        <v>0.0001077027585</v>
      </c>
      <c r="G186" s="49">
        <f t="shared" si="3"/>
        <v>0.0005640034455</v>
      </c>
      <c r="H186" s="46"/>
      <c r="I186" s="46"/>
      <c r="J186" s="46"/>
      <c r="K186" s="46"/>
      <c r="L186" s="46"/>
      <c r="M186" s="46"/>
      <c r="N186" s="46"/>
      <c r="O186" s="46"/>
      <c r="P186" s="46"/>
      <c r="Q186" s="46"/>
      <c r="R186" s="46"/>
      <c r="S186" s="46"/>
      <c r="T186" s="46"/>
      <c r="U186" s="46"/>
      <c r="V186" s="46"/>
      <c r="W186" s="46"/>
      <c r="X186" s="46"/>
      <c r="Y186" s="46"/>
      <c r="Z186" s="46"/>
    </row>
    <row r="187" ht="22.5" customHeight="1">
      <c r="A187" s="47">
        <v>1198110.0</v>
      </c>
      <c r="B187" s="47">
        <v>428900.0</v>
      </c>
      <c r="C187" s="48">
        <v>0.08</v>
      </c>
      <c r="D187" s="48">
        <v>0.358</v>
      </c>
      <c r="E187" s="49">
        <f t="shared" si="1"/>
        <v>0.002493810915</v>
      </c>
      <c r="F187" s="49">
        <f t="shared" si="2"/>
        <v>0.0001995048732</v>
      </c>
      <c r="G187" s="49">
        <f t="shared" si="3"/>
        <v>0.0008927843077</v>
      </c>
      <c r="H187" s="46"/>
      <c r="I187" s="46"/>
      <c r="J187" s="46"/>
      <c r="K187" s="46"/>
      <c r="L187" s="46"/>
      <c r="M187" s="46"/>
      <c r="N187" s="46"/>
      <c r="O187" s="46"/>
      <c r="P187" s="46"/>
      <c r="Q187" s="46"/>
      <c r="R187" s="46"/>
      <c r="S187" s="46"/>
      <c r="T187" s="46"/>
      <c r="U187" s="46"/>
      <c r="V187" s="46"/>
      <c r="W187" s="46"/>
      <c r="X187" s="46"/>
      <c r="Y187" s="46"/>
      <c r="Z187" s="46"/>
    </row>
    <row r="188" ht="22.5" customHeight="1">
      <c r="A188" s="47">
        <v>443020.0</v>
      </c>
      <c r="B188" s="47">
        <v>129000.0</v>
      </c>
      <c r="C188" s="48">
        <v>0.06</v>
      </c>
      <c r="D188" s="48">
        <v>0.2912</v>
      </c>
      <c r="E188" s="49">
        <f t="shared" si="1"/>
        <v>0.0009221257746</v>
      </c>
      <c r="F188" s="49">
        <f t="shared" si="2"/>
        <v>0.00005532754647</v>
      </c>
      <c r="G188" s="49">
        <f t="shared" si="3"/>
        <v>0.0002685230256</v>
      </c>
      <c r="H188" s="46"/>
      <c r="I188" s="46"/>
      <c r="J188" s="46"/>
      <c r="K188" s="46"/>
      <c r="L188" s="46"/>
      <c r="M188" s="46"/>
      <c r="N188" s="46"/>
      <c r="O188" s="46"/>
      <c r="P188" s="46"/>
      <c r="Q188" s="46"/>
      <c r="R188" s="46"/>
      <c r="S188" s="46"/>
      <c r="T188" s="46"/>
      <c r="U188" s="46"/>
      <c r="V188" s="46"/>
      <c r="W188" s="46"/>
      <c r="X188" s="46"/>
      <c r="Y188" s="46"/>
      <c r="Z188" s="46"/>
    </row>
    <row r="189" ht="22.5" customHeight="1">
      <c r="A189" s="47">
        <v>786600.0</v>
      </c>
      <c r="B189" s="47">
        <v>164900.0</v>
      </c>
      <c r="C189" s="48">
        <v>0.08</v>
      </c>
      <c r="D189" s="48">
        <v>0.2096</v>
      </c>
      <c r="E189" s="49">
        <f t="shared" si="1"/>
        <v>0.001637271758</v>
      </c>
      <c r="F189" s="49">
        <f t="shared" si="2"/>
        <v>0.0001309817406</v>
      </c>
      <c r="G189" s="49">
        <f t="shared" si="3"/>
        <v>0.0003431721605</v>
      </c>
      <c r="H189" s="46"/>
      <c r="I189" s="46"/>
      <c r="J189" s="46"/>
      <c r="K189" s="46"/>
      <c r="L189" s="46"/>
      <c r="M189" s="46"/>
      <c r="N189" s="46"/>
      <c r="O189" s="46"/>
      <c r="P189" s="46"/>
      <c r="Q189" s="46"/>
      <c r="R189" s="46"/>
      <c r="S189" s="46"/>
      <c r="T189" s="46"/>
      <c r="U189" s="46"/>
      <c r="V189" s="46"/>
      <c r="W189" s="46"/>
      <c r="X189" s="46"/>
      <c r="Y189" s="46"/>
      <c r="Z189" s="46"/>
    </row>
    <row r="190" ht="22.5" customHeight="1">
      <c r="A190" s="47">
        <v>2622700.0</v>
      </c>
      <c r="B190" s="47">
        <v>160625.0</v>
      </c>
      <c r="C190" s="48">
        <v>0.04</v>
      </c>
      <c r="D190" s="48">
        <v>0.0612</v>
      </c>
      <c r="E190" s="49">
        <f t="shared" si="1"/>
        <v>0.005459029545</v>
      </c>
      <c r="F190" s="49">
        <f t="shared" si="2"/>
        <v>0.0002183611818</v>
      </c>
      <c r="G190" s="49">
        <f t="shared" si="3"/>
        <v>0.0003340926081</v>
      </c>
      <c r="H190" s="46"/>
      <c r="I190" s="46"/>
      <c r="J190" s="46"/>
      <c r="K190" s="46"/>
      <c r="L190" s="46"/>
      <c r="M190" s="46"/>
      <c r="N190" s="46"/>
      <c r="O190" s="46"/>
      <c r="P190" s="46"/>
      <c r="Q190" s="46"/>
      <c r="R190" s="46"/>
      <c r="S190" s="46"/>
      <c r="T190" s="46"/>
      <c r="U190" s="46"/>
      <c r="V190" s="46"/>
      <c r="W190" s="46"/>
      <c r="X190" s="46"/>
      <c r="Y190" s="46"/>
      <c r="Z190" s="46"/>
    </row>
    <row r="191" ht="22.5" customHeight="1">
      <c r="A191" s="47">
        <v>788571.0</v>
      </c>
      <c r="B191" s="47">
        <v>672000.0</v>
      </c>
      <c r="C191" s="48">
        <v>0.06</v>
      </c>
      <c r="D191" s="48">
        <v>0.8522</v>
      </c>
      <c r="E191" s="49">
        <f t="shared" si="1"/>
        <v>0.001641374304</v>
      </c>
      <c r="F191" s="49">
        <f t="shared" si="2"/>
        <v>0.00009848245824</v>
      </c>
      <c r="G191" s="49">
        <f t="shared" si="3"/>
        <v>0.001398779182</v>
      </c>
      <c r="H191" s="46"/>
      <c r="I191" s="46"/>
      <c r="J191" s="46"/>
      <c r="K191" s="46"/>
      <c r="L191" s="46"/>
      <c r="M191" s="46"/>
      <c r="N191" s="46"/>
      <c r="O191" s="46"/>
      <c r="P191" s="46"/>
      <c r="Q191" s="46"/>
      <c r="R191" s="46"/>
      <c r="S191" s="46"/>
      <c r="T191" s="46"/>
      <c r="U191" s="46"/>
      <c r="V191" s="46"/>
      <c r="W191" s="46"/>
      <c r="X191" s="46"/>
      <c r="Y191" s="46"/>
      <c r="Z191" s="46"/>
    </row>
    <row r="192" ht="22.5" customHeight="1">
      <c r="A192" s="47">
        <v>1618465.0</v>
      </c>
      <c r="B192" s="47">
        <v>40600.0</v>
      </c>
      <c r="C192" s="48">
        <v>0.04</v>
      </c>
      <c r="D192" s="48">
        <v>0.0251</v>
      </c>
      <c r="E192" s="49">
        <f t="shared" si="1"/>
        <v>0.003368760534</v>
      </c>
      <c r="F192" s="49">
        <f t="shared" si="2"/>
        <v>0.0001347504214</v>
      </c>
      <c r="G192" s="49">
        <f t="shared" si="3"/>
        <v>0.0000845558894</v>
      </c>
      <c r="H192" s="46"/>
      <c r="I192" s="46"/>
      <c r="J192" s="46"/>
      <c r="K192" s="46"/>
      <c r="L192" s="46"/>
      <c r="M192" s="46"/>
      <c r="N192" s="46"/>
      <c r="O192" s="46"/>
      <c r="P192" s="46"/>
      <c r="Q192" s="46"/>
      <c r="R192" s="46"/>
      <c r="S192" s="46"/>
      <c r="T192" s="46"/>
      <c r="U192" s="46"/>
      <c r="V192" s="46"/>
      <c r="W192" s="46"/>
      <c r="X192" s="46"/>
      <c r="Y192" s="46"/>
      <c r="Z192" s="46"/>
    </row>
    <row r="193" ht="22.5" customHeight="1">
      <c r="A193" s="47">
        <v>1043500.0</v>
      </c>
      <c r="B193" s="47">
        <v>1035500.0</v>
      </c>
      <c r="C193" s="48">
        <v>0.04</v>
      </c>
      <c r="D193" s="48">
        <v>0.9923</v>
      </c>
      <c r="E193" s="49">
        <f t="shared" si="1"/>
        <v>0.002171997304</v>
      </c>
      <c r="F193" s="49">
        <f t="shared" si="2"/>
        <v>0.00008687989217</v>
      </c>
      <c r="G193" s="49">
        <f t="shared" si="3"/>
        <v>0.002155272925</v>
      </c>
      <c r="H193" s="46"/>
      <c r="I193" s="46"/>
      <c r="J193" s="46"/>
      <c r="K193" s="46"/>
      <c r="L193" s="46"/>
      <c r="M193" s="46"/>
      <c r="N193" s="46"/>
      <c r="O193" s="46"/>
      <c r="P193" s="46"/>
      <c r="Q193" s="46"/>
      <c r="R193" s="46"/>
      <c r="S193" s="46"/>
      <c r="T193" s="46"/>
      <c r="U193" s="46"/>
      <c r="V193" s="46"/>
      <c r="W193" s="46"/>
      <c r="X193" s="46"/>
      <c r="Y193" s="46"/>
      <c r="Z193" s="46"/>
    </row>
    <row r="194" ht="22.5" customHeight="1">
      <c r="A194" s="47">
        <v>1315093.0</v>
      </c>
      <c r="B194" s="47">
        <v>116317.0</v>
      </c>
      <c r="C194" s="48">
        <v>0.05</v>
      </c>
      <c r="D194" s="48">
        <v>0.0884</v>
      </c>
      <c r="E194" s="49">
        <f t="shared" si="1"/>
        <v>0.002737305655</v>
      </c>
      <c r="F194" s="49">
        <f t="shared" si="2"/>
        <v>0.0001368652827</v>
      </c>
      <c r="G194" s="49">
        <f t="shared" si="3"/>
        <v>0.0002419778199</v>
      </c>
      <c r="H194" s="46"/>
      <c r="I194" s="46"/>
      <c r="J194" s="46"/>
      <c r="K194" s="46"/>
      <c r="L194" s="46"/>
      <c r="M194" s="46"/>
      <c r="N194" s="46"/>
      <c r="O194" s="46"/>
      <c r="P194" s="46"/>
      <c r="Q194" s="46"/>
      <c r="R194" s="46"/>
      <c r="S194" s="46"/>
      <c r="T194" s="46"/>
      <c r="U194" s="46"/>
      <c r="V194" s="46"/>
      <c r="W194" s="46"/>
      <c r="X194" s="46"/>
      <c r="Y194" s="46"/>
      <c r="Z194" s="46"/>
    </row>
    <row r="195" ht="22.5" customHeight="1">
      <c r="A195" s="47">
        <v>976547.0</v>
      </c>
      <c r="B195" s="47">
        <v>59450.0</v>
      </c>
      <c r="C195" s="48">
        <v>0.05</v>
      </c>
      <c r="D195" s="48">
        <v>0.0609</v>
      </c>
      <c r="E195" s="49">
        <f t="shared" si="1"/>
        <v>0.002032637711</v>
      </c>
      <c r="F195" s="49">
        <f t="shared" si="2"/>
        <v>0.0001016318856</v>
      </c>
      <c r="G195" s="49">
        <f t="shared" si="3"/>
        <v>0.0001237876366</v>
      </c>
      <c r="H195" s="46"/>
      <c r="I195" s="46"/>
      <c r="J195" s="46"/>
      <c r="K195" s="46"/>
      <c r="L195" s="46"/>
      <c r="M195" s="46"/>
      <c r="N195" s="46"/>
      <c r="O195" s="46"/>
      <c r="P195" s="46"/>
      <c r="Q195" s="46"/>
      <c r="R195" s="46"/>
      <c r="S195" s="46"/>
      <c r="T195" s="46"/>
      <c r="U195" s="46"/>
      <c r="V195" s="46"/>
      <c r="W195" s="46"/>
      <c r="X195" s="46"/>
      <c r="Y195" s="46"/>
      <c r="Z195" s="46"/>
    </row>
    <row r="196" ht="22.5" customHeight="1">
      <c r="A196" s="47">
        <v>745770.0</v>
      </c>
      <c r="B196" s="47">
        <v>257000.0</v>
      </c>
      <c r="C196" s="48">
        <v>0.05</v>
      </c>
      <c r="D196" s="48">
        <v>0.3436</v>
      </c>
      <c r="E196" s="49">
        <f t="shared" si="1"/>
        <v>0.001552285989</v>
      </c>
      <c r="F196" s="49">
        <f t="shared" si="2"/>
        <v>0.00007761429946</v>
      </c>
      <c r="G196" s="49">
        <f t="shared" si="3"/>
        <v>0.0005333654659</v>
      </c>
      <c r="H196" s="46"/>
      <c r="I196" s="46"/>
      <c r="J196" s="46"/>
      <c r="K196" s="46"/>
      <c r="L196" s="46"/>
      <c r="M196" s="46"/>
      <c r="N196" s="46"/>
      <c r="O196" s="46"/>
      <c r="P196" s="46"/>
      <c r="Q196" s="46"/>
      <c r="R196" s="46"/>
      <c r="S196" s="46"/>
      <c r="T196" s="46"/>
      <c r="U196" s="46"/>
      <c r="V196" s="46"/>
      <c r="W196" s="46"/>
      <c r="X196" s="46"/>
      <c r="Y196" s="46"/>
      <c r="Z196" s="46"/>
    </row>
    <row r="197" ht="22.5" customHeight="1">
      <c r="A197" s="47">
        <v>762176.0</v>
      </c>
      <c r="B197" s="47">
        <v>305246.0</v>
      </c>
      <c r="C197" s="48">
        <v>0.08</v>
      </c>
      <c r="D197" s="48">
        <v>0.4005</v>
      </c>
      <c r="E197" s="49">
        <f t="shared" si="1"/>
        <v>0.001586434324</v>
      </c>
      <c r="F197" s="49">
        <f t="shared" si="2"/>
        <v>0.0001269147459</v>
      </c>
      <c r="G197" s="49">
        <f t="shared" si="3"/>
        <v>0.0006353669469</v>
      </c>
      <c r="H197" s="46"/>
      <c r="I197" s="46"/>
      <c r="J197" s="46"/>
      <c r="K197" s="46"/>
      <c r="L197" s="46"/>
      <c r="M197" s="46"/>
      <c r="N197" s="46"/>
      <c r="O197" s="46"/>
      <c r="P197" s="46"/>
      <c r="Q197" s="46"/>
      <c r="R197" s="46"/>
      <c r="S197" s="46"/>
      <c r="T197" s="46"/>
      <c r="U197" s="46"/>
      <c r="V197" s="46"/>
      <c r="W197" s="46"/>
      <c r="X197" s="46"/>
      <c r="Y197" s="46"/>
      <c r="Z197" s="46"/>
    </row>
    <row r="198" ht="22.5" customHeight="1">
      <c r="A198" s="47">
        <v>216200.0</v>
      </c>
      <c r="B198" s="47">
        <v>216200.0</v>
      </c>
      <c r="C198" s="48">
        <v>0.05</v>
      </c>
      <c r="D198" s="48">
        <v>1.0</v>
      </c>
      <c r="E198" s="49">
        <f t="shared" si="1"/>
        <v>0.0004500103663</v>
      </c>
      <c r="F198" s="49">
        <f t="shared" si="2"/>
        <v>0.00002250051831</v>
      </c>
      <c r="G198" s="49">
        <f t="shared" si="3"/>
        <v>0.0004500103663</v>
      </c>
      <c r="H198" s="46"/>
      <c r="I198" s="46"/>
      <c r="J198" s="46"/>
      <c r="K198" s="46"/>
      <c r="L198" s="46"/>
      <c r="M198" s="46"/>
      <c r="N198" s="46"/>
      <c r="O198" s="46"/>
      <c r="P198" s="46"/>
      <c r="Q198" s="46"/>
      <c r="R198" s="46"/>
      <c r="S198" s="46"/>
      <c r="T198" s="46"/>
      <c r="U198" s="46"/>
      <c r="V198" s="46"/>
      <c r="W198" s="46"/>
      <c r="X198" s="46"/>
      <c r="Y198" s="46"/>
      <c r="Z198" s="46"/>
    </row>
    <row r="199" ht="22.5" customHeight="1">
      <c r="A199" s="47">
        <v>738360.0</v>
      </c>
      <c r="B199" s="47">
        <v>394860.0</v>
      </c>
      <c r="C199" s="48">
        <v>0.09</v>
      </c>
      <c r="D199" s="48">
        <v>0.5348</v>
      </c>
      <c r="E199" s="49">
        <f t="shared" si="1"/>
        <v>0.001536862415</v>
      </c>
      <c r="F199" s="49">
        <f t="shared" si="2"/>
        <v>0.0001383176173</v>
      </c>
      <c r="G199" s="49">
        <f t="shared" si="3"/>
        <v>0.0008219140193</v>
      </c>
      <c r="H199" s="46"/>
      <c r="I199" s="46"/>
      <c r="J199" s="46"/>
      <c r="K199" s="46"/>
      <c r="L199" s="46"/>
      <c r="M199" s="46"/>
      <c r="N199" s="46"/>
      <c r="O199" s="46"/>
      <c r="P199" s="46"/>
      <c r="Q199" s="46"/>
      <c r="R199" s="46"/>
      <c r="S199" s="46"/>
      <c r="T199" s="46"/>
      <c r="U199" s="46"/>
      <c r="V199" s="46"/>
      <c r="W199" s="46"/>
      <c r="X199" s="46"/>
      <c r="Y199" s="46"/>
      <c r="Z199" s="46"/>
    </row>
    <row r="200" ht="22.5" customHeight="1">
      <c r="A200" s="47">
        <v>1838000.0</v>
      </c>
      <c r="B200" s="47">
        <v>337000.0</v>
      </c>
      <c r="C200" s="48">
        <v>0.09</v>
      </c>
      <c r="D200" s="48">
        <v>0.1834</v>
      </c>
      <c r="E200" s="49">
        <f t="shared" si="1"/>
        <v>0.003825712549</v>
      </c>
      <c r="F200" s="49">
        <f t="shared" si="2"/>
        <v>0.0003443141295</v>
      </c>
      <c r="G200" s="49">
        <f t="shared" si="3"/>
        <v>0.0007016356816</v>
      </c>
      <c r="H200" s="46"/>
      <c r="I200" s="46"/>
      <c r="J200" s="46"/>
      <c r="K200" s="46"/>
      <c r="L200" s="46"/>
      <c r="M200" s="46"/>
      <c r="N200" s="46"/>
      <c r="O200" s="46"/>
      <c r="P200" s="46"/>
      <c r="Q200" s="46"/>
      <c r="R200" s="46"/>
      <c r="S200" s="46"/>
      <c r="T200" s="46"/>
      <c r="U200" s="46"/>
      <c r="V200" s="46"/>
      <c r="W200" s="46"/>
      <c r="X200" s="46"/>
      <c r="Y200" s="46"/>
      <c r="Z200" s="46"/>
    </row>
    <row r="201" ht="22.5" customHeight="1">
      <c r="A201" s="47">
        <v>1068900.0</v>
      </c>
      <c r="B201" s="47">
        <v>101900.0</v>
      </c>
      <c r="C201" s="48">
        <v>0.09</v>
      </c>
      <c r="D201" s="48">
        <v>0.0953</v>
      </c>
      <c r="E201" s="49">
        <f t="shared" si="1"/>
        <v>0.002224866237</v>
      </c>
      <c r="F201" s="49">
        <f t="shared" si="2"/>
        <v>0.0002002379614</v>
      </c>
      <c r="G201" s="49">
        <f t="shared" si="3"/>
        <v>0.0002120297524</v>
      </c>
      <c r="H201" s="46"/>
      <c r="I201" s="46"/>
      <c r="J201" s="46"/>
      <c r="K201" s="46"/>
      <c r="L201" s="46"/>
      <c r="M201" s="46"/>
      <c r="N201" s="46"/>
      <c r="O201" s="46"/>
      <c r="P201" s="46"/>
      <c r="Q201" s="46"/>
      <c r="R201" s="46"/>
      <c r="S201" s="46"/>
      <c r="T201" s="46"/>
      <c r="U201" s="46"/>
      <c r="V201" s="46"/>
      <c r="W201" s="46"/>
      <c r="X201" s="46"/>
      <c r="Y201" s="46"/>
      <c r="Z201" s="46"/>
    </row>
    <row r="202" ht="22.5" customHeight="1">
      <c r="A202" s="47">
        <v>428645.0</v>
      </c>
      <c r="B202" s="47">
        <v>135045.0</v>
      </c>
      <c r="C202" s="48">
        <v>0.09</v>
      </c>
      <c r="D202" s="48">
        <v>0.3151</v>
      </c>
      <c r="E202" s="49">
        <f t="shared" si="1"/>
        <v>0.0008922048726</v>
      </c>
      <c r="F202" s="49">
        <f t="shared" si="2"/>
        <v>0.00008029843853</v>
      </c>
      <c r="G202" s="49">
        <f t="shared" si="3"/>
        <v>0.0002811337553</v>
      </c>
      <c r="H202" s="46"/>
      <c r="I202" s="46"/>
      <c r="J202" s="46"/>
      <c r="K202" s="46"/>
      <c r="L202" s="46"/>
      <c r="M202" s="46"/>
      <c r="N202" s="46"/>
      <c r="O202" s="46"/>
      <c r="P202" s="46"/>
      <c r="Q202" s="46"/>
      <c r="R202" s="46"/>
      <c r="S202" s="46"/>
      <c r="T202" s="46"/>
      <c r="U202" s="46"/>
      <c r="V202" s="46"/>
      <c r="W202" s="46"/>
      <c r="X202" s="46"/>
      <c r="Y202" s="46"/>
      <c r="Z202" s="46"/>
    </row>
    <row r="203" ht="22.5" customHeight="1">
      <c r="A203" s="47">
        <v>1092700.0</v>
      </c>
      <c r="B203" s="47">
        <v>101600.0</v>
      </c>
      <c r="C203" s="48">
        <v>0.07</v>
      </c>
      <c r="D203" s="48">
        <v>0.093</v>
      </c>
      <c r="E203" s="49">
        <f t="shared" si="1"/>
        <v>0.002274404844</v>
      </c>
      <c r="F203" s="49">
        <f t="shared" si="2"/>
        <v>0.0001592083391</v>
      </c>
      <c r="G203" s="49">
        <f t="shared" si="3"/>
        <v>0.0002115196505</v>
      </c>
      <c r="H203" s="46"/>
      <c r="I203" s="46"/>
      <c r="J203" s="46"/>
      <c r="K203" s="46"/>
      <c r="L203" s="46"/>
      <c r="M203" s="46"/>
      <c r="N203" s="46"/>
      <c r="O203" s="46"/>
      <c r="P203" s="46"/>
      <c r="Q203" s="46"/>
      <c r="R203" s="46"/>
      <c r="S203" s="46"/>
      <c r="T203" s="46"/>
      <c r="U203" s="46"/>
      <c r="V203" s="46"/>
      <c r="W203" s="46"/>
      <c r="X203" s="46"/>
      <c r="Y203" s="46"/>
      <c r="Z203" s="46"/>
    </row>
    <row r="204" ht="22.5" customHeight="1">
      <c r="A204" s="47">
        <v>420840.0</v>
      </c>
      <c r="B204" s="47">
        <v>47940.0</v>
      </c>
      <c r="C204" s="48">
        <v>0.07</v>
      </c>
      <c r="D204" s="48">
        <v>0.1139</v>
      </c>
      <c r="E204" s="49">
        <f t="shared" si="1"/>
        <v>0.0008759591237</v>
      </c>
      <c r="F204" s="49">
        <f t="shared" si="2"/>
        <v>0.00006131713866</v>
      </c>
      <c r="G204" s="49">
        <f t="shared" si="3"/>
        <v>0.00009977174419</v>
      </c>
      <c r="H204" s="46"/>
      <c r="I204" s="46"/>
      <c r="J204" s="46"/>
      <c r="K204" s="46"/>
      <c r="L204" s="46"/>
      <c r="M204" s="46"/>
      <c r="N204" s="46"/>
      <c r="O204" s="46"/>
      <c r="P204" s="46"/>
      <c r="Q204" s="46"/>
      <c r="R204" s="46"/>
      <c r="S204" s="46"/>
      <c r="T204" s="46"/>
      <c r="U204" s="46"/>
      <c r="V204" s="46"/>
      <c r="W204" s="46"/>
      <c r="X204" s="46"/>
      <c r="Y204" s="46"/>
      <c r="Z204" s="46"/>
    </row>
    <row r="205" ht="22.5" customHeight="1">
      <c r="A205" s="47">
        <v>387773.0</v>
      </c>
      <c r="B205" s="47">
        <v>106273.0</v>
      </c>
      <c r="C205" s="48">
        <v>0.07</v>
      </c>
      <c r="D205" s="48">
        <v>0.2741</v>
      </c>
      <c r="E205" s="49">
        <f t="shared" si="1"/>
        <v>0.0008071316825</v>
      </c>
      <c r="F205" s="49">
        <f t="shared" si="2"/>
        <v>0.00005649921778</v>
      </c>
      <c r="G205" s="49">
        <f t="shared" si="3"/>
        <v>0.0002212347942</v>
      </c>
      <c r="H205" s="46"/>
      <c r="I205" s="46"/>
      <c r="J205" s="46"/>
      <c r="K205" s="46"/>
      <c r="L205" s="46"/>
      <c r="M205" s="46"/>
      <c r="N205" s="46"/>
      <c r="O205" s="46"/>
      <c r="P205" s="46"/>
      <c r="Q205" s="46"/>
      <c r="R205" s="46"/>
      <c r="S205" s="46"/>
      <c r="T205" s="46"/>
      <c r="U205" s="46"/>
      <c r="V205" s="46"/>
      <c r="W205" s="46"/>
      <c r="X205" s="46"/>
      <c r="Y205" s="46"/>
      <c r="Z205" s="46"/>
    </row>
    <row r="206" ht="22.5" customHeight="1">
      <c r="A206" s="47">
        <v>479973.0</v>
      </c>
      <c r="B206" s="47">
        <v>149073.0</v>
      </c>
      <c r="C206" s="48">
        <v>0.07</v>
      </c>
      <c r="D206" s="48">
        <v>0.3106</v>
      </c>
      <c r="E206" s="49">
        <f t="shared" si="1"/>
        <v>0.0009990417462</v>
      </c>
      <c r="F206" s="49">
        <f t="shared" si="2"/>
        <v>0.00006993292223</v>
      </c>
      <c r="G206" s="49">
        <f t="shared" si="3"/>
        <v>0.0003103023664</v>
      </c>
      <c r="H206" s="46"/>
      <c r="I206" s="46"/>
      <c r="J206" s="46"/>
      <c r="K206" s="46"/>
      <c r="L206" s="46"/>
      <c r="M206" s="46"/>
      <c r="N206" s="46"/>
      <c r="O206" s="46"/>
      <c r="P206" s="46"/>
      <c r="Q206" s="46"/>
      <c r="R206" s="46"/>
      <c r="S206" s="46"/>
      <c r="T206" s="46"/>
      <c r="U206" s="46"/>
      <c r="V206" s="46"/>
      <c r="W206" s="46"/>
      <c r="X206" s="46"/>
      <c r="Y206" s="46"/>
      <c r="Z206" s="46"/>
    </row>
    <row r="207" ht="22.5" customHeight="1">
      <c r="A207" s="47">
        <v>437300.0</v>
      </c>
      <c r="B207" s="47">
        <v>167500.0</v>
      </c>
      <c r="C207" s="48">
        <v>0.07</v>
      </c>
      <c r="D207" s="48">
        <v>0.383</v>
      </c>
      <c r="E207" s="49">
        <f t="shared" si="1"/>
        <v>0.0009102198574</v>
      </c>
      <c r="F207" s="49">
        <f t="shared" si="2"/>
        <v>0.00006371539002</v>
      </c>
      <c r="G207" s="49">
        <f t="shared" si="3"/>
        <v>0.0003486142054</v>
      </c>
      <c r="H207" s="46"/>
      <c r="I207" s="46"/>
      <c r="J207" s="46"/>
      <c r="K207" s="46"/>
      <c r="L207" s="46"/>
      <c r="M207" s="46"/>
      <c r="N207" s="46"/>
      <c r="O207" s="46"/>
      <c r="P207" s="46"/>
      <c r="Q207" s="46"/>
      <c r="R207" s="46"/>
      <c r="S207" s="46"/>
      <c r="T207" s="46"/>
      <c r="U207" s="46"/>
      <c r="V207" s="46"/>
      <c r="W207" s="46"/>
      <c r="X207" s="46"/>
      <c r="Y207" s="46"/>
      <c r="Z207" s="46"/>
    </row>
    <row r="208" ht="22.5" customHeight="1">
      <c r="A208" s="47">
        <v>310161.85</v>
      </c>
      <c r="B208" s="47">
        <v>102333.95</v>
      </c>
      <c r="C208" s="48">
        <v>0.07</v>
      </c>
      <c r="D208" s="48">
        <v>0.3299</v>
      </c>
      <c r="E208" s="49">
        <f t="shared" si="1"/>
        <v>0.0006455876398</v>
      </c>
      <c r="F208" s="49">
        <f t="shared" si="2"/>
        <v>0.00004519113478</v>
      </c>
      <c r="G208" s="49">
        <f t="shared" si="3"/>
        <v>0.0002129793624</v>
      </c>
      <c r="H208" s="46"/>
      <c r="I208" s="46"/>
      <c r="J208" s="46"/>
      <c r="K208" s="46"/>
      <c r="L208" s="46"/>
      <c r="M208" s="46"/>
      <c r="N208" s="46"/>
      <c r="O208" s="46"/>
      <c r="P208" s="46"/>
      <c r="Q208" s="46"/>
      <c r="R208" s="46"/>
      <c r="S208" s="46"/>
      <c r="T208" s="46"/>
      <c r="U208" s="46"/>
      <c r="V208" s="46"/>
      <c r="W208" s="46"/>
      <c r="X208" s="46"/>
      <c r="Y208" s="46"/>
      <c r="Z208" s="46"/>
    </row>
    <row r="209" ht="22.5" customHeight="1">
      <c r="A209" s="47">
        <v>864265.0</v>
      </c>
      <c r="B209" s="47">
        <v>139600.0</v>
      </c>
      <c r="C209" s="48">
        <v>0.09</v>
      </c>
      <c r="D209" s="48">
        <v>0.1615</v>
      </c>
      <c r="E209" s="49">
        <f t="shared" si="1"/>
        <v>0.001798927887</v>
      </c>
      <c r="F209" s="49">
        <f t="shared" si="2"/>
        <v>0.0001619035098</v>
      </c>
      <c r="G209" s="49">
        <f t="shared" si="3"/>
        <v>0.0002905268538</v>
      </c>
      <c r="H209" s="46"/>
      <c r="I209" s="46"/>
      <c r="J209" s="46"/>
      <c r="K209" s="46"/>
      <c r="L209" s="46"/>
      <c r="M209" s="46"/>
      <c r="N209" s="46"/>
      <c r="O209" s="46"/>
      <c r="P209" s="46"/>
      <c r="Q209" s="46"/>
      <c r="R209" s="46"/>
      <c r="S209" s="46"/>
      <c r="T209" s="46"/>
      <c r="U209" s="46"/>
      <c r="V209" s="46"/>
      <c r="W209" s="46"/>
      <c r="X209" s="46"/>
      <c r="Y209" s="46"/>
      <c r="Z209" s="46"/>
    </row>
    <row r="210" ht="22.5" customHeight="1">
      <c r="A210" s="47">
        <v>589900.0</v>
      </c>
      <c r="B210" s="47">
        <v>34300.0</v>
      </c>
      <c r="C210" s="48">
        <v>0.04</v>
      </c>
      <c r="D210" s="48">
        <v>0.0581</v>
      </c>
      <c r="E210" s="49">
        <f t="shared" si="1"/>
        <v>0.001227849746</v>
      </c>
      <c r="F210" s="49">
        <f t="shared" si="2"/>
        <v>0.00004911398984</v>
      </c>
      <c r="G210" s="49">
        <f t="shared" si="3"/>
        <v>0.00007133807024</v>
      </c>
      <c r="H210" s="46"/>
      <c r="I210" s="46"/>
      <c r="J210" s="46"/>
      <c r="K210" s="46"/>
      <c r="L210" s="46"/>
      <c r="M210" s="46"/>
      <c r="N210" s="46"/>
      <c r="O210" s="46"/>
      <c r="P210" s="46"/>
      <c r="Q210" s="46"/>
      <c r="R210" s="46"/>
      <c r="S210" s="46"/>
      <c r="T210" s="46"/>
      <c r="U210" s="46"/>
      <c r="V210" s="46"/>
      <c r="W210" s="46"/>
      <c r="X210" s="46"/>
      <c r="Y210" s="46"/>
      <c r="Z210" s="46"/>
    </row>
    <row r="211" ht="22.5" customHeight="1">
      <c r="A211" s="47">
        <v>743425.0</v>
      </c>
      <c r="B211" s="47">
        <v>33100.0</v>
      </c>
      <c r="C211" s="48">
        <v>0.1</v>
      </c>
      <c r="D211" s="48">
        <v>0.0445</v>
      </c>
      <c r="E211" s="49">
        <f t="shared" si="1"/>
        <v>0.001547404979</v>
      </c>
      <c r="F211" s="49">
        <f t="shared" si="2"/>
        <v>0.0001547404979</v>
      </c>
      <c r="G211" s="49">
        <f t="shared" si="3"/>
        <v>0.00006885952158</v>
      </c>
      <c r="H211" s="46"/>
      <c r="I211" s="46"/>
      <c r="J211" s="46"/>
      <c r="K211" s="46"/>
      <c r="L211" s="46"/>
      <c r="M211" s="46"/>
      <c r="N211" s="46"/>
      <c r="O211" s="46"/>
      <c r="P211" s="46"/>
      <c r="Q211" s="46"/>
      <c r="R211" s="46"/>
      <c r="S211" s="46"/>
      <c r="T211" s="46"/>
      <c r="U211" s="46"/>
      <c r="V211" s="46"/>
      <c r="W211" s="46"/>
      <c r="X211" s="46"/>
      <c r="Y211" s="46"/>
      <c r="Z211" s="46"/>
    </row>
    <row r="212" ht="22.5" customHeight="1">
      <c r="A212" s="47">
        <v>1255150.0</v>
      </c>
      <c r="B212" s="47">
        <v>367600.0</v>
      </c>
      <c r="C212" s="48">
        <v>0.11</v>
      </c>
      <c r="D212" s="48">
        <v>0.2929</v>
      </c>
      <c r="E212" s="49">
        <f t="shared" si="1"/>
        <v>0.002612537055</v>
      </c>
      <c r="F212" s="49">
        <f t="shared" si="2"/>
        <v>0.000287379076</v>
      </c>
      <c r="G212" s="49">
        <f t="shared" si="3"/>
        <v>0.0007652121033</v>
      </c>
      <c r="H212" s="46"/>
      <c r="I212" s="46"/>
      <c r="J212" s="46"/>
      <c r="K212" s="46"/>
      <c r="L212" s="46"/>
      <c r="M212" s="46"/>
      <c r="N212" s="46"/>
      <c r="O212" s="46"/>
      <c r="P212" s="46"/>
      <c r="Q212" s="46"/>
      <c r="R212" s="46"/>
      <c r="S212" s="46"/>
      <c r="T212" s="46"/>
      <c r="U212" s="46"/>
      <c r="V212" s="46"/>
      <c r="W212" s="46"/>
      <c r="X212" s="46"/>
      <c r="Y212" s="46"/>
      <c r="Z212" s="46"/>
    </row>
    <row r="213" ht="22.5" customHeight="1">
      <c r="A213" s="47">
        <v>1624377.0</v>
      </c>
      <c r="B213" s="47">
        <v>438127.0</v>
      </c>
      <c r="C213" s="48">
        <v>0.11</v>
      </c>
      <c r="D213" s="48">
        <v>0.2697</v>
      </c>
      <c r="E213" s="49">
        <f t="shared" si="1"/>
        <v>0.00338106609</v>
      </c>
      <c r="F213" s="49">
        <f t="shared" si="2"/>
        <v>0.0003719172699</v>
      </c>
      <c r="G213" s="49">
        <f t="shared" si="3"/>
        <v>0.0009118735246</v>
      </c>
      <c r="H213" s="46"/>
      <c r="I213" s="46"/>
      <c r="J213" s="46"/>
      <c r="K213" s="46"/>
      <c r="L213" s="46"/>
      <c r="M213" s="46"/>
      <c r="N213" s="46"/>
      <c r="O213" s="46"/>
      <c r="P213" s="46"/>
      <c r="Q213" s="46"/>
      <c r="R213" s="46"/>
      <c r="S213" s="46"/>
      <c r="T213" s="46"/>
      <c r="U213" s="46"/>
      <c r="V213" s="46"/>
      <c r="W213" s="46"/>
      <c r="X213" s="46"/>
      <c r="Y213" s="46"/>
      <c r="Z213" s="46"/>
    </row>
    <row r="214" ht="22.5" customHeight="1">
      <c r="A214" s="47">
        <v>2012612.0</v>
      </c>
      <c r="B214" s="47">
        <v>302037.0</v>
      </c>
      <c r="C214" s="48">
        <v>0.04</v>
      </c>
      <c r="D214" s="48">
        <v>0.1501</v>
      </c>
      <c r="E214" s="49">
        <f t="shared" si="1"/>
        <v>0.004189159405</v>
      </c>
      <c r="F214" s="49">
        <f t="shared" si="2"/>
        <v>0.0001675663762</v>
      </c>
      <c r="G214" s="49">
        <f t="shared" si="3"/>
        <v>0.0006287928266</v>
      </c>
      <c r="H214" s="46"/>
      <c r="I214" s="46"/>
      <c r="J214" s="46"/>
      <c r="K214" s="46"/>
      <c r="L214" s="46"/>
      <c r="M214" s="46"/>
      <c r="N214" s="46"/>
      <c r="O214" s="46"/>
      <c r="P214" s="46"/>
      <c r="Q214" s="46"/>
      <c r="R214" s="46"/>
      <c r="S214" s="46"/>
      <c r="T214" s="46"/>
      <c r="U214" s="46"/>
      <c r="V214" s="46"/>
      <c r="W214" s="46"/>
      <c r="X214" s="46"/>
      <c r="Y214" s="46"/>
      <c r="Z214" s="46"/>
    </row>
    <row r="215" ht="22.5" customHeight="1">
      <c r="A215" s="47">
        <v>427442.3</v>
      </c>
      <c r="B215" s="47">
        <v>31000.0</v>
      </c>
      <c r="C215" s="48">
        <v>0.03</v>
      </c>
      <c r="D215" s="48">
        <v>0.0725</v>
      </c>
      <c r="E215" s="49">
        <f t="shared" si="1"/>
        <v>0.0008897015078</v>
      </c>
      <c r="F215" s="49">
        <f t="shared" si="2"/>
        <v>0.00002669104523</v>
      </c>
      <c r="G215" s="49">
        <f t="shared" si="3"/>
        <v>0.00006450335931</v>
      </c>
      <c r="H215" s="46"/>
      <c r="I215" s="46"/>
      <c r="J215" s="46"/>
      <c r="K215" s="46"/>
      <c r="L215" s="46"/>
      <c r="M215" s="46"/>
      <c r="N215" s="46"/>
      <c r="O215" s="46"/>
      <c r="P215" s="46"/>
      <c r="Q215" s="46"/>
      <c r="R215" s="46"/>
      <c r="S215" s="46"/>
      <c r="T215" s="46"/>
      <c r="U215" s="46"/>
      <c r="V215" s="46"/>
      <c r="W215" s="46"/>
      <c r="X215" s="46"/>
      <c r="Y215" s="46"/>
      <c r="Z215" s="46"/>
    </row>
    <row r="216" ht="22.5" customHeight="1">
      <c r="A216" s="47">
        <v>817943.0</v>
      </c>
      <c r="B216" s="47">
        <v>590443.0</v>
      </c>
      <c r="C216" s="48">
        <v>0.08</v>
      </c>
      <c r="D216" s="48">
        <v>0.7219</v>
      </c>
      <c r="E216" s="49">
        <f t="shared" si="1"/>
        <v>0.001702510773</v>
      </c>
      <c r="F216" s="49">
        <f t="shared" si="2"/>
        <v>0.0001362008618</v>
      </c>
      <c r="G216" s="49">
        <f t="shared" si="3"/>
        <v>0.001229042527</v>
      </c>
      <c r="H216" s="46"/>
      <c r="I216" s="46"/>
      <c r="J216" s="46"/>
      <c r="K216" s="46"/>
      <c r="L216" s="46"/>
      <c r="M216" s="46"/>
      <c r="N216" s="46"/>
      <c r="O216" s="46"/>
      <c r="P216" s="46"/>
      <c r="Q216" s="46"/>
      <c r="R216" s="46"/>
      <c r="S216" s="46"/>
      <c r="T216" s="46"/>
      <c r="U216" s="46"/>
      <c r="V216" s="46"/>
      <c r="W216" s="46"/>
      <c r="X216" s="46"/>
      <c r="Y216" s="46"/>
      <c r="Z216" s="46"/>
    </row>
    <row r="217" ht="22.5" customHeight="1">
      <c r="A217" s="47">
        <v>419877.0</v>
      </c>
      <c r="B217" s="47">
        <v>65677.0</v>
      </c>
      <c r="C217" s="48">
        <v>0.08</v>
      </c>
      <c r="D217" s="48">
        <v>0.1564</v>
      </c>
      <c r="E217" s="49">
        <f t="shared" si="1"/>
        <v>0.0008739546834</v>
      </c>
      <c r="F217" s="49">
        <f t="shared" si="2"/>
        <v>0.00006991637467</v>
      </c>
      <c r="G217" s="49">
        <f t="shared" si="3"/>
        <v>0.0001366865125</v>
      </c>
      <c r="H217" s="46"/>
      <c r="I217" s="46"/>
      <c r="J217" s="46"/>
      <c r="K217" s="46"/>
      <c r="L217" s="46"/>
      <c r="M217" s="46"/>
      <c r="N217" s="46"/>
      <c r="O217" s="46"/>
      <c r="P217" s="46"/>
      <c r="Q217" s="46"/>
      <c r="R217" s="46"/>
      <c r="S217" s="46"/>
      <c r="T217" s="46"/>
      <c r="U217" s="46"/>
      <c r="V217" s="46"/>
      <c r="W217" s="46"/>
      <c r="X217" s="46"/>
      <c r="Y217" s="46"/>
      <c r="Z217" s="46"/>
    </row>
    <row r="218" ht="22.5" customHeight="1">
      <c r="A218" s="47">
        <v>995000.0</v>
      </c>
      <c r="B218" s="47">
        <v>51012.0</v>
      </c>
      <c r="C218" s="48">
        <v>0.03</v>
      </c>
      <c r="D218" s="48">
        <v>0.0513</v>
      </c>
      <c r="E218" s="49">
        <f t="shared" si="1"/>
        <v>0.002071046783</v>
      </c>
      <c r="F218" s="49">
        <f t="shared" si="2"/>
        <v>0.00006213140348</v>
      </c>
      <c r="G218" s="49">
        <f t="shared" si="3"/>
        <v>0.0001062447</v>
      </c>
      <c r="H218" s="46"/>
      <c r="I218" s="46"/>
      <c r="J218" s="46"/>
      <c r="K218" s="46"/>
      <c r="L218" s="46"/>
      <c r="M218" s="46"/>
      <c r="N218" s="46"/>
      <c r="O218" s="46"/>
      <c r="P218" s="46"/>
      <c r="Q218" s="46"/>
      <c r="R218" s="46"/>
      <c r="S218" s="46"/>
      <c r="T218" s="46"/>
      <c r="U218" s="46"/>
      <c r="V218" s="46"/>
      <c r="W218" s="46"/>
      <c r="X218" s="46"/>
      <c r="Y218" s="46"/>
      <c r="Z218" s="46"/>
    </row>
    <row r="219" ht="22.5" customHeight="1">
      <c r="A219" s="47">
        <v>967765.0</v>
      </c>
      <c r="B219" s="47">
        <v>60600.0</v>
      </c>
      <c r="C219" s="48">
        <v>0.04</v>
      </c>
      <c r="D219" s="48">
        <v>0.0626</v>
      </c>
      <c r="E219" s="49">
        <f t="shared" si="1"/>
        <v>0.002014358382</v>
      </c>
      <c r="F219" s="49">
        <f t="shared" si="2"/>
        <v>0.00008057433527</v>
      </c>
      <c r="G219" s="49">
        <f t="shared" si="3"/>
        <v>0.0001260988347</v>
      </c>
      <c r="H219" s="46"/>
      <c r="I219" s="46"/>
      <c r="J219" s="46"/>
      <c r="K219" s="46"/>
      <c r="L219" s="46"/>
      <c r="M219" s="46"/>
      <c r="N219" s="46"/>
      <c r="O219" s="46"/>
      <c r="P219" s="46"/>
      <c r="Q219" s="46"/>
      <c r="R219" s="46"/>
      <c r="S219" s="46"/>
      <c r="T219" s="46"/>
      <c r="U219" s="46"/>
      <c r="V219" s="46"/>
      <c r="W219" s="46"/>
      <c r="X219" s="46"/>
      <c r="Y219" s="46"/>
      <c r="Z219" s="46"/>
    </row>
    <row r="220" ht="22.5" customHeight="1">
      <c r="A220" s="47">
        <v>594815.0</v>
      </c>
      <c r="B220" s="47">
        <v>92315.0</v>
      </c>
      <c r="C220" s="48">
        <v>0.05</v>
      </c>
      <c r="D220" s="48">
        <v>0.1552</v>
      </c>
      <c r="E220" s="49">
        <f t="shared" si="1"/>
        <v>0.001238080093</v>
      </c>
      <c r="F220" s="49">
        <f t="shared" si="2"/>
        <v>0.00006190400463</v>
      </c>
      <c r="G220" s="49">
        <f t="shared" si="3"/>
        <v>0.0001921500304</v>
      </c>
      <c r="H220" s="46"/>
      <c r="I220" s="46"/>
      <c r="J220" s="46"/>
      <c r="K220" s="46"/>
      <c r="L220" s="46"/>
      <c r="M220" s="46"/>
      <c r="N220" s="46"/>
      <c r="O220" s="46"/>
      <c r="P220" s="46"/>
      <c r="Q220" s="46"/>
      <c r="R220" s="46"/>
      <c r="S220" s="46"/>
      <c r="T220" s="46"/>
      <c r="U220" s="46"/>
      <c r="V220" s="46"/>
      <c r="W220" s="46"/>
      <c r="X220" s="46"/>
      <c r="Y220" s="46"/>
      <c r="Z220" s="46"/>
    </row>
    <row r="221" ht="22.5" customHeight="1">
      <c r="A221" s="47">
        <v>1598005.0</v>
      </c>
      <c r="B221" s="47">
        <v>323390.0</v>
      </c>
      <c r="C221" s="48">
        <v>0.07</v>
      </c>
      <c r="D221" s="48">
        <v>0.2024</v>
      </c>
      <c r="E221" s="49">
        <f t="shared" si="1"/>
        <v>0.003326173984</v>
      </c>
      <c r="F221" s="49">
        <f t="shared" si="2"/>
        <v>0.0002328321789</v>
      </c>
      <c r="G221" s="49">
        <f t="shared" si="3"/>
        <v>0.0006732176144</v>
      </c>
      <c r="H221" s="46"/>
      <c r="I221" s="46"/>
      <c r="J221" s="46"/>
      <c r="K221" s="46"/>
      <c r="L221" s="46"/>
      <c r="M221" s="46"/>
      <c r="N221" s="46"/>
      <c r="O221" s="46"/>
      <c r="P221" s="46"/>
      <c r="Q221" s="46"/>
      <c r="R221" s="46"/>
      <c r="S221" s="46"/>
      <c r="T221" s="46"/>
      <c r="U221" s="46"/>
      <c r="V221" s="46"/>
      <c r="W221" s="46"/>
      <c r="X221" s="46"/>
      <c r="Y221" s="46"/>
      <c r="Z221" s="46"/>
    </row>
    <row r="222" ht="22.5" customHeight="1">
      <c r="A222" s="47">
        <v>2739587.0</v>
      </c>
      <c r="B222" s="47">
        <v>2390142.0</v>
      </c>
      <c r="C222" s="48">
        <v>0.07</v>
      </c>
      <c r="D222" s="48">
        <v>0.8724</v>
      </c>
      <c r="E222" s="49">
        <f t="shared" si="1"/>
        <v>0.005702324465</v>
      </c>
      <c r="F222" s="49">
        <f t="shared" si="2"/>
        <v>0.0003991627125</v>
      </c>
      <c r="G222" s="49">
        <f t="shared" si="3"/>
        <v>0.004974707863</v>
      </c>
      <c r="H222" s="46"/>
      <c r="I222" s="46"/>
      <c r="J222" s="46"/>
      <c r="K222" s="46"/>
      <c r="L222" s="46"/>
      <c r="M222" s="46"/>
      <c r="N222" s="46"/>
      <c r="O222" s="46"/>
      <c r="P222" s="46"/>
      <c r="Q222" s="46"/>
      <c r="R222" s="46"/>
      <c r="S222" s="46"/>
      <c r="T222" s="46"/>
      <c r="U222" s="46"/>
      <c r="V222" s="46"/>
      <c r="W222" s="46"/>
      <c r="X222" s="46"/>
      <c r="Y222" s="46"/>
      <c r="Z222" s="46"/>
    </row>
    <row r="223" ht="22.5" customHeight="1">
      <c r="A223" s="47">
        <v>902500.0</v>
      </c>
      <c r="B223" s="47">
        <v>163800.0</v>
      </c>
      <c r="C223" s="48">
        <v>0.04</v>
      </c>
      <c r="D223" s="48">
        <v>0.1815</v>
      </c>
      <c r="E223" s="49">
        <f t="shared" si="1"/>
        <v>0.001878512283</v>
      </c>
      <c r="F223" s="49">
        <f t="shared" si="2"/>
        <v>0.00007514049131</v>
      </c>
      <c r="G223" s="49">
        <f t="shared" si="3"/>
        <v>0.0003409499793</v>
      </c>
      <c r="H223" s="46"/>
      <c r="I223" s="46"/>
      <c r="J223" s="46"/>
      <c r="K223" s="46"/>
      <c r="L223" s="46"/>
      <c r="M223" s="46"/>
      <c r="N223" s="46"/>
      <c r="O223" s="46"/>
      <c r="P223" s="46"/>
      <c r="Q223" s="46"/>
      <c r="R223" s="46"/>
      <c r="S223" s="46"/>
      <c r="T223" s="46"/>
      <c r="U223" s="46"/>
      <c r="V223" s="46"/>
      <c r="W223" s="46"/>
      <c r="X223" s="46"/>
      <c r="Y223" s="46"/>
      <c r="Z223" s="46"/>
    </row>
    <row r="224" ht="22.5" customHeight="1">
      <c r="A224" s="47">
        <v>609250.0</v>
      </c>
      <c r="B224" s="47">
        <v>166650.0</v>
      </c>
      <c r="C224" s="48">
        <v>0.03</v>
      </c>
      <c r="D224" s="48">
        <v>0.2735</v>
      </c>
      <c r="E224" s="49">
        <f t="shared" si="1"/>
        <v>0.001268125882</v>
      </c>
      <c r="F224" s="49">
        <f t="shared" si="2"/>
        <v>0.00003804377645</v>
      </c>
      <c r="G224" s="49">
        <f t="shared" si="3"/>
        <v>0.0003468324287</v>
      </c>
      <c r="H224" s="46"/>
      <c r="I224" s="46"/>
      <c r="J224" s="46"/>
      <c r="K224" s="46"/>
      <c r="L224" s="46"/>
      <c r="M224" s="46"/>
      <c r="N224" s="46"/>
      <c r="O224" s="46"/>
      <c r="P224" s="46"/>
      <c r="Q224" s="46"/>
      <c r="R224" s="46"/>
      <c r="S224" s="46"/>
      <c r="T224" s="46"/>
      <c r="U224" s="46"/>
      <c r="V224" s="46"/>
      <c r="W224" s="46"/>
      <c r="X224" s="46"/>
      <c r="Y224" s="46"/>
      <c r="Z224" s="46"/>
    </row>
    <row r="225" ht="22.5" customHeight="1">
      <c r="A225" s="47">
        <v>1588290.0</v>
      </c>
      <c r="B225" s="47">
        <v>299700.0</v>
      </c>
      <c r="C225" s="48">
        <v>0.03</v>
      </c>
      <c r="D225" s="48">
        <v>0.1887</v>
      </c>
      <c r="E225" s="49">
        <f t="shared" si="1"/>
        <v>0.003305952658</v>
      </c>
      <c r="F225" s="49">
        <f t="shared" si="2"/>
        <v>0.00009917857974</v>
      </c>
      <c r="G225" s="49">
        <f t="shared" si="3"/>
        <v>0.0006238332665</v>
      </c>
      <c r="H225" s="46"/>
      <c r="I225" s="46"/>
      <c r="J225" s="46"/>
      <c r="K225" s="46"/>
      <c r="L225" s="46"/>
      <c r="M225" s="46"/>
      <c r="N225" s="46"/>
      <c r="O225" s="46"/>
      <c r="P225" s="46"/>
      <c r="Q225" s="46"/>
      <c r="R225" s="46"/>
      <c r="S225" s="46"/>
      <c r="T225" s="46"/>
      <c r="U225" s="46"/>
      <c r="V225" s="46"/>
      <c r="W225" s="46"/>
      <c r="X225" s="46"/>
      <c r="Y225" s="46"/>
      <c r="Z225" s="46"/>
    </row>
    <row r="226" ht="22.5" customHeight="1">
      <c r="A226" s="47">
        <v>2289168.0</v>
      </c>
      <c r="B226" s="47">
        <v>138600.0</v>
      </c>
      <c r="C226" s="48">
        <v>0.04</v>
      </c>
      <c r="D226" s="48">
        <v>0.0605</v>
      </c>
      <c r="E226" s="49">
        <f t="shared" si="1"/>
        <v>0.004764798012</v>
      </c>
      <c r="F226" s="49">
        <f t="shared" si="2"/>
        <v>0.0001905919205</v>
      </c>
      <c r="G226" s="49">
        <f t="shared" si="3"/>
        <v>0.0002882702797</v>
      </c>
      <c r="H226" s="46"/>
      <c r="I226" s="46"/>
      <c r="J226" s="46"/>
      <c r="K226" s="46"/>
      <c r="L226" s="46"/>
      <c r="M226" s="46"/>
      <c r="N226" s="46"/>
      <c r="O226" s="46"/>
      <c r="P226" s="46"/>
      <c r="Q226" s="46"/>
      <c r="R226" s="46"/>
      <c r="S226" s="46"/>
      <c r="T226" s="46"/>
      <c r="U226" s="46"/>
      <c r="V226" s="46"/>
      <c r="W226" s="46"/>
      <c r="X226" s="46"/>
      <c r="Y226" s="46"/>
      <c r="Z226" s="46"/>
    </row>
    <row r="227" ht="22.5" customHeight="1">
      <c r="A227" s="47">
        <v>2454360.0</v>
      </c>
      <c r="B227" s="47">
        <v>600200.0</v>
      </c>
      <c r="C227" s="48">
        <v>0.04</v>
      </c>
      <c r="D227" s="48">
        <v>0.2445</v>
      </c>
      <c r="E227" s="49">
        <f t="shared" si="1"/>
        <v>0.00510863757</v>
      </c>
      <c r="F227" s="49">
        <f t="shared" si="2"/>
        <v>0.0002043455028</v>
      </c>
      <c r="G227" s="49">
        <f t="shared" si="3"/>
        <v>0.001249061886</v>
      </c>
      <c r="H227" s="46"/>
      <c r="I227" s="46"/>
      <c r="J227" s="46"/>
      <c r="K227" s="46"/>
      <c r="L227" s="46"/>
      <c r="M227" s="46"/>
      <c r="N227" s="46"/>
      <c r="O227" s="46"/>
      <c r="P227" s="46"/>
      <c r="Q227" s="46"/>
      <c r="R227" s="46"/>
      <c r="S227" s="46"/>
      <c r="T227" s="46"/>
      <c r="U227" s="46"/>
      <c r="V227" s="46"/>
      <c r="W227" s="46"/>
      <c r="X227" s="46"/>
      <c r="Y227" s="46"/>
      <c r="Z227" s="46"/>
    </row>
    <row r="228" ht="22.5" customHeight="1">
      <c r="A228" s="47">
        <v>3370199.36</v>
      </c>
      <c r="B228" s="47">
        <v>232791.31</v>
      </c>
      <c r="C228" s="48">
        <v>0.05</v>
      </c>
      <c r="D228" s="48">
        <v>0.0691</v>
      </c>
      <c r="E228" s="49">
        <f t="shared" si="1"/>
        <v>0.007014915117</v>
      </c>
      <c r="F228" s="49">
        <f t="shared" si="2"/>
        <v>0.0003507457559</v>
      </c>
      <c r="G228" s="49">
        <f t="shared" si="3"/>
        <v>0.0004847306346</v>
      </c>
      <c r="H228" s="46"/>
      <c r="I228" s="46"/>
      <c r="J228" s="46"/>
      <c r="K228" s="46"/>
      <c r="L228" s="46"/>
      <c r="M228" s="46"/>
      <c r="N228" s="46"/>
      <c r="O228" s="46"/>
      <c r="P228" s="46"/>
      <c r="Q228" s="46"/>
      <c r="R228" s="46"/>
      <c r="S228" s="46"/>
      <c r="T228" s="46"/>
      <c r="U228" s="46"/>
      <c r="V228" s="46"/>
      <c r="W228" s="46"/>
      <c r="X228" s="46"/>
      <c r="Y228" s="46"/>
      <c r="Z228" s="46"/>
    </row>
    <row r="229" ht="22.5" customHeight="1">
      <c r="A229" s="47">
        <v>1.014548106E7</v>
      </c>
      <c r="B229" s="47">
        <v>765155.93</v>
      </c>
      <c r="C229" s="48">
        <v>0.05</v>
      </c>
      <c r="D229" s="48">
        <v>0.0754</v>
      </c>
      <c r="E229" s="49">
        <f t="shared" si="1"/>
        <v>0.02111735267</v>
      </c>
      <c r="F229" s="49">
        <f t="shared" si="2"/>
        <v>0.001055867634</v>
      </c>
      <c r="G229" s="49">
        <f t="shared" si="3"/>
        <v>0.001592248391</v>
      </c>
      <c r="H229" s="46"/>
      <c r="I229" s="46"/>
      <c r="J229" s="46"/>
      <c r="K229" s="46"/>
      <c r="L229" s="46"/>
      <c r="M229" s="46"/>
      <c r="N229" s="46"/>
      <c r="O229" s="46"/>
      <c r="P229" s="46"/>
      <c r="Q229" s="46"/>
      <c r="R229" s="46"/>
      <c r="S229" s="46"/>
      <c r="T229" s="46"/>
      <c r="U229" s="46"/>
      <c r="V229" s="46"/>
      <c r="W229" s="46"/>
      <c r="X229" s="46"/>
      <c r="Y229" s="46"/>
      <c r="Z229" s="46"/>
    </row>
    <row r="230" ht="22.5" customHeight="1">
      <c r="A230" s="47">
        <v>6208878.13</v>
      </c>
      <c r="B230" s="47">
        <v>243177.62</v>
      </c>
      <c r="C230" s="48">
        <v>0.05</v>
      </c>
      <c r="D230" s="48">
        <v>0.0392</v>
      </c>
      <c r="E230" s="49">
        <f t="shared" si="1"/>
        <v>0.01292349455</v>
      </c>
      <c r="F230" s="49">
        <f t="shared" si="2"/>
        <v>0.0006461747274</v>
      </c>
      <c r="G230" s="49">
        <f t="shared" si="3"/>
        <v>0.0005066009863</v>
      </c>
      <c r="H230" s="46"/>
      <c r="I230" s="46"/>
      <c r="J230" s="46"/>
      <c r="K230" s="46"/>
      <c r="L230" s="46"/>
      <c r="M230" s="46"/>
      <c r="N230" s="46"/>
      <c r="O230" s="46"/>
      <c r="P230" s="46"/>
      <c r="Q230" s="46"/>
      <c r="R230" s="46"/>
      <c r="S230" s="46"/>
      <c r="T230" s="46"/>
      <c r="U230" s="46"/>
      <c r="V230" s="46"/>
      <c r="W230" s="46"/>
      <c r="X230" s="46"/>
      <c r="Y230" s="46"/>
      <c r="Z230" s="46"/>
    </row>
    <row r="231" ht="22.5" customHeight="1">
      <c r="A231" s="47">
        <v>3003843.96</v>
      </c>
      <c r="B231" s="47">
        <v>471908.96</v>
      </c>
      <c r="C231" s="48">
        <v>0.05</v>
      </c>
      <c r="D231" s="48">
        <v>0.1571</v>
      </c>
      <c r="E231" s="49">
        <f t="shared" si="1"/>
        <v>0.006252363185</v>
      </c>
      <c r="F231" s="49">
        <f t="shared" si="2"/>
        <v>0.0003126181593</v>
      </c>
      <c r="G231" s="49">
        <f t="shared" si="3"/>
        <v>0.0009822462564</v>
      </c>
      <c r="H231" s="46"/>
      <c r="I231" s="46"/>
      <c r="J231" s="46"/>
      <c r="K231" s="46"/>
      <c r="L231" s="46"/>
      <c r="M231" s="46"/>
      <c r="N231" s="46"/>
      <c r="O231" s="46"/>
      <c r="P231" s="46"/>
      <c r="Q231" s="46"/>
      <c r="R231" s="46"/>
      <c r="S231" s="46"/>
      <c r="T231" s="46"/>
      <c r="U231" s="46"/>
      <c r="V231" s="46"/>
      <c r="W231" s="46"/>
      <c r="X231" s="46"/>
      <c r="Y231" s="46"/>
      <c r="Z231" s="46"/>
    </row>
    <row r="232" ht="22.5" customHeight="1">
      <c r="A232" s="47">
        <v>1859493.05</v>
      </c>
      <c r="B232" s="47">
        <v>117294.72</v>
      </c>
      <c r="C232" s="48">
        <v>0.05</v>
      </c>
      <c r="D232" s="48">
        <v>0.0631</v>
      </c>
      <c r="E232" s="49">
        <f t="shared" si="1"/>
        <v>0.003870449346</v>
      </c>
      <c r="F232" s="49">
        <f t="shared" si="2"/>
        <v>0.0001935224673</v>
      </c>
      <c r="G232" s="49">
        <f t="shared" si="3"/>
        <v>0.0002442253537</v>
      </c>
      <c r="H232" s="46"/>
      <c r="I232" s="46"/>
      <c r="J232" s="46"/>
      <c r="K232" s="46"/>
      <c r="L232" s="46"/>
      <c r="M232" s="46"/>
      <c r="N232" s="46"/>
      <c r="O232" s="46"/>
      <c r="P232" s="46"/>
      <c r="Q232" s="46"/>
      <c r="R232" s="46"/>
      <c r="S232" s="46"/>
      <c r="T232" s="46"/>
      <c r="U232" s="46"/>
      <c r="V232" s="46"/>
      <c r="W232" s="46"/>
      <c r="X232" s="46"/>
      <c r="Y232" s="46"/>
      <c r="Z232" s="46"/>
    </row>
    <row r="233" ht="22.5" customHeight="1">
      <c r="A233" s="47">
        <v>1065550.19</v>
      </c>
      <c r="B233" s="47">
        <v>12988.1</v>
      </c>
      <c r="C233" s="48">
        <v>0.05</v>
      </c>
      <c r="D233" s="48">
        <v>0.0122</v>
      </c>
      <c r="E233" s="49">
        <f t="shared" si="1"/>
        <v>0.002217893762</v>
      </c>
      <c r="F233" s="49">
        <f t="shared" si="2"/>
        <v>0.0001108946881</v>
      </c>
      <c r="G233" s="49">
        <f t="shared" si="3"/>
        <v>0.00002705830389</v>
      </c>
      <c r="H233" s="46"/>
      <c r="I233" s="46"/>
      <c r="J233" s="46"/>
      <c r="K233" s="46"/>
      <c r="L233" s="46"/>
      <c r="M233" s="46"/>
      <c r="N233" s="46"/>
      <c r="O233" s="46"/>
      <c r="P233" s="46"/>
      <c r="Q233" s="46"/>
      <c r="R233" s="46"/>
      <c r="S233" s="46"/>
      <c r="T233" s="46"/>
      <c r="U233" s="46"/>
      <c r="V233" s="46"/>
      <c r="W233" s="46"/>
      <c r="X233" s="46"/>
      <c r="Y233" s="46"/>
      <c r="Z233" s="46"/>
    </row>
    <row r="234" ht="22.5" customHeight="1">
      <c r="A234" s="47">
        <v>4153164.45</v>
      </c>
      <c r="B234" s="47">
        <v>114170.95</v>
      </c>
      <c r="C234" s="48">
        <v>0.05</v>
      </c>
      <c r="D234" s="48">
        <v>0.0275</v>
      </c>
      <c r="E234" s="49">
        <f t="shared" si="1"/>
        <v>0.008644620977</v>
      </c>
      <c r="F234" s="49">
        <f t="shared" si="2"/>
        <v>0.0004322310489</v>
      </c>
      <c r="G234" s="49">
        <f t="shared" si="3"/>
        <v>0.0002377270769</v>
      </c>
      <c r="H234" s="46"/>
      <c r="I234" s="46"/>
      <c r="J234" s="46"/>
      <c r="K234" s="46"/>
      <c r="L234" s="46"/>
      <c r="M234" s="46"/>
      <c r="N234" s="46"/>
      <c r="O234" s="46"/>
      <c r="P234" s="46"/>
      <c r="Q234" s="46"/>
      <c r="R234" s="46"/>
      <c r="S234" s="46"/>
      <c r="T234" s="46"/>
      <c r="U234" s="46"/>
      <c r="V234" s="46"/>
      <c r="W234" s="46"/>
      <c r="X234" s="46"/>
      <c r="Y234" s="46"/>
      <c r="Z234" s="46"/>
    </row>
    <row r="235" ht="22.5" customHeight="1">
      <c r="A235" s="47">
        <v>867093.02</v>
      </c>
      <c r="B235" s="47">
        <v>364105.25</v>
      </c>
      <c r="C235" s="48">
        <v>0.05</v>
      </c>
      <c r="D235" s="48">
        <v>0.4199</v>
      </c>
      <c r="E235" s="49">
        <f t="shared" si="1"/>
        <v>0.001804814281</v>
      </c>
      <c r="F235" s="49">
        <f t="shared" si="2"/>
        <v>0.00009024071404</v>
      </c>
      <c r="G235" s="49">
        <f t="shared" si="3"/>
        <v>0.0007578415165</v>
      </c>
      <c r="H235" s="46"/>
      <c r="I235" s="46"/>
      <c r="J235" s="46"/>
      <c r="K235" s="46"/>
      <c r="L235" s="46"/>
      <c r="M235" s="46"/>
      <c r="N235" s="46"/>
      <c r="O235" s="46"/>
      <c r="P235" s="46"/>
      <c r="Q235" s="46"/>
      <c r="R235" s="46"/>
      <c r="S235" s="46"/>
      <c r="T235" s="46"/>
      <c r="U235" s="46"/>
      <c r="V235" s="46"/>
      <c r="W235" s="46"/>
      <c r="X235" s="46"/>
      <c r="Y235" s="46"/>
      <c r="Z235" s="46"/>
    </row>
    <row r="236" ht="22.5" customHeight="1">
      <c r="A236" s="47">
        <v>631806.0</v>
      </c>
      <c r="B236" s="47">
        <v>282806.0</v>
      </c>
      <c r="C236" s="48">
        <v>0.1</v>
      </c>
      <c r="D236" s="48">
        <v>0.4476</v>
      </c>
      <c r="E236" s="49">
        <f t="shared" si="1"/>
        <v>0.001315075159</v>
      </c>
      <c r="F236" s="49">
        <f t="shared" si="2"/>
        <v>0.0001315075159</v>
      </c>
      <c r="G236" s="49">
        <f t="shared" si="3"/>
        <v>0.0005886276414</v>
      </c>
      <c r="H236" s="46"/>
      <c r="I236" s="46"/>
      <c r="J236" s="46"/>
      <c r="K236" s="46"/>
      <c r="L236" s="46"/>
      <c r="M236" s="46"/>
      <c r="N236" s="46"/>
      <c r="O236" s="46"/>
      <c r="P236" s="46"/>
      <c r="Q236" s="46"/>
      <c r="R236" s="46"/>
      <c r="S236" s="46"/>
      <c r="T236" s="46"/>
      <c r="U236" s="46"/>
      <c r="V236" s="46"/>
      <c r="W236" s="46"/>
      <c r="X236" s="46"/>
      <c r="Y236" s="46"/>
      <c r="Z236" s="46"/>
    </row>
    <row r="237" ht="22.5" customHeight="1">
      <c r="A237" s="47">
        <v>290800.0</v>
      </c>
      <c r="B237" s="47">
        <v>290800.0</v>
      </c>
      <c r="C237" s="48">
        <v>0.1</v>
      </c>
      <c r="D237" s="48">
        <v>1.0</v>
      </c>
      <c r="E237" s="49">
        <f t="shared" si="1"/>
        <v>0.0006052868386</v>
      </c>
      <c r="F237" s="49">
        <f t="shared" si="2"/>
        <v>0.00006052868386</v>
      </c>
      <c r="G237" s="49">
        <f t="shared" si="3"/>
        <v>0.0006052868386</v>
      </c>
      <c r="H237" s="46"/>
      <c r="I237" s="46"/>
      <c r="J237" s="46"/>
      <c r="K237" s="46"/>
      <c r="L237" s="46"/>
      <c r="M237" s="46"/>
      <c r="N237" s="46"/>
      <c r="O237" s="46"/>
      <c r="P237" s="46"/>
      <c r="Q237" s="46"/>
      <c r="R237" s="46"/>
      <c r="S237" s="46"/>
      <c r="T237" s="46"/>
      <c r="U237" s="46"/>
      <c r="V237" s="46"/>
      <c r="W237" s="46"/>
      <c r="X237" s="46"/>
      <c r="Y237" s="46"/>
      <c r="Z237" s="46"/>
    </row>
    <row r="238" ht="22.5" customHeight="1">
      <c r="A238" s="47">
        <v>507500.0</v>
      </c>
      <c r="B238" s="47">
        <v>116400.0</v>
      </c>
      <c r="C238" s="48">
        <v>0.1</v>
      </c>
      <c r="D238" s="48">
        <v>0.2294</v>
      </c>
      <c r="E238" s="49">
        <f t="shared" si="1"/>
        <v>0.001056337932</v>
      </c>
      <c r="F238" s="49">
        <f t="shared" si="2"/>
        <v>0.0001056337932</v>
      </c>
      <c r="G238" s="49">
        <f t="shared" si="3"/>
        <v>0.0002423239216</v>
      </c>
      <c r="H238" s="46"/>
      <c r="I238" s="46"/>
      <c r="J238" s="46"/>
      <c r="K238" s="46"/>
      <c r="L238" s="46"/>
      <c r="M238" s="46"/>
      <c r="N238" s="46"/>
      <c r="O238" s="46"/>
      <c r="P238" s="46"/>
      <c r="Q238" s="46"/>
      <c r="R238" s="46"/>
      <c r="S238" s="46"/>
      <c r="T238" s="46"/>
      <c r="U238" s="46"/>
      <c r="V238" s="46"/>
      <c r="W238" s="46"/>
      <c r="X238" s="46"/>
      <c r="Y238" s="46"/>
      <c r="Z238" s="46"/>
    </row>
    <row r="239" ht="22.5" customHeight="1">
      <c r="A239" s="47">
        <v>992300.0</v>
      </c>
      <c r="B239" s="47">
        <v>308850.0</v>
      </c>
      <c r="C239" s="48">
        <v>0.11</v>
      </c>
      <c r="D239" s="48">
        <v>0.3112</v>
      </c>
      <c r="E239" s="49">
        <f t="shared" si="1"/>
        <v>0.002065426857</v>
      </c>
      <c r="F239" s="49">
        <f t="shared" si="2"/>
        <v>0.0002271969543</v>
      </c>
      <c r="G239" s="49">
        <f t="shared" si="3"/>
        <v>0.0006427608378</v>
      </c>
      <c r="H239" s="46"/>
      <c r="I239" s="46"/>
      <c r="J239" s="46"/>
      <c r="K239" s="46"/>
      <c r="L239" s="46"/>
      <c r="M239" s="46"/>
      <c r="N239" s="46"/>
      <c r="O239" s="46"/>
      <c r="P239" s="46"/>
      <c r="Q239" s="46"/>
      <c r="R239" s="46"/>
      <c r="S239" s="46"/>
      <c r="T239" s="46"/>
      <c r="U239" s="46"/>
      <c r="V239" s="46"/>
      <c r="W239" s="46"/>
      <c r="X239" s="46"/>
      <c r="Y239" s="46"/>
      <c r="Z239" s="46"/>
    </row>
    <row r="240" ht="22.5" customHeight="1">
      <c r="A240" s="47">
        <v>1302800.0</v>
      </c>
      <c r="B240" s="47">
        <v>498000.0</v>
      </c>
      <c r="C240" s="48">
        <v>0.14</v>
      </c>
      <c r="D240" s="48">
        <v>0.3823</v>
      </c>
      <c r="E240" s="49">
        <f t="shared" si="1"/>
        <v>0.00271171834</v>
      </c>
      <c r="F240" s="49">
        <f t="shared" si="2"/>
        <v>0.0003796405676</v>
      </c>
      <c r="G240" s="49">
        <f t="shared" si="3"/>
        <v>0.001036689921</v>
      </c>
      <c r="H240" s="46"/>
      <c r="I240" s="46"/>
      <c r="J240" s="46"/>
      <c r="K240" s="46"/>
      <c r="L240" s="46"/>
      <c r="M240" s="46"/>
      <c r="N240" s="46"/>
      <c r="O240" s="46"/>
      <c r="P240" s="46"/>
      <c r="Q240" s="46"/>
      <c r="R240" s="46"/>
      <c r="S240" s="46"/>
      <c r="T240" s="46"/>
      <c r="U240" s="46"/>
      <c r="V240" s="46"/>
      <c r="W240" s="46"/>
      <c r="X240" s="46"/>
      <c r="Y240" s="46"/>
      <c r="Z240" s="46"/>
    </row>
    <row r="241" ht="22.5" customHeight="1">
      <c r="A241" s="47">
        <v>1285100.0</v>
      </c>
      <c r="B241" s="47">
        <v>593600.0</v>
      </c>
      <c r="C241" s="48">
        <v>0.11</v>
      </c>
      <c r="D241" s="48">
        <v>0.4619</v>
      </c>
      <c r="E241" s="49">
        <f t="shared" si="1"/>
        <v>0.002674876604</v>
      </c>
      <c r="F241" s="49">
        <f t="shared" si="2"/>
        <v>0.0002942364264</v>
      </c>
      <c r="G241" s="49">
        <f t="shared" si="3"/>
        <v>0.001235525503</v>
      </c>
      <c r="H241" s="46"/>
      <c r="I241" s="46"/>
      <c r="J241" s="46"/>
      <c r="K241" s="46"/>
      <c r="L241" s="46"/>
      <c r="M241" s="46"/>
      <c r="N241" s="46"/>
      <c r="O241" s="46"/>
      <c r="P241" s="46"/>
      <c r="Q241" s="46"/>
      <c r="R241" s="46"/>
      <c r="S241" s="46"/>
      <c r="T241" s="46"/>
      <c r="U241" s="46"/>
      <c r="V241" s="46"/>
      <c r="W241" s="46"/>
      <c r="X241" s="46"/>
      <c r="Y241" s="46"/>
      <c r="Z241" s="46"/>
    </row>
    <row r="242" ht="22.5" customHeight="1">
      <c r="A242" s="47">
        <v>1827305.0</v>
      </c>
      <c r="B242" s="47">
        <v>469605.0</v>
      </c>
      <c r="C242" s="48">
        <v>0.12</v>
      </c>
      <c r="D242" s="48">
        <v>0.257</v>
      </c>
      <c r="E242" s="49">
        <f t="shared" si="1"/>
        <v>0.003803451398</v>
      </c>
      <c r="F242" s="49">
        <f t="shared" si="2"/>
        <v>0.0004564141678</v>
      </c>
      <c r="G242" s="49">
        <f t="shared" si="3"/>
        <v>0.0009774870094</v>
      </c>
      <c r="H242" s="46"/>
      <c r="I242" s="46"/>
      <c r="J242" s="46"/>
      <c r="K242" s="46"/>
      <c r="L242" s="46"/>
      <c r="M242" s="46"/>
      <c r="N242" s="46"/>
      <c r="O242" s="46"/>
      <c r="P242" s="46"/>
      <c r="Q242" s="46"/>
      <c r="R242" s="46"/>
      <c r="S242" s="46"/>
      <c r="T242" s="46"/>
      <c r="U242" s="46"/>
      <c r="V242" s="46"/>
      <c r="W242" s="46"/>
      <c r="X242" s="46"/>
      <c r="Y242" s="46"/>
      <c r="Z242" s="46"/>
    </row>
    <row r="243" ht="22.5" customHeight="1">
      <c r="A243" s="47">
        <v>2107746.0</v>
      </c>
      <c r="B243" s="47">
        <v>445246.0</v>
      </c>
      <c r="C243" s="48">
        <v>0.15</v>
      </c>
      <c r="D243" s="48">
        <v>0.2112</v>
      </c>
      <c r="E243" s="49">
        <f t="shared" si="1"/>
        <v>0.004387176454</v>
      </c>
      <c r="F243" s="49">
        <f t="shared" si="2"/>
        <v>0.0006580764682</v>
      </c>
      <c r="G243" s="49">
        <f t="shared" si="3"/>
        <v>0.0009265716672</v>
      </c>
      <c r="H243" s="46"/>
      <c r="I243" s="46"/>
      <c r="J243" s="46"/>
      <c r="K243" s="46"/>
      <c r="L243" s="46"/>
      <c r="M243" s="46"/>
      <c r="N243" s="46"/>
      <c r="O243" s="46"/>
      <c r="P243" s="46"/>
      <c r="Q243" s="46"/>
      <c r="R243" s="46"/>
      <c r="S243" s="46"/>
      <c r="T243" s="46"/>
      <c r="U243" s="46"/>
      <c r="V243" s="46"/>
      <c r="W243" s="46"/>
      <c r="X243" s="46"/>
      <c r="Y243" s="46"/>
      <c r="Z243" s="46"/>
    </row>
    <row r="244" ht="22.5" customHeight="1">
      <c r="A244" s="47">
        <v>2048600.0</v>
      </c>
      <c r="B244" s="47">
        <v>233300.0</v>
      </c>
      <c r="C244" s="48">
        <v>0.15</v>
      </c>
      <c r="D244" s="48">
        <v>0.1139</v>
      </c>
      <c r="E244" s="49">
        <f t="shared" si="1"/>
        <v>0.004264066773</v>
      </c>
      <c r="F244" s="49">
        <f t="shared" si="2"/>
        <v>0.000639610016</v>
      </c>
      <c r="G244" s="49">
        <f t="shared" si="3"/>
        <v>0.0004856772055</v>
      </c>
      <c r="H244" s="46"/>
      <c r="I244" s="46"/>
      <c r="J244" s="46"/>
      <c r="K244" s="46"/>
      <c r="L244" s="46"/>
      <c r="M244" s="46"/>
      <c r="N244" s="46"/>
      <c r="O244" s="46"/>
      <c r="P244" s="46"/>
      <c r="Q244" s="46"/>
      <c r="R244" s="46"/>
      <c r="S244" s="46"/>
      <c r="T244" s="46"/>
      <c r="U244" s="46"/>
      <c r="V244" s="46"/>
      <c r="W244" s="46"/>
      <c r="X244" s="46"/>
      <c r="Y244" s="46"/>
      <c r="Z244" s="46"/>
    </row>
    <row r="245" ht="22.5" customHeight="1">
      <c r="A245" s="47">
        <v>916556.0</v>
      </c>
      <c r="B245" s="47">
        <v>90856.0</v>
      </c>
      <c r="C245" s="48">
        <v>0.09</v>
      </c>
      <c r="D245" s="48">
        <v>0.0991</v>
      </c>
      <c r="E245" s="49">
        <f t="shared" si="1"/>
        <v>0.001907769201</v>
      </c>
      <c r="F245" s="49">
        <f t="shared" si="2"/>
        <v>0.0001716992281</v>
      </c>
      <c r="G245" s="49">
        <f t="shared" si="3"/>
        <v>0.0001890599278</v>
      </c>
      <c r="H245" s="46"/>
      <c r="I245" s="46"/>
      <c r="J245" s="46"/>
      <c r="K245" s="46"/>
      <c r="L245" s="46"/>
      <c r="M245" s="46"/>
      <c r="N245" s="46"/>
      <c r="O245" s="46"/>
      <c r="P245" s="46"/>
      <c r="Q245" s="46"/>
      <c r="R245" s="46"/>
      <c r="S245" s="46"/>
      <c r="T245" s="46"/>
      <c r="U245" s="46"/>
      <c r="V245" s="46"/>
      <c r="W245" s="46"/>
      <c r="X245" s="46"/>
      <c r="Y245" s="46"/>
      <c r="Z245" s="46"/>
    </row>
    <row r="246" ht="22.5" customHeight="1">
      <c r="A246" s="47">
        <v>400750.0</v>
      </c>
      <c r="B246" s="47">
        <v>67450.0</v>
      </c>
      <c r="C246" s="48">
        <v>0.07</v>
      </c>
      <c r="D246" s="48">
        <v>0.1683</v>
      </c>
      <c r="E246" s="49">
        <f t="shared" si="1"/>
        <v>0.0008341427118</v>
      </c>
      <c r="F246" s="49">
        <f t="shared" si="2"/>
        <v>0.00005838998982</v>
      </c>
      <c r="G246" s="49">
        <f t="shared" si="3"/>
        <v>0.0001403862184</v>
      </c>
      <c r="H246" s="46"/>
      <c r="I246" s="46"/>
      <c r="J246" s="46"/>
      <c r="K246" s="46"/>
      <c r="L246" s="46"/>
      <c r="M246" s="46"/>
      <c r="N246" s="46"/>
      <c r="O246" s="46"/>
      <c r="P246" s="46"/>
      <c r="Q246" s="46"/>
      <c r="R246" s="46"/>
      <c r="S246" s="46"/>
      <c r="T246" s="46"/>
      <c r="U246" s="46"/>
      <c r="V246" s="46"/>
      <c r="W246" s="46"/>
      <c r="X246" s="46"/>
      <c r="Y246" s="46"/>
      <c r="Z246" s="46"/>
    </row>
    <row r="247" ht="22.5" customHeight="1">
      <c r="A247" s="47">
        <v>505870.0</v>
      </c>
      <c r="B247" s="47">
        <v>27670.0</v>
      </c>
      <c r="C247" s="48">
        <v>0.05</v>
      </c>
      <c r="D247" s="48">
        <v>0.0547</v>
      </c>
      <c r="E247" s="49">
        <f t="shared" si="1"/>
        <v>0.001052945162</v>
      </c>
      <c r="F247" s="49">
        <f t="shared" si="2"/>
        <v>0.00005264725809</v>
      </c>
      <c r="G247" s="49">
        <f t="shared" si="3"/>
        <v>0.00005759610035</v>
      </c>
      <c r="H247" s="46"/>
      <c r="I247" s="46"/>
      <c r="J247" s="46"/>
      <c r="K247" s="46"/>
      <c r="L247" s="46"/>
      <c r="M247" s="46"/>
      <c r="N247" s="46"/>
      <c r="O247" s="46"/>
      <c r="P247" s="46"/>
      <c r="Q247" s="46"/>
      <c r="R247" s="46"/>
      <c r="S247" s="46"/>
      <c r="T247" s="46"/>
      <c r="U247" s="46"/>
      <c r="V247" s="46"/>
      <c r="W247" s="46"/>
      <c r="X247" s="46"/>
      <c r="Y247" s="46"/>
      <c r="Z247" s="46"/>
    </row>
    <row r="248" ht="22.5" customHeight="1">
      <c r="A248" s="47">
        <v>1521400.0</v>
      </c>
      <c r="B248" s="47">
        <v>602600.0</v>
      </c>
      <c r="C248" s="48">
        <v>0.14</v>
      </c>
      <c r="D248" s="48">
        <v>0.3961</v>
      </c>
      <c r="E248" s="49">
        <f t="shared" si="1"/>
        <v>0.003166724196</v>
      </c>
      <c r="F248" s="49">
        <f t="shared" si="2"/>
        <v>0.0004433413875</v>
      </c>
      <c r="G248" s="49">
        <f t="shared" si="3"/>
        <v>0.001254339454</v>
      </c>
      <c r="H248" s="46"/>
      <c r="I248" s="46"/>
      <c r="J248" s="46"/>
      <c r="K248" s="46"/>
      <c r="L248" s="46"/>
      <c r="M248" s="46"/>
      <c r="N248" s="46"/>
      <c r="O248" s="46"/>
      <c r="P248" s="46"/>
      <c r="Q248" s="46"/>
      <c r="R248" s="46"/>
      <c r="S248" s="46"/>
      <c r="T248" s="46"/>
      <c r="U248" s="46"/>
      <c r="V248" s="46"/>
      <c r="W248" s="46"/>
      <c r="X248" s="46"/>
      <c r="Y248" s="46"/>
      <c r="Z248" s="46"/>
    </row>
    <row r="249" ht="22.5" customHeight="1">
      <c r="A249" s="47">
        <v>181800.0</v>
      </c>
      <c r="B249" s="47">
        <v>8200.0</v>
      </c>
      <c r="C249" s="48">
        <v>0.04</v>
      </c>
      <c r="D249" s="48">
        <v>0.0451</v>
      </c>
      <c r="E249" s="49">
        <f t="shared" si="1"/>
        <v>0.0003784083468</v>
      </c>
      <c r="F249" s="49">
        <f t="shared" si="2"/>
        <v>0.00001513633387</v>
      </c>
      <c r="G249" s="49">
        <f t="shared" si="3"/>
        <v>0.00001706621644</v>
      </c>
      <c r="H249" s="46"/>
      <c r="I249" s="46"/>
      <c r="J249" s="46"/>
      <c r="K249" s="46"/>
      <c r="L249" s="46"/>
      <c r="M249" s="46"/>
      <c r="N249" s="46"/>
      <c r="O249" s="46"/>
      <c r="P249" s="46"/>
      <c r="Q249" s="46"/>
      <c r="R249" s="46"/>
      <c r="S249" s="46"/>
      <c r="T249" s="46"/>
      <c r="U249" s="46"/>
      <c r="V249" s="46"/>
      <c r="W249" s="46"/>
      <c r="X249" s="46"/>
      <c r="Y249" s="46"/>
      <c r="Z249" s="46"/>
    </row>
    <row r="250" ht="22.5" customHeight="1">
      <c r="A250" s="47">
        <v>1340960.0</v>
      </c>
      <c r="B250" s="47">
        <v>212900.0</v>
      </c>
      <c r="C250" s="48">
        <v>0.1</v>
      </c>
      <c r="D250" s="48">
        <v>0.1588</v>
      </c>
      <c r="E250" s="49">
        <f t="shared" si="1"/>
        <v>0.002791146627</v>
      </c>
      <c r="F250" s="49">
        <f t="shared" si="2"/>
        <v>0.0002791146627</v>
      </c>
      <c r="G250" s="49">
        <f t="shared" si="3"/>
        <v>0.0004432340844</v>
      </c>
      <c r="H250" s="46"/>
      <c r="I250" s="46"/>
      <c r="J250" s="46"/>
      <c r="K250" s="46"/>
      <c r="L250" s="46"/>
      <c r="M250" s="46"/>
      <c r="N250" s="46"/>
      <c r="O250" s="46"/>
      <c r="P250" s="46"/>
      <c r="Q250" s="46"/>
      <c r="R250" s="46"/>
      <c r="S250" s="46"/>
      <c r="T250" s="46"/>
      <c r="U250" s="46"/>
      <c r="V250" s="46"/>
      <c r="W250" s="46"/>
      <c r="X250" s="46"/>
      <c r="Y250" s="46"/>
      <c r="Z250" s="46"/>
    </row>
    <row r="251" ht="22.5" customHeight="1">
      <c r="A251" s="47">
        <v>587500.0</v>
      </c>
      <c r="B251" s="47">
        <v>96700.0</v>
      </c>
      <c r="C251" s="48">
        <v>0.1</v>
      </c>
      <c r="D251" s="48">
        <v>0.1646</v>
      </c>
      <c r="E251" s="49">
        <f t="shared" si="1"/>
        <v>0.001222854256</v>
      </c>
      <c r="F251" s="49">
        <f t="shared" si="2"/>
        <v>0.0001222854256</v>
      </c>
      <c r="G251" s="49">
        <f t="shared" si="3"/>
        <v>0.0002012818106</v>
      </c>
      <c r="H251" s="46"/>
      <c r="I251" s="46"/>
      <c r="J251" s="46"/>
      <c r="K251" s="46"/>
      <c r="L251" s="46"/>
      <c r="M251" s="46"/>
      <c r="N251" s="46"/>
      <c r="O251" s="46"/>
      <c r="P251" s="46"/>
      <c r="Q251" s="46"/>
      <c r="R251" s="46"/>
      <c r="S251" s="46"/>
      <c r="T251" s="46"/>
      <c r="U251" s="46"/>
      <c r="V251" s="46"/>
      <c r="W251" s="46"/>
      <c r="X251" s="46"/>
      <c r="Y251" s="46"/>
      <c r="Z251" s="46"/>
    </row>
    <row r="252" ht="22.5" customHeight="1">
      <c r="A252" s="47">
        <v>2001550.0</v>
      </c>
      <c r="B252" s="47">
        <v>260800.0</v>
      </c>
      <c r="C252" s="48">
        <v>0.12</v>
      </c>
      <c r="D252" s="48">
        <v>0.1303</v>
      </c>
      <c r="E252" s="49">
        <f t="shared" si="1"/>
        <v>0.00416613436</v>
      </c>
      <c r="F252" s="49">
        <f t="shared" si="2"/>
        <v>0.0004999361232</v>
      </c>
      <c r="G252" s="49">
        <f t="shared" si="3"/>
        <v>0.0005428473071</v>
      </c>
      <c r="H252" s="46"/>
      <c r="I252" s="46"/>
      <c r="J252" s="46"/>
      <c r="K252" s="46"/>
      <c r="L252" s="46"/>
      <c r="M252" s="46"/>
      <c r="N252" s="46"/>
      <c r="O252" s="46"/>
      <c r="P252" s="46"/>
      <c r="Q252" s="46"/>
      <c r="R252" s="46"/>
      <c r="S252" s="46"/>
      <c r="T252" s="46"/>
      <c r="U252" s="46"/>
      <c r="V252" s="46"/>
      <c r="W252" s="46"/>
      <c r="X252" s="46"/>
      <c r="Y252" s="46"/>
      <c r="Z252" s="46"/>
    </row>
    <row r="253" ht="22.5" customHeight="1">
      <c r="A253" s="47">
        <v>260800.0</v>
      </c>
      <c r="B253" s="47">
        <v>300859.0</v>
      </c>
      <c r="C253" s="48">
        <v>0.15</v>
      </c>
      <c r="D253" s="48">
        <v>0.2002</v>
      </c>
      <c r="E253" s="49">
        <f t="shared" si="1"/>
        <v>0.000542843217</v>
      </c>
      <c r="F253" s="49">
        <f t="shared" si="2"/>
        <v>0.00008142648255</v>
      </c>
      <c r="G253" s="49">
        <f t="shared" si="3"/>
        <v>0.000108677212</v>
      </c>
      <c r="H253" s="46"/>
      <c r="I253" s="46"/>
      <c r="J253" s="46"/>
      <c r="K253" s="46"/>
      <c r="L253" s="46"/>
      <c r="M253" s="46"/>
      <c r="N253" s="46"/>
      <c r="O253" s="46"/>
      <c r="P253" s="46"/>
      <c r="Q253" s="46"/>
      <c r="R253" s="46"/>
      <c r="S253" s="46"/>
      <c r="T253" s="46"/>
      <c r="U253" s="46"/>
      <c r="V253" s="46"/>
      <c r="W253" s="46"/>
      <c r="X253" s="46"/>
      <c r="Y253" s="46"/>
      <c r="Z253" s="46"/>
    </row>
    <row r="254" ht="22.5" customHeight="1">
      <c r="A254" s="47">
        <v>1383224.0</v>
      </c>
      <c r="B254" s="47">
        <v>250824.0</v>
      </c>
      <c r="C254" s="48">
        <v>0.12</v>
      </c>
      <c r="D254" s="48">
        <v>0.1813</v>
      </c>
      <c r="E254" s="49">
        <f t="shared" si="1"/>
        <v>0.002879117201</v>
      </c>
      <c r="F254" s="49">
        <f t="shared" si="2"/>
        <v>0.0003454940641</v>
      </c>
      <c r="G254" s="49">
        <f t="shared" si="3"/>
        <v>0.0005219839486</v>
      </c>
      <c r="H254" s="46"/>
      <c r="I254" s="46"/>
      <c r="J254" s="46"/>
      <c r="K254" s="46"/>
      <c r="L254" s="46"/>
      <c r="M254" s="46"/>
      <c r="N254" s="46"/>
      <c r="O254" s="46"/>
      <c r="P254" s="46"/>
      <c r="Q254" s="46"/>
      <c r="R254" s="46"/>
      <c r="S254" s="46"/>
      <c r="T254" s="46"/>
      <c r="U254" s="46"/>
      <c r="V254" s="46"/>
      <c r="W254" s="46"/>
      <c r="X254" s="46"/>
      <c r="Y254" s="46"/>
      <c r="Z254" s="46"/>
    </row>
    <row r="255" ht="22.5" customHeight="1">
      <c r="A255" s="47">
        <v>2184835.0</v>
      </c>
      <c r="B255" s="47">
        <v>678230.0</v>
      </c>
      <c r="C255" s="48">
        <v>0.12</v>
      </c>
      <c r="D255" s="48">
        <v>0.3104</v>
      </c>
      <c r="E255" s="49">
        <f t="shared" si="1"/>
        <v>0.004547633666</v>
      </c>
      <c r="F255" s="49">
        <f t="shared" si="2"/>
        <v>0.0005457160399</v>
      </c>
      <c r="G255" s="49">
        <f t="shared" si="3"/>
        <v>0.00141158549</v>
      </c>
      <c r="H255" s="46"/>
      <c r="I255" s="46"/>
      <c r="J255" s="46"/>
      <c r="K255" s="46"/>
      <c r="L255" s="46"/>
      <c r="M255" s="46"/>
      <c r="N255" s="46"/>
      <c r="O255" s="46"/>
      <c r="P255" s="46"/>
      <c r="Q255" s="46"/>
      <c r="R255" s="46"/>
      <c r="S255" s="46"/>
      <c r="T255" s="46"/>
      <c r="U255" s="46"/>
      <c r="V255" s="46"/>
      <c r="W255" s="46"/>
      <c r="X255" s="46"/>
      <c r="Y255" s="46"/>
      <c r="Z255" s="46"/>
    </row>
    <row r="256" ht="22.5" customHeight="1">
      <c r="A256" s="47">
        <v>1743220.0</v>
      </c>
      <c r="B256" s="47">
        <v>570020.0</v>
      </c>
      <c r="C256" s="48">
        <v>0.12</v>
      </c>
      <c r="D256" s="48">
        <v>0.327</v>
      </c>
      <c r="E256" s="49">
        <f t="shared" si="1"/>
        <v>0.003628432334</v>
      </c>
      <c r="F256" s="49">
        <f t="shared" si="2"/>
        <v>0.0004354118801</v>
      </c>
      <c r="G256" s="49">
        <f t="shared" si="3"/>
        <v>0.001186497373</v>
      </c>
      <c r="H256" s="46"/>
      <c r="I256" s="46"/>
      <c r="J256" s="46"/>
      <c r="K256" s="46"/>
      <c r="L256" s="46"/>
      <c r="M256" s="46"/>
      <c r="N256" s="46"/>
      <c r="O256" s="46"/>
      <c r="P256" s="46"/>
      <c r="Q256" s="46"/>
      <c r="R256" s="46"/>
      <c r="S256" s="46"/>
      <c r="T256" s="46"/>
      <c r="U256" s="46"/>
      <c r="V256" s="46"/>
      <c r="W256" s="46"/>
      <c r="X256" s="46"/>
      <c r="Y256" s="46"/>
      <c r="Z256" s="46"/>
    </row>
    <row r="257" ht="22.5" customHeight="1">
      <c r="A257" s="47">
        <v>2265800.0</v>
      </c>
      <c r="B257" s="47">
        <v>1001800.0</v>
      </c>
      <c r="C257" s="48">
        <v>0.12</v>
      </c>
      <c r="D257" s="48">
        <v>0.4421</v>
      </c>
      <c r="E257" s="49">
        <f t="shared" si="1"/>
        <v>0.004716158593</v>
      </c>
      <c r="F257" s="49">
        <f t="shared" si="2"/>
        <v>0.0005659390312</v>
      </c>
      <c r="G257" s="49">
        <f t="shared" si="3"/>
        <v>0.002085013714</v>
      </c>
      <c r="H257" s="46"/>
      <c r="I257" s="46"/>
      <c r="J257" s="46"/>
      <c r="K257" s="46"/>
      <c r="L257" s="46"/>
      <c r="M257" s="46"/>
      <c r="N257" s="46"/>
      <c r="O257" s="46"/>
      <c r="P257" s="46"/>
      <c r="Q257" s="46"/>
      <c r="R257" s="46"/>
      <c r="S257" s="46"/>
      <c r="T257" s="46"/>
      <c r="U257" s="46"/>
      <c r="V257" s="46"/>
      <c r="W257" s="46"/>
      <c r="X257" s="46"/>
      <c r="Y257" s="46"/>
      <c r="Z257" s="46"/>
    </row>
    <row r="258" ht="22.5" customHeight="1">
      <c r="A258" s="47">
        <v>1063800.0</v>
      </c>
      <c r="B258" s="47">
        <v>373900.0</v>
      </c>
      <c r="C258" s="48">
        <v>0.12</v>
      </c>
      <c r="D258" s="48">
        <v>0.3515</v>
      </c>
      <c r="E258" s="49">
        <f t="shared" si="1"/>
        <v>0.002214250822</v>
      </c>
      <c r="F258" s="49">
        <f t="shared" si="2"/>
        <v>0.0002657100986</v>
      </c>
      <c r="G258" s="49">
        <f t="shared" si="3"/>
        <v>0.0007783091638</v>
      </c>
      <c r="H258" s="46"/>
      <c r="I258" s="46"/>
      <c r="J258" s="46"/>
      <c r="K258" s="46"/>
      <c r="L258" s="46"/>
      <c r="M258" s="46"/>
      <c r="N258" s="46"/>
      <c r="O258" s="46"/>
      <c r="P258" s="46"/>
      <c r="Q258" s="46"/>
      <c r="R258" s="46"/>
      <c r="S258" s="46"/>
      <c r="T258" s="46"/>
      <c r="U258" s="46"/>
      <c r="V258" s="46"/>
      <c r="W258" s="46"/>
      <c r="X258" s="46"/>
      <c r="Y258" s="46"/>
      <c r="Z258" s="46"/>
    </row>
    <row r="259" ht="22.5" customHeight="1">
      <c r="A259" s="47">
        <v>459400.0</v>
      </c>
      <c r="B259" s="47">
        <v>80200.0</v>
      </c>
      <c r="C259" s="48">
        <v>0.1</v>
      </c>
      <c r="D259" s="48">
        <v>0.1746</v>
      </c>
      <c r="E259" s="49">
        <f t="shared" si="1"/>
        <v>0.000956219992</v>
      </c>
      <c r="F259" s="49">
        <f t="shared" si="2"/>
        <v>0.0000956219992</v>
      </c>
      <c r="G259" s="49">
        <f t="shared" si="3"/>
        <v>0.0001669560106</v>
      </c>
      <c r="H259" s="46"/>
      <c r="I259" s="46"/>
      <c r="J259" s="46"/>
      <c r="K259" s="46"/>
      <c r="L259" s="46"/>
      <c r="M259" s="46"/>
      <c r="N259" s="46"/>
      <c r="O259" s="46"/>
      <c r="P259" s="46"/>
      <c r="Q259" s="46"/>
      <c r="R259" s="46"/>
      <c r="S259" s="46"/>
      <c r="T259" s="46"/>
      <c r="U259" s="46"/>
      <c r="V259" s="46"/>
      <c r="W259" s="46"/>
      <c r="X259" s="46"/>
      <c r="Y259" s="46"/>
      <c r="Z259" s="46"/>
    </row>
    <row r="260" ht="22.5" customHeight="1">
      <c r="A260" s="47">
        <v>1435350.0</v>
      </c>
      <c r="B260" s="47">
        <v>520800.0</v>
      </c>
      <c r="C260" s="48">
        <v>0.12</v>
      </c>
      <c r="D260" s="48">
        <v>0.3628</v>
      </c>
      <c r="E260" s="49">
        <f t="shared" si="1"/>
        <v>0.002987615075</v>
      </c>
      <c r="F260" s="49">
        <f t="shared" si="2"/>
        <v>0.000358513809</v>
      </c>
      <c r="G260" s="49">
        <f t="shared" si="3"/>
        <v>0.001083906749</v>
      </c>
      <c r="H260" s="46"/>
      <c r="I260" s="46"/>
      <c r="J260" s="46"/>
      <c r="K260" s="46"/>
      <c r="L260" s="46"/>
      <c r="M260" s="46"/>
      <c r="N260" s="46"/>
      <c r="O260" s="46"/>
      <c r="P260" s="46"/>
      <c r="Q260" s="46"/>
      <c r="R260" s="46"/>
      <c r="S260" s="46"/>
      <c r="T260" s="46"/>
      <c r="U260" s="46"/>
      <c r="V260" s="46"/>
      <c r="W260" s="46"/>
      <c r="X260" s="46"/>
      <c r="Y260" s="46"/>
      <c r="Z260" s="46"/>
    </row>
    <row r="261" ht="22.5" customHeight="1">
      <c r="A261" s="47">
        <v>401600.0</v>
      </c>
      <c r="B261" s="47">
        <v>25900.0</v>
      </c>
      <c r="C261" s="48">
        <v>0.12</v>
      </c>
      <c r="D261" s="48">
        <v>0.0645</v>
      </c>
      <c r="E261" s="49">
        <f t="shared" si="1"/>
        <v>0.0008359119477</v>
      </c>
      <c r="F261" s="49">
        <f t="shared" si="2"/>
        <v>0.0001003094337</v>
      </c>
      <c r="G261" s="49">
        <f t="shared" si="3"/>
        <v>0.00005391632063</v>
      </c>
      <c r="H261" s="46"/>
      <c r="I261" s="46"/>
      <c r="J261" s="46"/>
      <c r="K261" s="46"/>
      <c r="L261" s="46"/>
      <c r="M261" s="46"/>
      <c r="N261" s="46"/>
      <c r="O261" s="46"/>
      <c r="P261" s="46"/>
      <c r="Q261" s="46"/>
      <c r="R261" s="46"/>
      <c r="S261" s="46"/>
      <c r="T261" s="46"/>
      <c r="U261" s="46"/>
      <c r="V261" s="46"/>
      <c r="W261" s="46"/>
      <c r="X261" s="46"/>
      <c r="Y261" s="46"/>
      <c r="Z261" s="46"/>
    </row>
    <row r="262" ht="22.5" customHeight="1">
      <c r="A262" s="47">
        <v>2369900.0</v>
      </c>
      <c r="B262" s="47">
        <v>447150.0</v>
      </c>
      <c r="C262" s="48">
        <v>0.14</v>
      </c>
      <c r="D262" s="48">
        <v>0.1887</v>
      </c>
      <c r="E262" s="49">
        <f t="shared" si="1"/>
        <v>0.00493283796</v>
      </c>
      <c r="F262" s="49">
        <f t="shared" si="2"/>
        <v>0.0006905973144</v>
      </c>
      <c r="G262" s="49">
        <f t="shared" si="3"/>
        <v>0.0009308265231</v>
      </c>
      <c r="H262" s="46"/>
      <c r="I262" s="46"/>
      <c r="J262" s="46"/>
      <c r="K262" s="46"/>
      <c r="L262" s="46"/>
      <c r="M262" s="46"/>
      <c r="N262" s="46"/>
      <c r="O262" s="46"/>
      <c r="P262" s="46"/>
      <c r="Q262" s="46"/>
      <c r="R262" s="46"/>
      <c r="S262" s="46"/>
      <c r="T262" s="46"/>
      <c r="U262" s="46"/>
      <c r="V262" s="46"/>
      <c r="W262" s="46"/>
      <c r="X262" s="46"/>
      <c r="Y262" s="46"/>
      <c r="Z262" s="46"/>
    </row>
    <row r="263" ht="22.5" customHeight="1">
      <c r="A263" s="47">
        <v>591800.0</v>
      </c>
      <c r="B263" s="47">
        <v>185800.0</v>
      </c>
      <c r="C263" s="48">
        <v>0.14</v>
      </c>
      <c r="D263" s="48">
        <v>0.314</v>
      </c>
      <c r="E263" s="49">
        <f t="shared" si="1"/>
        <v>0.001231804509</v>
      </c>
      <c r="F263" s="49">
        <f t="shared" si="2"/>
        <v>0.0001724526312</v>
      </c>
      <c r="G263" s="49">
        <f t="shared" si="3"/>
        <v>0.0003867866157</v>
      </c>
      <c r="H263" s="46"/>
      <c r="I263" s="46"/>
      <c r="J263" s="46"/>
      <c r="K263" s="46"/>
      <c r="L263" s="46"/>
      <c r="M263" s="46"/>
      <c r="N263" s="46"/>
      <c r="O263" s="46"/>
      <c r="P263" s="46"/>
      <c r="Q263" s="46"/>
      <c r="R263" s="46"/>
      <c r="S263" s="46"/>
      <c r="T263" s="46"/>
      <c r="U263" s="46"/>
      <c r="V263" s="46"/>
      <c r="W263" s="46"/>
      <c r="X263" s="46"/>
      <c r="Y263" s="46"/>
      <c r="Z263" s="46"/>
    </row>
    <row r="264" ht="22.5" customHeight="1">
      <c r="A264" s="47">
        <v>338107.0</v>
      </c>
      <c r="B264" s="47">
        <v>120057.0</v>
      </c>
      <c r="C264" s="48">
        <v>0.12</v>
      </c>
      <c r="D264" s="48">
        <v>0.3551</v>
      </c>
      <c r="E264" s="49">
        <f t="shared" si="1"/>
        <v>0.0007037541855</v>
      </c>
      <c r="F264" s="49">
        <f t="shared" si="2"/>
        <v>0.00008445050226</v>
      </c>
      <c r="G264" s="49">
        <f t="shared" si="3"/>
        <v>0.0002499031113</v>
      </c>
      <c r="H264" s="46"/>
      <c r="I264" s="46"/>
      <c r="J264" s="46"/>
      <c r="K264" s="46"/>
      <c r="L264" s="46"/>
      <c r="M264" s="46"/>
      <c r="N264" s="46"/>
      <c r="O264" s="46"/>
      <c r="P264" s="46"/>
      <c r="Q264" s="46"/>
      <c r="R264" s="46"/>
      <c r="S264" s="46"/>
      <c r="T264" s="46"/>
      <c r="U264" s="46"/>
      <c r="V264" s="46"/>
      <c r="W264" s="46"/>
      <c r="X264" s="46"/>
      <c r="Y264" s="46"/>
      <c r="Z264" s="46"/>
    </row>
    <row r="265" ht="22.5" customHeight="1">
      <c r="A265" s="47">
        <v>150159.0</v>
      </c>
      <c r="B265" s="47">
        <v>22628.0</v>
      </c>
      <c r="C265" s="48">
        <v>0.12</v>
      </c>
      <c r="D265" s="48">
        <v>0.1507</v>
      </c>
      <c r="E265" s="49">
        <f t="shared" si="1"/>
        <v>0.0003125490592</v>
      </c>
      <c r="F265" s="49">
        <f t="shared" si="2"/>
        <v>0.0000375058871</v>
      </c>
      <c r="G265" s="49">
        <f t="shared" si="3"/>
        <v>0.00004710114321</v>
      </c>
      <c r="H265" s="46"/>
      <c r="I265" s="46"/>
      <c r="J265" s="46"/>
      <c r="K265" s="46"/>
      <c r="L265" s="46"/>
      <c r="M265" s="46"/>
      <c r="N265" s="46"/>
      <c r="O265" s="46"/>
      <c r="P265" s="46"/>
      <c r="Q265" s="46"/>
      <c r="R265" s="46"/>
      <c r="S265" s="46"/>
      <c r="T265" s="46"/>
      <c r="U265" s="46"/>
      <c r="V265" s="46"/>
      <c r="W265" s="46"/>
      <c r="X265" s="46"/>
      <c r="Y265" s="46"/>
      <c r="Z265" s="46"/>
    </row>
    <row r="266" ht="22.5" customHeight="1">
      <c r="A266" s="47">
        <v>272759.0</v>
      </c>
      <c r="B266" s="47">
        <v>235709.0</v>
      </c>
      <c r="C266" s="48">
        <v>0.12</v>
      </c>
      <c r="D266" s="48">
        <v>0.8642</v>
      </c>
      <c r="E266" s="49">
        <f t="shared" si="1"/>
        <v>0.0005677353261</v>
      </c>
      <c r="F266" s="49">
        <f t="shared" si="2"/>
        <v>0.00006812823913</v>
      </c>
      <c r="G266" s="49">
        <f t="shared" si="3"/>
        <v>0.0004906368688</v>
      </c>
      <c r="H266" s="46"/>
      <c r="I266" s="46"/>
      <c r="J266" s="46"/>
      <c r="K266" s="46"/>
      <c r="L266" s="46"/>
      <c r="M266" s="46"/>
      <c r="N266" s="46"/>
      <c r="O266" s="46"/>
      <c r="P266" s="46"/>
      <c r="Q266" s="46"/>
      <c r="R266" s="46"/>
      <c r="S266" s="46"/>
      <c r="T266" s="46"/>
      <c r="U266" s="46"/>
      <c r="V266" s="46"/>
      <c r="W266" s="46"/>
      <c r="X266" s="46"/>
      <c r="Y266" s="46"/>
      <c r="Z266" s="46"/>
    </row>
    <row r="267" ht="22.5" customHeight="1">
      <c r="A267" s="47">
        <v>468468.0</v>
      </c>
      <c r="B267" s="47">
        <v>105914.0</v>
      </c>
      <c r="C267" s="48">
        <v>0.12</v>
      </c>
      <c r="D267" s="48">
        <v>0.2261</v>
      </c>
      <c r="E267" s="49">
        <f t="shared" si="1"/>
        <v>0.0009750946173</v>
      </c>
      <c r="F267" s="49">
        <f t="shared" si="2"/>
        <v>0.0001170113541</v>
      </c>
      <c r="G267" s="49">
        <f t="shared" si="3"/>
        <v>0.000220468893</v>
      </c>
      <c r="H267" s="46"/>
      <c r="I267" s="46"/>
      <c r="J267" s="46"/>
      <c r="K267" s="46"/>
      <c r="L267" s="46"/>
      <c r="M267" s="46"/>
      <c r="N267" s="46"/>
      <c r="O267" s="46"/>
      <c r="P267" s="46"/>
      <c r="Q267" s="46"/>
      <c r="R267" s="46"/>
      <c r="S267" s="46"/>
      <c r="T267" s="46"/>
      <c r="U267" s="46"/>
      <c r="V267" s="46"/>
      <c r="W267" s="46"/>
      <c r="X267" s="46"/>
      <c r="Y267" s="46"/>
      <c r="Z267" s="46"/>
    </row>
    <row r="268" ht="22.5" customHeight="1">
      <c r="A268" s="47">
        <v>256606.0</v>
      </c>
      <c r="B268" s="47">
        <v>46416.0</v>
      </c>
      <c r="C268" s="48">
        <v>0.12</v>
      </c>
      <c r="D268" s="48">
        <v>0.1809</v>
      </c>
      <c r="E268" s="49">
        <f t="shared" si="1"/>
        <v>0.0005341135987</v>
      </c>
      <c r="F268" s="49">
        <f t="shared" si="2"/>
        <v>0.00006409363185</v>
      </c>
      <c r="G268" s="49">
        <f t="shared" si="3"/>
        <v>0.00009662115001</v>
      </c>
      <c r="H268" s="46"/>
      <c r="I268" s="46"/>
      <c r="J268" s="46"/>
      <c r="K268" s="46"/>
      <c r="L268" s="46"/>
      <c r="M268" s="46"/>
      <c r="N268" s="46"/>
      <c r="O268" s="46"/>
      <c r="P268" s="46"/>
      <c r="Q268" s="46"/>
      <c r="R268" s="46"/>
      <c r="S268" s="46"/>
      <c r="T268" s="46"/>
      <c r="U268" s="46"/>
      <c r="V268" s="46"/>
      <c r="W268" s="46"/>
      <c r="X268" s="46"/>
      <c r="Y268" s="46"/>
      <c r="Z268" s="46"/>
    </row>
    <row r="269" ht="22.5" customHeight="1">
      <c r="A269" s="47">
        <v>251731.0</v>
      </c>
      <c r="B269" s="47">
        <v>99972.0</v>
      </c>
      <c r="C269" s="48">
        <v>0.12</v>
      </c>
      <c r="D269" s="48">
        <v>0.3971</v>
      </c>
      <c r="E269" s="49">
        <f t="shared" si="1"/>
        <v>0.0005239665102</v>
      </c>
      <c r="F269" s="49">
        <f t="shared" si="2"/>
        <v>0.00006287598123</v>
      </c>
      <c r="G269" s="49">
        <f t="shared" si="3"/>
        <v>0.0002080671012</v>
      </c>
      <c r="H269" s="46"/>
      <c r="I269" s="46"/>
      <c r="J269" s="46"/>
      <c r="K269" s="46"/>
      <c r="L269" s="46"/>
      <c r="M269" s="46"/>
      <c r="N269" s="46"/>
      <c r="O269" s="46"/>
      <c r="P269" s="46"/>
      <c r="Q269" s="46"/>
      <c r="R269" s="46"/>
      <c r="S269" s="46"/>
      <c r="T269" s="46"/>
      <c r="U269" s="46"/>
      <c r="V269" s="46"/>
      <c r="W269" s="46"/>
      <c r="X269" s="46"/>
      <c r="Y269" s="46"/>
      <c r="Z269" s="46"/>
    </row>
    <row r="270" ht="22.5" customHeight="1">
      <c r="A270" s="47">
        <v>632860.0</v>
      </c>
      <c r="B270" s="47">
        <v>93300.0</v>
      </c>
      <c r="C270" s="48">
        <v>0.1</v>
      </c>
      <c r="D270" s="48">
        <v>0.1474</v>
      </c>
      <c r="E270" s="49">
        <f t="shared" si="1"/>
        <v>0.001317269012</v>
      </c>
      <c r="F270" s="49">
        <f t="shared" si="2"/>
        <v>0.0001317269012</v>
      </c>
      <c r="G270" s="49">
        <f t="shared" si="3"/>
        <v>0.0001941654524</v>
      </c>
      <c r="H270" s="46"/>
      <c r="I270" s="46"/>
      <c r="J270" s="46"/>
      <c r="K270" s="46"/>
      <c r="L270" s="46"/>
      <c r="M270" s="46"/>
      <c r="N270" s="46"/>
      <c r="O270" s="46"/>
      <c r="P270" s="46"/>
      <c r="Q270" s="46"/>
      <c r="R270" s="46"/>
      <c r="S270" s="46"/>
      <c r="T270" s="46"/>
      <c r="U270" s="46"/>
      <c r="V270" s="46"/>
      <c r="W270" s="46"/>
      <c r="X270" s="46"/>
      <c r="Y270" s="46"/>
      <c r="Z270" s="46"/>
    </row>
    <row r="271" ht="22.5" customHeight="1">
      <c r="A271" s="47">
        <v>545515.0</v>
      </c>
      <c r="B271" s="47">
        <v>186200.0</v>
      </c>
      <c r="C271" s="48">
        <v>0.1</v>
      </c>
      <c r="D271" s="48">
        <v>0.3413</v>
      </c>
      <c r="E271" s="49">
        <f t="shared" si="1"/>
        <v>0.001135464408</v>
      </c>
      <c r="F271" s="49">
        <f t="shared" si="2"/>
        <v>0.0001135464408</v>
      </c>
      <c r="G271" s="49">
        <f t="shared" si="3"/>
        <v>0.0003875340024</v>
      </c>
      <c r="H271" s="46"/>
      <c r="I271" s="46"/>
      <c r="J271" s="46"/>
      <c r="K271" s="46"/>
      <c r="L271" s="46"/>
      <c r="M271" s="46"/>
      <c r="N271" s="46"/>
      <c r="O271" s="46"/>
      <c r="P271" s="46"/>
      <c r="Q271" s="46"/>
      <c r="R271" s="46"/>
      <c r="S271" s="46"/>
      <c r="T271" s="46"/>
      <c r="U271" s="46"/>
      <c r="V271" s="46"/>
      <c r="W271" s="46"/>
      <c r="X271" s="46"/>
      <c r="Y271" s="46"/>
      <c r="Z271" s="46"/>
    </row>
    <row r="272" ht="22.5" customHeight="1">
      <c r="A272" s="47">
        <v>754227.0</v>
      </c>
      <c r="B272" s="47">
        <v>264547.0</v>
      </c>
      <c r="C272" s="48">
        <v>0.1</v>
      </c>
      <c r="D272" s="48">
        <v>0.3508</v>
      </c>
      <c r="E272" s="49">
        <f t="shared" si="1"/>
        <v>0.001569888846</v>
      </c>
      <c r="F272" s="49">
        <f t="shared" si="2"/>
        <v>0.0001569888846</v>
      </c>
      <c r="G272" s="49">
        <f t="shared" si="3"/>
        <v>0.0005507170072</v>
      </c>
      <c r="H272" s="46"/>
      <c r="I272" s="46"/>
      <c r="J272" s="46"/>
      <c r="K272" s="46"/>
      <c r="L272" s="46"/>
      <c r="M272" s="46"/>
      <c r="N272" s="46"/>
      <c r="O272" s="46"/>
      <c r="P272" s="46"/>
      <c r="Q272" s="46"/>
      <c r="R272" s="46"/>
      <c r="S272" s="46"/>
      <c r="T272" s="46"/>
      <c r="U272" s="46"/>
      <c r="V272" s="46"/>
      <c r="W272" s="46"/>
      <c r="X272" s="46"/>
      <c r="Y272" s="46"/>
      <c r="Z272" s="46"/>
    </row>
    <row r="273" ht="22.5" customHeight="1">
      <c r="A273" s="47">
        <v>1223156.0</v>
      </c>
      <c r="B273" s="47">
        <v>321150.0</v>
      </c>
      <c r="C273" s="48">
        <v>0.12</v>
      </c>
      <c r="D273" s="48">
        <v>0.2626</v>
      </c>
      <c r="E273" s="49">
        <f t="shared" si="1"/>
        <v>0.002545943014</v>
      </c>
      <c r="F273" s="49">
        <f t="shared" si="2"/>
        <v>0.0003055131616</v>
      </c>
      <c r="G273" s="49">
        <f t="shared" si="3"/>
        <v>0.0006685646354</v>
      </c>
      <c r="H273" s="46"/>
      <c r="I273" s="46"/>
      <c r="J273" s="46"/>
      <c r="K273" s="46"/>
      <c r="L273" s="46"/>
      <c r="M273" s="46"/>
      <c r="N273" s="46"/>
      <c r="O273" s="46"/>
      <c r="P273" s="46"/>
      <c r="Q273" s="46"/>
      <c r="R273" s="46"/>
      <c r="S273" s="46"/>
      <c r="T273" s="46"/>
      <c r="U273" s="46"/>
      <c r="V273" s="46"/>
      <c r="W273" s="46"/>
      <c r="X273" s="46"/>
      <c r="Y273" s="46"/>
      <c r="Z273" s="46"/>
    </row>
    <row r="274" ht="22.5" customHeight="1">
      <c r="A274" s="47">
        <v>1304219.0</v>
      </c>
      <c r="B274" s="47">
        <v>340469.0</v>
      </c>
      <c r="C274" s="48">
        <v>0.1</v>
      </c>
      <c r="D274" s="48">
        <v>0.2611</v>
      </c>
      <c r="E274" s="49">
        <f t="shared" si="1"/>
        <v>0.002714671924</v>
      </c>
      <c r="F274" s="49">
        <f t="shared" si="2"/>
        <v>0.0002714671924</v>
      </c>
      <c r="G274" s="49">
        <f t="shared" si="3"/>
        <v>0.0007088008393</v>
      </c>
      <c r="H274" s="46"/>
      <c r="I274" s="46"/>
      <c r="J274" s="46"/>
      <c r="K274" s="46"/>
      <c r="L274" s="46"/>
      <c r="M274" s="46"/>
      <c r="N274" s="46"/>
      <c r="O274" s="46"/>
      <c r="P274" s="46"/>
      <c r="Q274" s="46"/>
      <c r="R274" s="46"/>
      <c r="S274" s="46"/>
      <c r="T274" s="46"/>
      <c r="U274" s="46"/>
      <c r="V274" s="46"/>
      <c r="W274" s="46"/>
      <c r="X274" s="46"/>
      <c r="Y274" s="46"/>
      <c r="Z274" s="46"/>
    </row>
    <row r="275" ht="22.5" customHeight="1">
      <c r="A275" s="47">
        <v>2522680.0</v>
      </c>
      <c r="B275" s="47">
        <v>947470.0</v>
      </c>
      <c r="C275" s="48">
        <v>0.14</v>
      </c>
      <c r="D275" s="48">
        <v>0.3756</v>
      </c>
      <c r="E275" s="49">
        <f t="shared" si="1"/>
        <v>0.005250842511</v>
      </c>
      <c r="F275" s="49">
        <f t="shared" si="2"/>
        <v>0.0007351179515</v>
      </c>
      <c r="G275" s="49">
        <f t="shared" si="3"/>
        <v>0.001972216447</v>
      </c>
      <c r="H275" s="46"/>
      <c r="I275" s="46"/>
      <c r="J275" s="46"/>
      <c r="K275" s="46"/>
      <c r="L275" s="46"/>
      <c r="M275" s="46"/>
      <c r="N275" s="46"/>
      <c r="O275" s="46"/>
      <c r="P275" s="46"/>
      <c r="Q275" s="46"/>
      <c r="R275" s="46"/>
      <c r="S275" s="46"/>
      <c r="T275" s="46"/>
      <c r="U275" s="46"/>
      <c r="V275" s="46"/>
      <c r="W275" s="46"/>
      <c r="X275" s="46"/>
      <c r="Y275" s="46"/>
      <c r="Z275" s="46"/>
    </row>
    <row r="276" ht="22.5" customHeight="1">
      <c r="A276" s="47">
        <v>1603000.0</v>
      </c>
      <c r="B276" s="47">
        <v>613550.0</v>
      </c>
      <c r="C276" s="48">
        <v>0.14</v>
      </c>
      <c r="D276" s="48">
        <v>0.3828</v>
      </c>
      <c r="E276" s="49">
        <f t="shared" si="1"/>
        <v>0.003336570847</v>
      </c>
      <c r="F276" s="49">
        <f t="shared" si="2"/>
        <v>0.0004671199186</v>
      </c>
      <c r="G276" s="49">
        <f t="shared" si="3"/>
        <v>0.00127723932</v>
      </c>
      <c r="H276" s="46"/>
      <c r="I276" s="46"/>
      <c r="J276" s="46"/>
      <c r="K276" s="46"/>
      <c r="L276" s="46"/>
      <c r="M276" s="46"/>
      <c r="N276" s="46"/>
      <c r="O276" s="46"/>
      <c r="P276" s="46"/>
      <c r="Q276" s="46"/>
      <c r="R276" s="46"/>
      <c r="S276" s="46"/>
      <c r="T276" s="46"/>
      <c r="U276" s="46"/>
      <c r="V276" s="46"/>
      <c r="W276" s="46"/>
      <c r="X276" s="46"/>
      <c r="Y276" s="46"/>
      <c r="Z276" s="46"/>
    </row>
    <row r="277" ht="22.5" customHeight="1">
      <c r="A277" s="47">
        <v>1983745.0</v>
      </c>
      <c r="B277" s="47">
        <v>778200.0</v>
      </c>
      <c r="C277" s="48">
        <v>0.1</v>
      </c>
      <c r="D277" s="48">
        <v>0.3923</v>
      </c>
      <c r="E277" s="49">
        <f t="shared" si="1"/>
        <v>0.00412907407</v>
      </c>
      <c r="F277" s="49">
        <f t="shared" si="2"/>
        <v>0.000412907407</v>
      </c>
      <c r="G277" s="49">
        <f t="shared" si="3"/>
        <v>0.001619835758</v>
      </c>
      <c r="H277" s="46"/>
      <c r="I277" s="46"/>
      <c r="J277" s="46"/>
      <c r="K277" s="46"/>
      <c r="L277" s="46"/>
      <c r="M277" s="46"/>
      <c r="N277" s="46"/>
      <c r="O277" s="46"/>
      <c r="P277" s="46"/>
      <c r="Q277" s="46"/>
      <c r="R277" s="46"/>
      <c r="S277" s="46"/>
      <c r="T277" s="46"/>
      <c r="U277" s="46"/>
      <c r="V277" s="46"/>
      <c r="W277" s="46"/>
      <c r="X277" s="46"/>
      <c r="Y277" s="46"/>
      <c r="Z277" s="46"/>
    </row>
    <row r="278" ht="22.5" customHeight="1">
      <c r="A278" s="47">
        <v>1401956.0</v>
      </c>
      <c r="B278" s="47">
        <v>91656.0</v>
      </c>
      <c r="C278" s="48">
        <v>0.08</v>
      </c>
      <c r="D278" s="48">
        <v>0.0654</v>
      </c>
      <c r="E278" s="49">
        <f t="shared" si="1"/>
        <v>0.002918106998</v>
      </c>
      <c r="F278" s="49">
        <f t="shared" si="2"/>
        <v>0.0002334485599</v>
      </c>
      <c r="G278" s="49">
        <f t="shared" si="3"/>
        <v>0.0001908441977</v>
      </c>
      <c r="H278" s="46"/>
      <c r="I278" s="46"/>
      <c r="J278" s="46"/>
      <c r="K278" s="46"/>
      <c r="L278" s="46"/>
      <c r="M278" s="46"/>
      <c r="N278" s="46"/>
      <c r="O278" s="46"/>
      <c r="P278" s="46"/>
      <c r="Q278" s="46"/>
      <c r="R278" s="46"/>
      <c r="S278" s="46"/>
      <c r="T278" s="46"/>
      <c r="U278" s="46"/>
      <c r="V278" s="46"/>
      <c r="W278" s="46"/>
      <c r="X278" s="46"/>
      <c r="Y278" s="46"/>
      <c r="Z278" s="46"/>
    </row>
    <row r="279" ht="22.5" customHeight="1">
      <c r="A279" s="47">
        <v>1030075.0</v>
      </c>
      <c r="B279" s="47">
        <v>307800.0</v>
      </c>
      <c r="C279" s="48">
        <v>0.14</v>
      </c>
      <c r="D279" s="48">
        <v>0.2988</v>
      </c>
      <c r="E279" s="49">
        <f t="shared" si="1"/>
        <v>0.002144053784</v>
      </c>
      <c r="F279" s="49">
        <f t="shared" si="2"/>
        <v>0.0003001675297</v>
      </c>
      <c r="G279" s="49">
        <f t="shared" si="3"/>
        <v>0.0006406432706</v>
      </c>
      <c r="H279" s="46"/>
      <c r="I279" s="46"/>
      <c r="J279" s="46"/>
      <c r="K279" s="46"/>
      <c r="L279" s="46"/>
      <c r="M279" s="46"/>
      <c r="N279" s="46"/>
      <c r="O279" s="46"/>
      <c r="P279" s="46"/>
      <c r="Q279" s="46"/>
      <c r="R279" s="46"/>
      <c r="S279" s="46"/>
      <c r="T279" s="46"/>
      <c r="U279" s="46"/>
      <c r="V279" s="46"/>
      <c r="W279" s="46"/>
      <c r="X279" s="46"/>
      <c r="Y279" s="46"/>
      <c r="Z279" s="46"/>
    </row>
    <row r="280" ht="22.5" customHeight="1">
      <c r="A280" s="47">
        <v>796100.0</v>
      </c>
      <c r="B280" s="47">
        <v>436400.0</v>
      </c>
      <c r="C280" s="48">
        <v>0.08</v>
      </c>
      <c r="D280" s="48">
        <v>0.5482</v>
      </c>
      <c r="E280" s="49">
        <f t="shared" si="1"/>
        <v>0.001657045572</v>
      </c>
      <c r="F280" s="49">
        <f t="shared" si="2"/>
        <v>0.0001325636457</v>
      </c>
      <c r="G280" s="49">
        <f t="shared" si="3"/>
        <v>0.0009083923824</v>
      </c>
      <c r="H280" s="46"/>
      <c r="I280" s="46"/>
      <c r="J280" s="46"/>
      <c r="K280" s="46"/>
      <c r="L280" s="46"/>
      <c r="M280" s="46"/>
      <c r="N280" s="46"/>
      <c r="O280" s="46"/>
      <c r="P280" s="46"/>
      <c r="Q280" s="46"/>
      <c r="R280" s="46"/>
      <c r="S280" s="46"/>
      <c r="T280" s="46"/>
      <c r="U280" s="46"/>
      <c r="V280" s="46"/>
      <c r="W280" s="46"/>
      <c r="X280" s="46"/>
      <c r="Y280" s="46"/>
      <c r="Z280" s="46"/>
    </row>
    <row r="281" ht="22.5" customHeight="1">
      <c r="A281" s="47">
        <v>664750.0</v>
      </c>
      <c r="B281" s="47">
        <v>181450.0</v>
      </c>
      <c r="C281" s="48">
        <v>0.08</v>
      </c>
      <c r="D281" s="48">
        <v>0.273</v>
      </c>
      <c r="E281" s="49">
        <f t="shared" si="1"/>
        <v>0.001383646582</v>
      </c>
      <c r="F281" s="49">
        <f t="shared" si="2"/>
        <v>0.0001106917265</v>
      </c>
      <c r="G281" s="49">
        <f t="shared" si="3"/>
        <v>0.0003777355168</v>
      </c>
      <c r="H281" s="46"/>
      <c r="I281" s="46"/>
      <c r="J281" s="46"/>
      <c r="K281" s="46"/>
      <c r="L281" s="46"/>
      <c r="M281" s="46"/>
      <c r="N281" s="46"/>
      <c r="O281" s="46"/>
      <c r="P281" s="46"/>
      <c r="Q281" s="46"/>
      <c r="R281" s="46"/>
      <c r="S281" s="46"/>
      <c r="T281" s="46"/>
      <c r="U281" s="46"/>
      <c r="V281" s="46"/>
      <c r="W281" s="46"/>
      <c r="X281" s="46"/>
      <c r="Y281" s="46"/>
      <c r="Z281" s="46"/>
    </row>
    <row r="282" ht="22.5" customHeight="1">
      <c r="A282" s="47">
        <v>1921125.0</v>
      </c>
      <c r="B282" s="47">
        <v>1173400.0</v>
      </c>
      <c r="C282" s="48">
        <v>0.08</v>
      </c>
      <c r="D282" s="48">
        <v>0.6108</v>
      </c>
      <c r="E282" s="49">
        <f t="shared" si="1"/>
        <v>0.003998733418</v>
      </c>
      <c r="F282" s="49">
        <f t="shared" si="2"/>
        <v>0.0003198986734</v>
      </c>
      <c r="G282" s="49">
        <f t="shared" si="3"/>
        <v>0.002442426371</v>
      </c>
      <c r="H282" s="46"/>
      <c r="I282" s="46"/>
      <c r="J282" s="46"/>
      <c r="K282" s="46"/>
      <c r="L282" s="46"/>
      <c r="M282" s="46"/>
      <c r="N282" s="46"/>
      <c r="O282" s="46"/>
      <c r="P282" s="46"/>
      <c r="Q282" s="46"/>
      <c r="R282" s="46"/>
      <c r="S282" s="46"/>
      <c r="T282" s="46"/>
      <c r="U282" s="46"/>
      <c r="V282" s="46"/>
      <c r="W282" s="46"/>
      <c r="X282" s="46"/>
      <c r="Y282" s="46"/>
      <c r="Z282" s="46"/>
    </row>
    <row r="283" ht="22.5" customHeight="1">
      <c r="A283" s="47">
        <v>3000000.0</v>
      </c>
      <c r="B283" s="47">
        <v>3000000.0</v>
      </c>
      <c r="C283" s="48">
        <v>0.12</v>
      </c>
      <c r="D283" s="48">
        <v>1.0</v>
      </c>
      <c r="E283" s="49">
        <f t="shared" si="1"/>
        <v>0.006244362159</v>
      </c>
      <c r="F283" s="49">
        <f t="shared" si="2"/>
        <v>0.0007493234591</v>
      </c>
      <c r="G283" s="49">
        <f t="shared" si="3"/>
        <v>0.006244362159</v>
      </c>
      <c r="H283" s="46"/>
      <c r="I283" s="46"/>
      <c r="J283" s="46"/>
      <c r="K283" s="46"/>
      <c r="L283" s="46"/>
      <c r="M283" s="46"/>
      <c r="N283" s="46"/>
      <c r="O283" s="46"/>
      <c r="P283" s="46"/>
      <c r="Q283" s="46"/>
      <c r="R283" s="46"/>
      <c r="S283" s="46"/>
      <c r="T283" s="46"/>
      <c r="U283" s="46"/>
      <c r="V283" s="46"/>
      <c r="W283" s="46"/>
      <c r="X283" s="46"/>
      <c r="Y283" s="46"/>
      <c r="Z283" s="46"/>
    </row>
    <row r="284" ht="22.5" customHeight="1">
      <c r="A284" s="47">
        <v>1089257.0</v>
      </c>
      <c r="B284" s="47">
        <v>851657.0</v>
      </c>
      <c r="C284" s="48">
        <v>0.1</v>
      </c>
      <c r="D284" s="48">
        <v>0.7819</v>
      </c>
      <c r="E284" s="49">
        <f t="shared" si="1"/>
        <v>0.002267238397</v>
      </c>
      <c r="F284" s="49">
        <f t="shared" si="2"/>
        <v>0.0002267238397</v>
      </c>
      <c r="G284" s="49">
        <f t="shared" si="3"/>
        <v>0.001772753703</v>
      </c>
      <c r="H284" s="46"/>
      <c r="I284" s="46"/>
      <c r="J284" s="46"/>
      <c r="K284" s="46"/>
      <c r="L284" s="46"/>
      <c r="M284" s="46"/>
      <c r="N284" s="46"/>
      <c r="O284" s="46"/>
      <c r="P284" s="46"/>
      <c r="Q284" s="46"/>
      <c r="R284" s="46"/>
      <c r="S284" s="46"/>
      <c r="T284" s="46"/>
      <c r="U284" s="46"/>
      <c r="V284" s="46"/>
      <c r="W284" s="46"/>
      <c r="X284" s="46"/>
      <c r="Y284" s="46"/>
      <c r="Z284" s="46"/>
    </row>
    <row r="285" ht="22.5" customHeight="1">
      <c r="A285" s="47">
        <v>1524680.0</v>
      </c>
      <c r="B285" s="47">
        <v>1177080.0</v>
      </c>
      <c r="C285" s="48">
        <v>0.12</v>
      </c>
      <c r="D285" s="48">
        <v>0.772</v>
      </c>
      <c r="E285" s="49">
        <f t="shared" si="1"/>
        <v>0.003173551366</v>
      </c>
      <c r="F285" s="49">
        <f t="shared" si="2"/>
        <v>0.0003808261639</v>
      </c>
      <c r="G285" s="49">
        <f t="shared" si="3"/>
        <v>0.002449981654</v>
      </c>
      <c r="H285" s="46"/>
      <c r="I285" s="46"/>
      <c r="J285" s="46"/>
      <c r="K285" s="46"/>
      <c r="L285" s="46"/>
      <c r="M285" s="46"/>
      <c r="N285" s="46"/>
      <c r="O285" s="46"/>
      <c r="P285" s="46"/>
      <c r="Q285" s="46"/>
      <c r="R285" s="46"/>
      <c r="S285" s="46"/>
      <c r="T285" s="46"/>
      <c r="U285" s="46"/>
      <c r="V285" s="46"/>
      <c r="W285" s="46"/>
      <c r="X285" s="46"/>
      <c r="Y285" s="46"/>
      <c r="Z285" s="46"/>
    </row>
    <row r="286" ht="22.5" customHeight="1">
      <c r="A286" s="47">
        <v>1770165.0</v>
      </c>
      <c r="B286" s="47">
        <v>287715.0</v>
      </c>
      <c r="C286" s="48">
        <v>0.12</v>
      </c>
      <c r="D286" s="48">
        <v>0.1625</v>
      </c>
      <c r="E286" s="49">
        <f t="shared" si="1"/>
        <v>0.003684517114</v>
      </c>
      <c r="F286" s="49">
        <f t="shared" si="2"/>
        <v>0.0004421420537</v>
      </c>
      <c r="G286" s="49">
        <f t="shared" si="3"/>
        <v>0.000598734031</v>
      </c>
      <c r="H286" s="46"/>
      <c r="I286" s="46"/>
      <c r="J286" s="46"/>
      <c r="K286" s="46"/>
      <c r="L286" s="46"/>
      <c r="M286" s="46"/>
      <c r="N286" s="46"/>
      <c r="O286" s="46"/>
      <c r="P286" s="46"/>
      <c r="Q286" s="46"/>
      <c r="R286" s="46"/>
      <c r="S286" s="46"/>
      <c r="T286" s="46"/>
      <c r="U286" s="46"/>
      <c r="V286" s="46"/>
      <c r="W286" s="46"/>
      <c r="X286" s="46"/>
      <c r="Y286" s="46"/>
      <c r="Z286" s="46"/>
    </row>
    <row r="287" ht="22.5" customHeight="1">
      <c r="A287" s="47">
        <v>750275.0</v>
      </c>
      <c r="B287" s="47">
        <v>209595.0</v>
      </c>
      <c r="C287" s="48">
        <v>0.12</v>
      </c>
      <c r="D287" s="48">
        <v>0.2794</v>
      </c>
      <c r="E287" s="49">
        <f t="shared" si="1"/>
        <v>0.00156166294</v>
      </c>
      <c r="F287" s="49">
        <f t="shared" si="2"/>
        <v>0.0001873995528</v>
      </c>
      <c r="G287" s="49">
        <f t="shared" si="3"/>
        <v>0.0004363286253</v>
      </c>
      <c r="H287" s="46"/>
      <c r="I287" s="46"/>
      <c r="J287" s="46"/>
      <c r="K287" s="46"/>
      <c r="L287" s="46"/>
      <c r="M287" s="46"/>
      <c r="N287" s="46"/>
      <c r="O287" s="46"/>
      <c r="P287" s="46"/>
      <c r="Q287" s="46"/>
      <c r="R287" s="46"/>
      <c r="S287" s="46"/>
      <c r="T287" s="46"/>
      <c r="U287" s="46"/>
      <c r="V287" s="46"/>
      <c r="W287" s="46"/>
      <c r="X287" s="46"/>
      <c r="Y287" s="46"/>
      <c r="Z287" s="46"/>
    </row>
    <row r="288" ht="22.5" customHeight="1">
      <c r="A288" s="47">
        <v>1963891.0</v>
      </c>
      <c r="B288" s="47">
        <v>543891.0</v>
      </c>
      <c r="C288" s="48">
        <v>0.12</v>
      </c>
      <c r="D288" s="48">
        <v>0.2769</v>
      </c>
      <c r="E288" s="49">
        <f t="shared" si="1"/>
        <v>0.004087748882</v>
      </c>
      <c r="F288" s="49">
        <f t="shared" si="2"/>
        <v>0.0004905298658</v>
      </c>
      <c r="G288" s="49">
        <f t="shared" si="3"/>
        <v>0.001131897665</v>
      </c>
      <c r="H288" s="46"/>
      <c r="I288" s="46"/>
      <c r="J288" s="46"/>
      <c r="K288" s="46"/>
      <c r="L288" s="46"/>
      <c r="M288" s="46"/>
      <c r="N288" s="46"/>
      <c r="O288" s="46"/>
      <c r="P288" s="46"/>
      <c r="Q288" s="46"/>
      <c r="R288" s="46"/>
      <c r="S288" s="46"/>
      <c r="T288" s="46"/>
      <c r="U288" s="46"/>
      <c r="V288" s="46"/>
      <c r="W288" s="46"/>
      <c r="X288" s="46"/>
      <c r="Y288" s="46"/>
      <c r="Z288" s="46"/>
    </row>
    <row r="289" ht="22.5" customHeight="1">
      <c r="A289" s="47">
        <v>2577837.98</v>
      </c>
      <c r="B289" s="47">
        <v>12601.98</v>
      </c>
      <c r="C289" s="48">
        <v>0.12</v>
      </c>
      <c r="D289" s="48">
        <v>0.0049</v>
      </c>
      <c r="E289" s="49">
        <f t="shared" si="1"/>
        <v>0.005365651312</v>
      </c>
      <c r="F289" s="49">
        <f t="shared" si="2"/>
        <v>0.0006438781574</v>
      </c>
      <c r="G289" s="49">
        <f t="shared" si="3"/>
        <v>0.00002629169143</v>
      </c>
      <c r="H289" s="46"/>
      <c r="I289" s="46"/>
      <c r="J289" s="46"/>
      <c r="K289" s="46"/>
      <c r="L289" s="46"/>
      <c r="M289" s="46"/>
      <c r="N289" s="46"/>
      <c r="O289" s="46"/>
      <c r="P289" s="46"/>
      <c r="Q289" s="46"/>
      <c r="R289" s="46"/>
      <c r="S289" s="46"/>
      <c r="T289" s="46"/>
      <c r="U289" s="46"/>
      <c r="V289" s="46"/>
      <c r="W289" s="46"/>
      <c r="X289" s="46"/>
      <c r="Y289" s="46"/>
      <c r="Z289" s="46"/>
    </row>
    <row r="290" ht="22.5" customHeight="1">
      <c r="A290" s="47">
        <v>583150.0</v>
      </c>
      <c r="B290" s="47">
        <v>83750.0</v>
      </c>
      <c r="C290" s="48">
        <v>0.12</v>
      </c>
      <c r="D290" s="48">
        <v>0.1436</v>
      </c>
      <c r="E290" s="49">
        <f t="shared" si="1"/>
        <v>0.001213799931</v>
      </c>
      <c r="F290" s="49">
        <f t="shared" si="2"/>
        <v>0.0001456559917</v>
      </c>
      <c r="G290" s="49">
        <f t="shared" si="3"/>
        <v>0.0001743016701</v>
      </c>
      <c r="H290" s="46"/>
      <c r="I290" s="46"/>
      <c r="J290" s="46"/>
      <c r="K290" s="46"/>
      <c r="L290" s="46"/>
      <c r="M290" s="46"/>
      <c r="N290" s="46"/>
      <c r="O290" s="46"/>
      <c r="P290" s="46"/>
      <c r="Q290" s="46"/>
      <c r="R290" s="46"/>
      <c r="S290" s="46"/>
      <c r="T290" s="46"/>
      <c r="U290" s="46"/>
      <c r="V290" s="46"/>
      <c r="W290" s="46"/>
      <c r="X290" s="46"/>
      <c r="Y290" s="46"/>
      <c r="Z290" s="46"/>
    </row>
    <row r="291" ht="22.5" customHeight="1">
      <c r="A291" s="47">
        <v>396600.0</v>
      </c>
      <c r="B291" s="47">
        <v>87700.0</v>
      </c>
      <c r="C291" s="48">
        <v>0.12</v>
      </c>
      <c r="D291" s="48">
        <v>0.2211</v>
      </c>
      <c r="E291" s="49">
        <f t="shared" si="1"/>
        <v>0.0008255046774</v>
      </c>
      <c r="F291" s="49">
        <f t="shared" si="2"/>
        <v>0.00009906056129</v>
      </c>
      <c r="G291" s="49">
        <f t="shared" si="3"/>
        <v>0.0001825190842</v>
      </c>
      <c r="H291" s="46"/>
      <c r="I291" s="46"/>
      <c r="J291" s="46"/>
      <c r="K291" s="46"/>
      <c r="L291" s="46"/>
      <c r="M291" s="46"/>
      <c r="N291" s="46"/>
      <c r="O291" s="46"/>
      <c r="P291" s="46"/>
      <c r="Q291" s="46"/>
      <c r="R291" s="46"/>
      <c r="S291" s="46"/>
      <c r="T291" s="46"/>
      <c r="U291" s="46"/>
      <c r="V291" s="46"/>
      <c r="W291" s="46"/>
      <c r="X291" s="46"/>
      <c r="Y291" s="46"/>
      <c r="Z291" s="46"/>
    </row>
    <row r="292" ht="22.5" customHeight="1">
      <c r="A292" s="47">
        <v>477150.0</v>
      </c>
      <c r="B292" s="47">
        <v>83400.0</v>
      </c>
      <c r="C292" s="48">
        <v>0.12</v>
      </c>
      <c r="D292" s="48">
        <v>0.1748</v>
      </c>
      <c r="E292" s="49">
        <f t="shared" si="1"/>
        <v>0.0009931658014</v>
      </c>
      <c r="F292" s="49">
        <f t="shared" si="2"/>
        <v>0.0001191798962</v>
      </c>
      <c r="G292" s="49">
        <f t="shared" si="3"/>
        <v>0.0001736053821</v>
      </c>
      <c r="H292" s="46"/>
      <c r="I292" s="46"/>
      <c r="J292" s="46"/>
      <c r="K292" s="46"/>
      <c r="L292" s="46"/>
      <c r="M292" s="46"/>
      <c r="N292" s="46"/>
      <c r="O292" s="46"/>
      <c r="P292" s="46"/>
      <c r="Q292" s="46"/>
      <c r="R292" s="46"/>
      <c r="S292" s="46"/>
      <c r="T292" s="46"/>
      <c r="U292" s="46"/>
      <c r="V292" s="46"/>
      <c r="W292" s="46"/>
      <c r="X292" s="46"/>
      <c r="Y292" s="46"/>
      <c r="Z292" s="46"/>
    </row>
    <row r="293" ht="22.5" customHeight="1">
      <c r="A293" s="47">
        <v>1787650.0</v>
      </c>
      <c r="B293" s="47">
        <v>520250.0</v>
      </c>
      <c r="C293" s="48">
        <v>0.14</v>
      </c>
      <c r="D293" s="48">
        <v>0.291</v>
      </c>
      <c r="E293" s="49">
        <f t="shared" si="1"/>
        <v>0.003720911338</v>
      </c>
      <c r="F293" s="49">
        <f t="shared" si="2"/>
        <v>0.0005209275873</v>
      </c>
      <c r="G293" s="49">
        <f t="shared" si="3"/>
        <v>0.001082785199</v>
      </c>
      <c r="H293" s="46"/>
      <c r="I293" s="46"/>
      <c r="J293" s="46"/>
      <c r="K293" s="46"/>
      <c r="L293" s="46"/>
      <c r="M293" s="46"/>
      <c r="N293" s="46"/>
      <c r="O293" s="46"/>
      <c r="P293" s="46"/>
      <c r="Q293" s="46"/>
      <c r="R293" s="46"/>
      <c r="S293" s="46"/>
      <c r="T293" s="46"/>
      <c r="U293" s="46"/>
      <c r="V293" s="46"/>
      <c r="W293" s="46"/>
      <c r="X293" s="46"/>
      <c r="Y293" s="46"/>
      <c r="Z293" s="46"/>
    </row>
    <row r="294" ht="22.5" customHeight="1">
      <c r="A294" s="47">
        <v>7377582.64</v>
      </c>
      <c r="B294" s="47">
        <v>238638.3</v>
      </c>
      <c r="C294" s="48">
        <v>0.05</v>
      </c>
      <c r="D294" s="48">
        <v>0.0323</v>
      </c>
      <c r="E294" s="49">
        <f t="shared" si="1"/>
        <v>0.01535609929</v>
      </c>
      <c r="F294" s="49">
        <f t="shared" si="2"/>
        <v>0.0007678049644</v>
      </c>
      <c r="G294" s="49">
        <f t="shared" si="3"/>
        <v>0.000496002007</v>
      </c>
      <c r="H294" s="46"/>
      <c r="I294" s="46"/>
      <c r="J294" s="46"/>
      <c r="K294" s="46"/>
      <c r="L294" s="46"/>
      <c r="M294" s="46"/>
      <c r="N294" s="46"/>
      <c r="O294" s="46"/>
      <c r="P294" s="46"/>
      <c r="Q294" s="46"/>
      <c r="R294" s="46"/>
      <c r="S294" s="46"/>
      <c r="T294" s="46"/>
      <c r="U294" s="46"/>
      <c r="V294" s="46"/>
      <c r="W294" s="46"/>
      <c r="X294" s="46"/>
      <c r="Y294" s="46"/>
      <c r="Z294" s="46"/>
    </row>
    <row r="295" ht="22.5" customHeight="1">
      <c r="A295" s="47">
        <v>2218578.59</v>
      </c>
      <c r="B295" s="47">
        <v>2196502.18</v>
      </c>
      <c r="C295" s="48">
        <v>0.05</v>
      </c>
      <c r="D295" s="48">
        <v>0.99</v>
      </c>
      <c r="E295" s="49">
        <f t="shared" si="1"/>
        <v>0.004617869398</v>
      </c>
      <c r="F295" s="49">
        <f t="shared" si="2"/>
        <v>0.0002308934699</v>
      </c>
      <c r="G295" s="49">
        <f t="shared" si="3"/>
        <v>0.004571690704</v>
      </c>
      <c r="H295" s="46"/>
      <c r="I295" s="46"/>
      <c r="J295" s="46"/>
      <c r="K295" s="46"/>
      <c r="L295" s="46"/>
      <c r="M295" s="46"/>
      <c r="N295" s="46"/>
      <c r="O295" s="46"/>
      <c r="P295" s="46"/>
      <c r="Q295" s="46"/>
      <c r="R295" s="46"/>
      <c r="S295" s="46"/>
      <c r="T295" s="46"/>
      <c r="U295" s="46"/>
      <c r="V295" s="46"/>
      <c r="W295" s="46"/>
      <c r="X295" s="46"/>
      <c r="Y295" s="46"/>
      <c r="Z295" s="46"/>
    </row>
    <row r="296" ht="22.5" customHeight="1">
      <c r="A296" s="47">
        <v>333898.42</v>
      </c>
      <c r="B296" s="47">
        <v>99211.22</v>
      </c>
      <c r="C296" s="48">
        <v>0.1</v>
      </c>
      <c r="D296" s="48">
        <v>0.2971</v>
      </c>
      <c r="E296" s="49">
        <f t="shared" si="1"/>
        <v>0.0006949942196</v>
      </c>
      <c r="F296" s="49">
        <f t="shared" si="2"/>
        <v>0.00006949942196</v>
      </c>
      <c r="G296" s="49">
        <f t="shared" si="3"/>
        <v>0.0002064827826</v>
      </c>
      <c r="H296" s="46"/>
      <c r="I296" s="46"/>
      <c r="J296" s="46"/>
      <c r="K296" s="46"/>
      <c r="L296" s="46"/>
      <c r="M296" s="46"/>
      <c r="N296" s="46"/>
      <c r="O296" s="46"/>
      <c r="P296" s="46"/>
      <c r="Q296" s="46"/>
      <c r="R296" s="46"/>
      <c r="S296" s="46"/>
      <c r="T296" s="46"/>
      <c r="U296" s="46"/>
      <c r="V296" s="46"/>
      <c r="W296" s="46"/>
      <c r="X296" s="46"/>
      <c r="Y296" s="46"/>
      <c r="Z296" s="46"/>
    </row>
    <row r="297" ht="22.5" customHeight="1">
      <c r="A297" s="47">
        <v>478367.69</v>
      </c>
      <c r="B297" s="47">
        <v>352635.51</v>
      </c>
      <c r="C297" s="48">
        <v>0.1</v>
      </c>
      <c r="D297" s="48">
        <v>0.7372</v>
      </c>
      <c r="E297" s="49">
        <f t="shared" si="1"/>
        <v>0.0009957003672</v>
      </c>
      <c r="F297" s="49">
        <f t="shared" si="2"/>
        <v>0.00009957003672</v>
      </c>
      <c r="G297" s="49">
        <f t="shared" si="3"/>
        <v>0.0007340303107</v>
      </c>
      <c r="H297" s="46"/>
      <c r="I297" s="46"/>
      <c r="J297" s="46"/>
      <c r="K297" s="46"/>
      <c r="L297" s="46"/>
      <c r="M297" s="46"/>
      <c r="N297" s="46"/>
      <c r="O297" s="46"/>
      <c r="P297" s="46"/>
      <c r="Q297" s="46"/>
      <c r="R297" s="46"/>
      <c r="S297" s="46"/>
      <c r="T297" s="46"/>
      <c r="U297" s="46"/>
      <c r="V297" s="46"/>
      <c r="W297" s="46"/>
      <c r="X297" s="46"/>
      <c r="Y297" s="46"/>
      <c r="Z297" s="46"/>
    </row>
    <row r="298" ht="22.5" customHeight="1">
      <c r="A298" s="47">
        <v>190393.0</v>
      </c>
      <c r="B298" s="47">
        <v>26951.0</v>
      </c>
      <c r="C298" s="48">
        <v>0.1</v>
      </c>
      <c r="D298" s="48">
        <v>0.1416</v>
      </c>
      <c r="E298" s="49">
        <f t="shared" si="1"/>
        <v>0.0003962942815</v>
      </c>
      <c r="F298" s="49">
        <f t="shared" si="2"/>
        <v>0.00003962942815</v>
      </c>
      <c r="G298" s="49">
        <f t="shared" si="3"/>
        <v>0.00005611527026</v>
      </c>
      <c r="H298" s="46"/>
      <c r="I298" s="46"/>
      <c r="J298" s="46"/>
      <c r="K298" s="46"/>
      <c r="L298" s="46"/>
      <c r="M298" s="46"/>
      <c r="N298" s="46"/>
      <c r="O298" s="46"/>
      <c r="P298" s="46"/>
      <c r="Q298" s="46"/>
      <c r="R298" s="46"/>
      <c r="S298" s="46"/>
      <c r="T298" s="46"/>
      <c r="U298" s="46"/>
      <c r="V298" s="46"/>
      <c r="W298" s="46"/>
      <c r="X298" s="46"/>
      <c r="Y298" s="46"/>
      <c r="Z298" s="46"/>
    </row>
    <row r="299" ht="22.5" customHeight="1">
      <c r="A299" s="47">
        <v>479296.0</v>
      </c>
      <c r="B299" s="47">
        <v>103819.0</v>
      </c>
      <c r="C299" s="48">
        <v>0.1</v>
      </c>
      <c r="D299" s="48">
        <v>0.2166</v>
      </c>
      <c r="E299" s="49">
        <f t="shared" si="1"/>
        <v>0.0009976326018</v>
      </c>
      <c r="F299" s="49">
        <f t="shared" si="2"/>
        <v>0.00009976326018</v>
      </c>
      <c r="G299" s="49">
        <f t="shared" si="3"/>
        <v>0.0002160872216</v>
      </c>
      <c r="H299" s="46"/>
      <c r="I299" s="46"/>
      <c r="J299" s="46"/>
      <c r="K299" s="46"/>
      <c r="L299" s="46"/>
      <c r="M299" s="46"/>
      <c r="N299" s="46"/>
      <c r="O299" s="46"/>
      <c r="P299" s="46"/>
      <c r="Q299" s="46"/>
      <c r="R299" s="46"/>
      <c r="S299" s="46"/>
      <c r="T299" s="46"/>
      <c r="U299" s="46"/>
      <c r="V299" s="46"/>
      <c r="W299" s="46"/>
      <c r="X299" s="46"/>
      <c r="Y299" s="46"/>
      <c r="Z299" s="46"/>
    </row>
    <row r="300" ht="22.5" customHeight="1">
      <c r="A300" s="47">
        <v>99473.11</v>
      </c>
      <c r="B300" s="47">
        <v>96623.11</v>
      </c>
      <c r="C300" s="48">
        <v>0.1</v>
      </c>
      <c r="D300" s="48">
        <v>0.9713</v>
      </c>
      <c r="E300" s="49">
        <f t="shared" si="1"/>
        <v>0.000207048708</v>
      </c>
      <c r="F300" s="49">
        <f t="shared" si="2"/>
        <v>0.0000207048708</v>
      </c>
      <c r="G300" s="49">
        <f t="shared" si="3"/>
        <v>0.0002011064101</v>
      </c>
      <c r="H300" s="46"/>
      <c r="I300" s="46"/>
      <c r="J300" s="46"/>
      <c r="K300" s="46"/>
      <c r="L300" s="46"/>
      <c r="M300" s="46"/>
      <c r="N300" s="46"/>
      <c r="O300" s="46"/>
      <c r="P300" s="46"/>
      <c r="Q300" s="46"/>
      <c r="R300" s="46"/>
      <c r="S300" s="46"/>
      <c r="T300" s="46"/>
      <c r="U300" s="46"/>
      <c r="V300" s="46"/>
      <c r="W300" s="46"/>
      <c r="X300" s="46"/>
      <c r="Y300" s="46"/>
      <c r="Z300" s="46"/>
    </row>
    <row r="301" ht="22.5" customHeight="1">
      <c r="A301" s="47">
        <v>326150.0</v>
      </c>
      <c r="B301" s="47">
        <v>114700.0</v>
      </c>
      <c r="C301" s="48">
        <v>0.1</v>
      </c>
      <c r="D301" s="48">
        <v>0.3517</v>
      </c>
      <c r="E301" s="49">
        <f t="shared" si="1"/>
        <v>0.0006788662394</v>
      </c>
      <c r="F301" s="49">
        <f t="shared" si="2"/>
        <v>0.00006788662394</v>
      </c>
      <c r="G301" s="49">
        <f t="shared" si="3"/>
        <v>0.0002387572564</v>
      </c>
      <c r="H301" s="46"/>
      <c r="I301" s="46"/>
      <c r="J301" s="46"/>
      <c r="K301" s="46"/>
      <c r="L301" s="46"/>
      <c r="M301" s="46"/>
      <c r="N301" s="46"/>
      <c r="O301" s="46"/>
      <c r="P301" s="46"/>
      <c r="Q301" s="46"/>
      <c r="R301" s="46"/>
      <c r="S301" s="46"/>
      <c r="T301" s="46"/>
      <c r="U301" s="46"/>
      <c r="V301" s="46"/>
      <c r="W301" s="46"/>
      <c r="X301" s="46"/>
      <c r="Y301" s="46"/>
      <c r="Z301" s="46"/>
    </row>
    <row r="302" ht="22.5" customHeight="1">
      <c r="A302" s="47">
        <v>574419.0</v>
      </c>
      <c r="B302" s="47">
        <v>67200.0</v>
      </c>
      <c r="C302" s="48">
        <v>0.05</v>
      </c>
      <c r="D302" s="48">
        <v>0.117</v>
      </c>
      <c r="E302" s="49">
        <f t="shared" si="1"/>
        <v>0.001195626756</v>
      </c>
      <c r="F302" s="49">
        <f t="shared" si="2"/>
        <v>0.00005978133778</v>
      </c>
      <c r="G302" s="49">
        <f t="shared" si="3"/>
        <v>0.0001398883304</v>
      </c>
      <c r="H302" s="46"/>
      <c r="I302" s="46"/>
      <c r="J302" s="46"/>
      <c r="K302" s="46"/>
      <c r="L302" s="46"/>
      <c r="M302" s="46"/>
      <c r="N302" s="46"/>
      <c r="O302" s="46"/>
      <c r="P302" s="46"/>
      <c r="Q302" s="46"/>
      <c r="R302" s="46"/>
      <c r="S302" s="46"/>
      <c r="T302" s="46"/>
      <c r="U302" s="46"/>
      <c r="V302" s="46"/>
      <c r="W302" s="46"/>
      <c r="X302" s="46"/>
      <c r="Y302" s="46"/>
      <c r="Z302" s="46"/>
    </row>
    <row r="303" ht="22.5" customHeight="1">
      <c r="A303" s="47">
        <v>1215842.0</v>
      </c>
      <c r="B303" s="47">
        <v>383487.0</v>
      </c>
      <c r="C303" s="48">
        <v>0.15</v>
      </c>
      <c r="D303" s="48">
        <v>0.3154</v>
      </c>
      <c r="E303" s="49">
        <f t="shared" si="1"/>
        <v>0.002530719259</v>
      </c>
      <c r="F303" s="49">
        <f t="shared" si="2"/>
        <v>0.0003796078888</v>
      </c>
      <c r="G303" s="49">
        <f t="shared" si="3"/>
        <v>0.0007981888542</v>
      </c>
      <c r="H303" s="46"/>
      <c r="I303" s="46"/>
      <c r="J303" s="46"/>
      <c r="K303" s="46"/>
      <c r="L303" s="46"/>
      <c r="M303" s="46"/>
      <c r="N303" s="46"/>
      <c r="O303" s="46"/>
      <c r="P303" s="46"/>
      <c r="Q303" s="46"/>
      <c r="R303" s="46"/>
      <c r="S303" s="46"/>
      <c r="T303" s="46"/>
      <c r="U303" s="46"/>
      <c r="V303" s="46"/>
      <c r="W303" s="46"/>
      <c r="X303" s="46"/>
      <c r="Y303" s="46"/>
      <c r="Z303" s="46"/>
    </row>
    <row r="304" ht="22.5" customHeight="1">
      <c r="A304" s="47">
        <v>4378173.35</v>
      </c>
      <c r="B304" s="47">
        <v>702083.35</v>
      </c>
      <c r="C304" s="48">
        <v>0.16</v>
      </c>
      <c r="D304" s="48">
        <v>0.1604</v>
      </c>
      <c r="E304" s="49">
        <f t="shared" si="1"/>
        <v>0.009112966664</v>
      </c>
      <c r="F304" s="49">
        <f t="shared" si="2"/>
        <v>0.001458074666</v>
      </c>
      <c r="G304" s="49">
        <f t="shared" si="3"/>
        <v>0.001461719853</v>
      </c>
      <c r="H304" s="46"/>
      <c r="I304" s="46"/>
      <c r="J304" s="46"/>
      <c r="K304" s="46"/>
      <c r="L304" s="46"/>
      <c r="M304" s="46"/>
      <c r="N304" s="46"/>
      <c r="O304" s="46"/>
      <c r="P304" s="46"/>
      <c r="Q304" s="46"/>
      <c r="R304" s="46"/>
      <c r="S304" s="46"/>
      <c r="T304" s="46"/>
      <c r="U304" s="46"/>
      <c r="V304" s="46"/>
      <c r="W304" s="46"/>
      <c r="X304" s="46"/>
      <c r="Y304" s="46"/>
      <c r="Z304" s="46"/>
    </row>
    <row r="305" ht="22.5" customHeight="1">
      <c r="A305" s="47">
        <v>6037391.04</v>
      </c>
      <c r="B305" s="47">
        <v>6037391.04</v>
      </c>
      <c r="C305" s="48">
        <v>0.175</v>
      </c>
      <c r="D305" s="48">
        <v>1.0</v>
      </c>
      <c r="E305" s="49">
        <f t="shared" si="1"/>
        <v>0.01256655205</v>
      </c>
      <c r="F305" s="49">
        <f t="shared" si="2"/>
        <v>0.002199146609</v>
      </c>
      <c r="G305" s="49">
        <f t="shared" si="3"/>
        <v>0.01256655205</v>
      </c>
      <c r="H305" s="46"/>
      <c r="I305" s="46"/>
      <c r="J305" s="46"/>
      <c r="K305" s="46"/>
      <c r="L305" s="46"/>
      <c r="M305" s="46"/>
      <c r="N305" s="46"/>
      <c r="O305" s="46"/>
      <c r="P305" s="46"/>
      <c r="Q305" s="46"/>
      <c r="R305" s="46"/>
      <c r="S305" s="46"/>
      <c r="T305" s="46"/>
      <c r="U305" s="46"/>
      <c r="V305" s="46"/>
      <c r="W305" s="46"/>
      <c r="X305" s="46"/>
      <c r="Y305" s="46"/>
      <c r="Z305" s="46"/>
    </row>
    <row r="306" ht="22.5" customHeight="1">
      <c r="A306" s="47">
        <v>1075683.55</v>
      </c>
      <c r="B306" s="47">
        <v>1075683.55</v>
      </c>
      <c r="C306" s="48">
        <v>0.175</v>
      </c>
      <c r="D306" s="48">
        <v>1.0</v>
      </c>
      <c r="E306" s="49">
        <f t="shared" si="1"/>
        <v>0.002238985885</v>
      </c>
      <c r="F306" s="49">
        <f t="shared" si="2"/>
        <v>0.0003918225299</v>
      </c>
      <c r="G306" s="49">
        <f t="shared" si="3"/>
        <v>0.002238985885</v>
      </c>
      <c r="H306" s="46"/>
      <c r="I306" s="46"/>
      <c r="J306" s="46"/>
      <c r="K306" s="46"/>
      <c r="L306" s="46"/>
      <c r="M306" s="46"/>
      <c r="N306" s="46"/>
      <c r="O306" s="46"/>
      <c r="P306" s="46"/>
      <c r="Q306" s="46"/>
      <c r="R306" s="46"/>
      <c r="S306" s="46"/>
      <c r="T306" s="46"/>
      <c r="U306" s="46"/>
      <c r="V306" s="46"/>
      <c r="W306" s="46"/>
      <c r="X306" s="46"/>
      <c r="Y306" s="46"/>
      <c r="Z306" s="46"/>
    </row>
    <row r="307" ht="22.5" customHeight="1">
      <c r="A307" s="47">
        <v>2.29068259E7</v>
      </c>
      <c r="B307" s="47">
        <v>3421530.5</v>
      </c>
      <c r="C307" s="48">
        <v>0.13</v>
      </c>
      <c r="D307" s="48">
        <v>0.1494</v>
      </c>
      <c r="E307" s="49">
        <f t="shared" si="1"/>
        <v>0.04767950561</v>
      </c>
      <c r="F307" s="49">
        <f t="shared" si="2"/>
        <v>0.00619833573</v>
      </c>
      <c r="G307" s="49">
        <f t="shared" si="3"/>
        <v>0.007123318138</v>
      </c>
      <c r="H307" s="46"/>
      <c r="I307" s="46"/>
      <c r="J307" s="46"/>
      <c r="K307" s="46"/>
      <c r="L307" s="46"/>
      <c r="M307" s="46"/>
      <c r="N307" s="46"/>
      <c r="O307" s="46"/>
      <c r="P307" s="46"/>
      <c r="Q307" s="46"/>
      <c r="R307" s="46"/>
      <c r="S307" s="46"/>
      <c r="T307" s="46"/>
      <c r="U307" s="46"/>
      <c r="V307" s="46"/>
      <c r="W307" s="46"/>
      <c r="X307" s="46"/>
      <c r="Y307" s="46"/>
      <c r="Z307" s="46"/>
    </row>
    <row r="308" ht="22.5" customHeight="1">
      <c r="A308" s="47">
        <v>7265641.39</v>
      </c>
      <c r="B308" s="47">
        <v>1676243.1</v>
      </c>
      <c r="C308" s="48">
        <v>0.165</v>
      </c>
      <c r="D308" s="48">
        <v>0.2307</v>
      </c>
      <c r="E308" s="49">
        <f t="shared" si="1"/>
        <v>0.01512309872</v>
      </c>
      <c r="F308" s="49">
        <f t="shared" si="2"/>
        <v>0.002495311289</v>
      </c>
      <c r="G308" s="49">
        <f t="shared" si="3"/>
        <v>0.003488898875</v>
      </c>
      <c r="H308" s="46"/>
      <c r="I308" s="46"/>
      <c r="J308" s="46"/>
      <c r="K308" s="46"/>
      <c r="L308" s="46"/>
      <c r="M308" s="46"/>
      <c r="N308" s="46"/>
      <c r="O308" s="46"/>
      <c r="P308" s="46"/>
      <c r="Q308" s="46"/>
      <c r="R308" s="46"/>
      <c r="S308" s="46"/>
      <c r="T308" s="46"/>
      <c r="U308" s="46"/>
      <c r="V308" s="46"/>
      <c r="W308" s="46"/>
      <c r="X308" s="46"/>
      <c r="Y308" s="46"/>
      <c r="Z308" s="46"/>
    </row>
    <row r="309" ht="22.5" customHeight="1">
      <c r="A309" s="47">
        <v>3672080.32</v>
      </c>
      <c r="B309" s="47">
        <v>3672080.32</v>
      </c>
      <c r="C309" s="48">
        <v>0.16</v>
      </c>
      <c r="D309" s="48">
        <v>1.0</v>
      </c>
      <c r="E309" s="49">
        <f t="shared" si="1"/>
        <v>0.007643266465</v>
      </c>
      <c r="F309" s="49">
        <f t="shared" si="2"/>
        <v>0.001222922634</v>
      </c>
      <c r="G309" s="49">
        <f t="shared" si="3"/>
        <v>0.007643266465</v>
      </c>
      <c r="H309" s="46"/>
      <c r="I309" s="46"/>
      <c r="J309" s="46"/>
      <c r="K309" s="46"/>
      <c r="L309" s="46"/>
      <c r="M309" s="46"/>
      <c r="N309" s="46"/>
      <c r="O309" s="46"/>
      <c r="P309" s="46"/>
      <c r="Q309" s="46"/>
      <c r="R309" s="46"/>
      <c r="S309" s="46"/>
      <c r="T309" s="46"/>
      <c r="U309" s="46"/>
      <c r="V309" s="46"/>
      <c r="W309" s="46"/>
      <c r="X309" s="46"/>
      <c r="Y309" s="46"/>
      <c r="Z309" s="46"/>
    </row>
    <row r="310" ht="22.5" customHeight="1">
      <c r="A310" s="47">
        <v>1.65466973E7</v>
      </c>
      <c r="B310" s="47">
        <v>2892143.5</v>
      </c>
      <c r="C310" s="48">
        <v>0.155</v>
      </c>
      <c r="D310" s="48">
        <v>0.1748</v>
      </c>
      <c r="E310" s="49">
        <f t="shared" si="1"/>
        <v>0.03444119016</v>
      </c>
      <c r="F310" s="49">
        <f t="shared" si="2"/>
        <v>0.005338384475</v>
      </c>
      <c r="G310" s="49">
        <f t="shared" si="3"/>
        <v>0.00602032004</v>
      </c>
      <c r="H310" s="46"/>
      <c r="I310" s="46"/>
      <c r="J310" s="46"/>
      <c r="K310" s="46"/>
      <c r="L310" s="46"/>
      <c r="M310" s="46"/>
      <c r="N310" s="46"/>
      <c r="O310" s="46"/>
      <c r="P310" s="46"/>
      <c r="Q310" s="46"/>
      <c r="R310" s="46"/>
      <c r="S310" s="46"/>
      <c r="T310" s="46"/>
      <c r="U310" s="46"/>
      <c r="V310" s="46"/>
      <c r="W310" s="46"/>
      <c r="X310" s="46"/>
      <c r="Y310" s="46"/>
      <c r="Z310" s="46"/>
    </row>
    <row r="311" ht="22.5" customHeight="1">
      <c r="A311" s="47">
        <v>8587000.0</v>
      </c>
      <c r="B311" s="47">
        <v>1476548.32</v>
      </c>
      <c r="C311" s="48">
        <v>0.165</v>
      </c>
      <c r="D311" s="48">
        <v>0.172</v>
      </c>
      <c r="E311" s="49">
        <f t="shared" si="1"/>
        <v>0.01787344595</v>
      </c>
      <c r="F311" s="49">
        <f t="shared" si="2"/>
        <v>0.002949118582</v>
      </c>
      <c r="G311" s="49">
        <f t="shared" si="3"/>
        <v>0.003074232704</v>
      </c>
      <c r="H311" s="46"/>
      <c r="I311" s="46"/>
      <c r="J311" s="46"/>
      <c r="K311" s="46"/>
      <c r="L311" s="46"/>
      <c r="M311" s="46"/>
      <c r="N311" s="46"/>
      <c r="O311" s="46"/>
      <c r="P311" s="46"/>
      <c r="Q311" s="46"/>
      <c r="R311" s="46"/>
      <c r="S311" s="46"/>
      <c r="T311" s="46"/>
      <c r="U311" s="46"/>
      <c r="V311" s="46"/>
      <c r="W311" s="46"/>
      <c r="X311" s="46"/>
      <c r="Y311" s="46"/>
      <c r="Z311" s="46"/>
    </row>
    <row r="312" ht="22.5" customHeight="1">
      <c r="A312" s="47">
        <v>4301335.8</v>
      </c>
      <c r="B312" s="47">
        <v>756437.59</v>
      </c>
      <c r="C312" s="48">
        <v>0.16</v>
      </c>
      <c r="D312" s="48">
        <v>0.1759</v>
      </c>
      <c r="E312" s="49">
        <f t="shared" si="1"/>
        <v>0.008953032834</v>
      </c>
      <c r="F312" s="49">
        <f t="shared" si="2"/>
        <v>0.001432485254</v>
      </c>
      <c r="G312" s="49">
        <f t="shared" si="3"/>
        <v>0.001574838476</v>
      </c>
      <c r="H312" s="46"/>
      <c r="I312" s="46"/>
      <c r="J312" s="46"/>
      <c r="K312" s="46"/>
      <c r="L312" s="46"/>
      <c r="M312" s="46"/>
      <c r="N312" s="46"/>
      <c r="O312" s="46"/>
      <c r="P312" s="46"/>
      <c r="Q312" s="46"/>
      <c r="R312" s="46"/>
      <c r="S312" s="46"/>
      <c r="T312" s="46"/>
      <c r="U312" s="46"/>
      <c r="V312" s="46"/>
      <c r="W312" s="46"/>
      <c r="X312" s="46"/>
      <c r="Y312" s="46"/>
      <c r="Z312" s="46"/>
    </row>
    <row r="313" ht="22.5" customHeight="1">
      <c r="A313" s="47">
        <f t="shared" ref="A313:B313" si="4">SUM(A2:A312)</f>
        <v>480433377.1</v>
      </c>
      <c r="B313" s="50">
        <f t="shared" si="4"/>
        <v>90371156.18</v>
      </c>
      <c r="C313" s="48"/>
      <c r="D313" s="48"/>
      <c r="E313" s="49"/>
      <c r="F313" s="49">
        <f>SUM(Oklahoma!$F$2:$F$312)</f>
        <v>0.08054304142</v>
      </c>
      <c r="G313" s="49">
        <f>SUM(Oklahoma!$G$2:$G$312)</f>
        <v>0.1875864745</v>
      </c>
      <c r="H313" s="46"/>
      <c r="I313" s="46"/>
      <c r="J313" s="46"/>
      <c r="K313" s="46"/>
      <c r="L313" s="46"/>
      <c r="M313" s="46"/>
      <c r="N313" s="46"/>
      <c r="O313" s="46"/>
      <c r="P313" s="46"/>
      <c r="Q313" s="46"/>
      <c r="R313" s="46"/>
      <c r="S313" s="46"/>
      <c r="T313" s="46"/>
      <c r="U313" s="46"/>
      <c r="V313" s="46"/>
      <c r="W313" s="46"/>
      <c r="X313" s="46"/>
      <c r="Y313" s="46"/>
      <c r="Z313" s="46"/>
    </row>
    <row r="314">
      <c r="A314" s="46"/>
      <c r="B314" s="46"/>
      <c r="C314" s="51"/>
      <c r="D314" s="51"/>
      <c r="E314" s="46"/>
      <c r="F314" s="52">
        <f>Oklahoma!$F$313</f>
        <v>0.08054304142</v>
      </c>
      <c r="G314" s="52">
        <f>Oklahoma!$G$313</f>
        <v>0.1875864745</v>
      </c>
      <c r="H314" s="46"/>
      <c r="I314" s="46"/>
      <c r="J314" s="46"/>
      <c r="K314" s="46"/>
      <c r="L314" s="46"/>
      <c r="M314" s="46"/>
      <c r="N314" s="46"/>
      <c r="O314" s="46"/>
      <c r="P314" s="46"/>
      <c r="Q314" s="46"/>
      <c r="R314" s="46"/>
      <c r="S314" s="46"/>
      <c r="T314" s="46"/>
      <c r="U314" s="46"/>
      <c r="V314" s="46"/>
      <c r="W314" s="46"/>
      <c r="X314" s="46"/>
      <c r="Y314" s="46"/>
      <c r="Z314" s="46"/>
    </row>
    <row r="315">
      <c r="A315" s="46"/>
      <c r="B315" s="53"/>
      <c r="C315" s="51"/>
      <c r="D315" s="51"/>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53"/>
      <c r="C316" s="51"/>
      <c r="D316" s="51"/>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53"/>
      <c r="C317" s="51"/>
      <c r="D317" s="51"/>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53"/>
      <c r="C318" s="51"/>
      <c r="D318" s="51"/>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53"/>
      <c r="C319" s="51"/>
      <c r="D319" s="51"/>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53"/>
      <c r="C320" s="51"/>
      <c r="D320" s="51"/>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53"/>
      <c r="C321" s="51"/>
      <c r="D321" s="51"/>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53"/>
      <c r="C322" s="51"/>
      <c r="D322" s="51"/>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53"/>
      <c r="C323" s="51"/>
      <c r="D323" s="51"/>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53"/>
      <c r="C324" s="51"/>
      <c r="D324" s="51"/>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53"/>
      <c r="C325" s="51"/>
      <c r="D325" s="51"/>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53"/>
      <c r="C326" s="51"/>
      <c r="D326" s="51"/>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53"/>
      <c r="C327" s="51"/>
      <c r="D327" s="51"/>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53"/>
      <c r="C328" s="51"/>
      <c r="D328" s="51"/>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53"/>
      <c r="C329" s="51"/>
      <c r="D329" s="51"/>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53"/>
      <c r="C330" s="51"/>
      <c r="D330" s="51"/>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53"/>
      <c r="C331" s="51"/>
      <c r="D331" s="51"/>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53"/>
      <c r="C332" s="51"/>
      <c r="D332" s="51"/>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53"/>
      <c r="C333" s="51"/>
      <c r="D333" s="51"/>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53"/>
      <c r="C334" s="51"/>
      <c r="D334" s="51"/>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53"/>
      <c r="C335" s="51"/>
      <c r="D335" s="51"/>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53"/>
      <c r="C336" s="51"/>
      <c r="D336" s="51"/>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53"/>
      <c r="C337" s="51"/>
      <c r="D337" s="51"/>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53"/>
      <c r="C338" s="51"/>
      <c r="D338" s="51"/>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53"/>
      <c r="C339" s="51"/>
      <c r="D339" s="51"/>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53"/>
      <c r="C340" s="51"/>
      <c r="D340" s="51"/>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53"/>
      <c r="C341" s="51"/>
      <c r="D341" s="51"/>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53"/>
      <c r="C342" s="51"/>
      <c r="D342" s="51"/>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53"/>
      <c r="C343" s="51"/>
      <c r="D343" s="51"/>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53"/>
      <c r="C344" s="51"/>
      <c r="D344" s="51"/>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53"/>
      <c r="C345" s="51"/>
      <c r="D345" s="51"/>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53"/>
      <c r="C346" s="51"/>
      <c r="D346" s="51"/>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53"/>
      <c r="C347" s="51"/>
      <c r="D347" s="51"/>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53"/>
      <c r="C348" s="51"/>
      <c r="D348" s="51"/>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53"/>
      <c r="C349" s="51"/>
      <c r="D349" s="51"/>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53"/>
      <c r="C350" s="51"/>
      <c r="D350" s="51"/>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53"/>
      <c r="C351" s="51"/>
      <c r="D351" s="51"/>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53"/>
      <c r="C352" s="51"/>
      <c r="D352" s="51"/>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53"/>
      <c r="C353" s="51"/>
      <c r="D353" s="51"/>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53"/>
      <c r="C354" s="51"/>
      <c r="D354" s="51"/>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53"/>
      <c r="C355" s="51"/>
      <c r="D355" s="51"/>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53"/>
      <c r="C356" s="51"/>
      <c r="D356" s="51"/>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53"/>
      <c r="C357" s="51"/>
      <c r="D357" s="51"/>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53"/>
      <c r="C358" s="51"/>
      <c r="D358" s="51"/>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53"/>
      <c r="C359" s="51"/>
      <c r="D359" s="51"/>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53"/>
      <c r="C360" s="51"/>
      <c r="D360" s="51"/>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53"/>
      <c r="C361" s="51"/>
      <c r="D361" s="51"/>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53"/>
      <c r="C362" s="51"/>
      <c r="D362" s="51"/>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53"/>
      <c r="C363" s="51"/>
      <c r="D363" s="51"/>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53"/>
      <c r="C364" s="51"/>
      <c r="D364" s="51"/>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53"/>
      <c r="C365" s="51"/>
      <c r="D365" s="51"/>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53"/>
      <c r="C366" s="51"/>
      <c r="D366" s="51"/>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53"/>
      <c r="C367" s="51"/>
      <c r="D367" s="51"/>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53"/>
      <c r="C368" s="51"/>
      <c r="D368" s="51"/>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53"/>
      <c r="C369" s="51"/>
      <c r="D369" s="51"/>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53"/>
      <c r="C370" s="51"/>
      <c r="D370" s="51"/>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53"/>
      <c r="C371" s="51"/>
      <c r="D371" s="51"/>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53"/>
      <c r="C372" s="51"/>
      <c r="D372" s="51"/>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53"/>
      <c r="C373" s="51"/>
      <c r="D373" s="51"/>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53"/>
      <c r="C374" s="51"/>
      <c r="D374" s="51"/>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53"/>
      <c r="C375" s="51"/>
      <c r="D375" s="51"/>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53"/>
      <c r="C376" s="51"/>
      <c r="D376" s="51"/>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53"/>
      <c r="C377" s="51"/>
      <c r="D377" s="51"/>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53"/>
      <c r="C378" s="51"/>
      <c r="D378" s="51"/>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53"/>
      <c r="C379" s="51"/>
      <c r="D379" s="51"/>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53"/>
      <c r="C380" s="51"/>
      <c r="D380" s="51"/>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53"/>
      <c r="C381" s="51"/>
      <c r="D381" s="51"/>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53"/>
      <c r="C382" s="51"/>
      <c r="D382" s="51"/>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53"/>
      <c r="C383" s="51"/>
      <c r="D383" s="51"/>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53"/>
      <c r="C384" s="51"/>
      <c r="D384" s="51"/>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53"/>
      <c r="C385" s="51"/>
      <c r="D385" s="51"/>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53"/>
      <c r="C386" s="51"/>
      <c r="D386" s="51"/>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53"/>
      <c r="C387" s="51"/>
      <c r="D387" s="51"/>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53"/>
      <c r="C388" s="51"/>
      <c r="D388" s="51"/>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53"/>
      <c r="C389" s="51"/>
      <c r="D389" s="51"/>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53"/>
      <c r="C390" s="51"/>
      <c r="D390" s="51"/>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53"/>
      <c r="C391" s="51"/>
      <c r="D391" s="51"/>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53"/>
      <c r="C392" s="51"/>
      <c r="D392" s="51"/>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53"/>
      <c r="C393" s="51"/>
      <c r="D393" s="51"/>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53"/>
      <c r="C394" s="51"/>
      <c r="D394" s="51"/>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53"/>
      <c r="C395" s="51"/>
      <c r="D395" s="51"/>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53"/>
      <c r="C396" s="51"/>
      <c r="D396" s="51"/>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53"/>
      <c r="C397" s="51"/>
      <c r="D397" s="51"/>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53"/>
      <c r="C398" s="51"/>
      <c r="D398" s="51"/>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53"/>
      <c r="C399" s="51"/>
      <c r="D399" s="51"/>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53"/>
      <c r="C400" s="51"/>
      <c r="D400" s="51"/>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53"/>
      <c r="C401" s="51"/>
      <c r="D401" s="51"/>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53"/>
      <c r="C402" s="51"/>
      <c r="D402" s="51"/>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53"/>
      <c r="C403" s="51"/>
      <c r="D403" s="51"/>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53"/>
      <c r="C404" s="51"/>
      <c r="D404" s="51"/>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53"/>
      <c r="C405" s="51"/>
      <c r="D405" s="51"/>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53"/>
      <c r="C406" s="51"/>
      <c r="D406" s="51"/>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53"/>
      <c r="C407" s="51"/>
      <c r="D407" s="51"/>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53"/>
      <c r="C408" s="51"/>
      <c r="D408" s="51"/>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53"/>
      <c r="C409" s="51"/>
      <c r="D409" s="51"/>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53"/>
      <c r="C410" s="51"/>
      <c r="D410" s="51"/>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53"/>
      <c r="C411" s="51"/>
      <c r="D411" s="51"/>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53"/>
      <c r="C412" s="51"/>
      <c r="D412" s="51"/>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53"/>
      <c r="C413" s="51"/>
      <c r="D413" s="51"/>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53"/>
      <c r="C414" s="51"/>
      <c r="D414" s="51"/>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53"/>
      <c r="C415" s="51"/>
      <c r="D415" s="51"/>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53"/>
      <c r="C416" s="51"/>
      <c r="D416" s="51"/>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53"/>
      <c r="C417" s="51"/>
      <c r="D417" s="51"/>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53"/>
      <c r="C418" s="51"/>
      <c r="D418" s="51"/>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53"/>
      <c r="C419" s="51"/>
      <c r="D419" s="51"/>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53"/>
      <c r="C420" s="51"/>
      <c r="D420" s="51"/>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53"/>
      <c r="C421" s="51"/>
      <c r="D421" s="51"/>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53"/>
      <c r="C422" s="51"/>
      <c r="D422" s="51"/>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53"/>
      <c r="C423" s="51"/>
      <c r="D423" s="51"/>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53"/>
      <c r="C424" s="51"/>
      <c r="D424" s="51"/>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53"/>
      <c r="C425" s="51"/>
      <c r="D425" s="51"/>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53"/>
      <c r="C426" s="51"/>
      <c r="D426" s="51"/>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53"/>
      <c r="C427" s="51"/>
      <c r="D427" s="51"/>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53"/>
      <c r="C428" s="51"/>
      <c r="D428" s="51"/>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53"/>
      <c r="C429" s="51"/>
      <c r="D429" s="51"/>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53"/>
      <c r="C430" s="51"/>
      <c r="D430" s="51"/>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53"/>
      <c r="C431" s="51"/>
      <c r="D431" s="51"/>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53"/>
      <c r="C432" s="51"/>
      <c r="D432" s="51"/>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53"/>
      <c r="C433" s="51"/>
      <c r="D433" s="51"/>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53"/>
      <c r="C434" s="51"/>
      <c r="D434" s="51"/>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53"/>
      <c r="C435" s="51"/>
      <c r="D435" s="51"/>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53"/>
      <c r="C436" s="51"/>
      <c r="D436" s="51"/>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53"/>
      <c r="C437" s="51"/>
      <c r="D437" s="51"/>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53"/>
      <c r="C438" s="51"/>
      <c r="D438" s="51"/>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53"/>
      <c r="C439" s="51"/>
      <c r="D439" s="51"/>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53"/>
      <c r="C440" s="51"/>
      <c r="D440" s="51"/>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53"/>
      <c r="C441" s="51"/>
      <c r="D441" s="51"/>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53"/>
      <c r="C442" s="51"/>
      <c r="D442" s="51"/>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53"/>
      <c r="C443" s="51"/>
      <c r="D443" s="51"/>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53"/>
      <c r="C444" s="51"/>
      <c r="D444" s="51"/>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53"/>
      <c r="C445" s="51"/>
      <c r="D445" s="51"/>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53"/>
      <c r="C446" s="51"/>
      <c r="D446" s="51"/>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53"/>
      <c r="C447" s="51"/>
      <c r="D447" s="51"/>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53"/>
      <c r="C448" s="51"/>
      <c r="D448" s="51"/>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53"/>
      <c r="C449" s="51"/>
      <c r="D449" s="51"/>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53"/>
      <c r="C450" s="51"/>
      <c r="D450" s="51"/>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53"/>
      <c r="C451" s="51"/>
      <c r="D451" s="51"/>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53"/>
      <c r="C452" s="51"/>
      <c r="D452" s="51"/>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53"/>
      <c r="C453" s="51"/>
      <c r="D453" s="51"/>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53"/>
      <c r="C454" s="51"/>
      <c r="D454" s="51"/>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53"/>
      <c r="C455" s="51"/>
      <c r="D455" s="51"/>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53"/>
      <c r="C456" s="51"/>
      <c r="D456" s="51"/>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53"/>
      <c r="C457" s="51"/>
      <c r="D457" s="51"/>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53"/>
      <c r="C458" s="51"/>
      <c r="D458" s="51"/>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53"/>
      <c r="C459" s="51"/>
      <c r="D459" s="51"/>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53"/>
      <c r="C460" s="51"/>
      <c r="D460" s="51"/>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53"/>
      <c r="C461" s="51"/>
      <c r="D461" s="51"/>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53"/>
      <c r="C462" s="51"/>
      <c r="D462" s="51"/>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53"/>
      <c r="C463" s="51"/>
      <c r="D463" s="51"/>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53"/>
      <c r="C464" s="51"/>
      <c r="D464" s="51"/>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53"/>
      <c r="C465" s="51"/>
      <c r="D465" s="51"/>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53"/>
      <c r="C466" s="51"/>
      <c r="D466" s="51"/>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53"/>
      <c r="C467" s="51"/>
      <c r="D467" s="51"/>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53"/>
      <c r="C468" s="51"/>
      <c r="D468" s="51"/>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53"/>
      <c r="C469" s="51"/>
      <c r="D469" s="51"/>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53"/>
      <c r="C470" s="51"/>
      <c r="D470" s="51"/>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53"/>
      <c r="C471" s="51"/>
      <c r="D471" s="51"/>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53"/>
      <c r="C472" s="51"/>
      <c r="D472" s="51"/>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53"/>
      <c r="C473" s="51"/>
      <c r="D473" s="51"/>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53"/>
      <c r="C474" s="51"/>
      <c r="D474" s="51"/>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53"/>
      <c r="C475" s="51"/>
      <c r="D475" s="51"/>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53"/>
      <c r="C476" s="51"/>
      <c r="D476" s="51"/>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53"/>
      <c r="C477" s="51"/>
      <c r="D477" s="51"/>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53"/>
      <c r="C478" s="51"/>
      <c r="D478" s="51"/>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53"/>
      <c r="C479" s="51"/>
      <c r="D479" s="51"/>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53"/>
      <c r="C480" s="51"/>
      <c r="D480" s="51"/>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53"/>
      <c r="C481" s="51"/>
      <c r="D481" s="51"/>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53"/>
      <c r="C482" s="51"/>
      <c r="D482" s="51"/>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53"/>
      <c r="C483" s="51"/>
      <c r="D483" s="51"/>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53"/>
      <c r="C484" s="51"/>
      <c r="D484" s="51"/>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53"/>
      <c r="C485" s="51"/>
      <c r="D485" s="51"/>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53"/>
      <c r="C486" s="51"/>
      <c r="D486" s="51"/>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53"/>
      <c r="C487" s="51"/>
      <c r="D487" s="51"/>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53"/>
      <c r="C488" s="51"/>
      <c r="D488" s="51"/>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53"/>
      <c r="C489" s="51"/>
      <c r="D489" s="51"/>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53"/>
      <c r="C490" s="51"/>
      <c r="D490" s="51"/>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53"/>
      <c r="C491" s="51"/>
      <c r="D491" s="51"/>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53"/>
      <c r="C492" s="51"/>
      <c r="D492" s="51"/>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53"/>
      <c r="C493" s="51"/>
      <c r="D493" s="51"/>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53"/>
      <c r="C494" s="51"/>
      <c r="D494" s="51"/>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53"/>
      <c r="C495" s="51"/>
      <c r="D495" s="51"/>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53"/>
      <c r="C496" s="51"/>
      <c r="D496" s="51"/>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53"/>
      <c r="C497" s="51"/>
      <c r="D497" s="51"/>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53"/>
      <c r="C498" s="51"/>
      <c r="D498" s="51"/>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53"/>
      <c r="C499" s="51"/>
      <c r="D499" s="51"/>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53"/>
      <c r="C500" s="51"/>
      <c r="D500" s="51"/>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53"/>
      <c r="C501" s="51"/>
      <c r="D501" s="51"/>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53"/>
      <c r="C502" s="51"/>
      <c r="D502" s="51"/>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53"/>
      <c r="C503" s="51"/>
      <c r="D503" s="51"/>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53"/>
      <c r="C504" s="51"/>
      <c r="D504" s="51"/>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53"/>
      <c r="C505" s="51"/>
      <c r="D505" s="51"/>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53"/>
      <c r="C506" s="51"/>
      <c r="D506" s="51"/>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53"/>
      <c r="C507" s="51"/>
      <c r="D507" s="51"/>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53"/>
      <c r="C508" s="51"/>
      <c r="D508" s="51"/>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53"/>
      <c r="C509" s="51"/>
      <c r="D509" s="51"/>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53"/>
      <c r="C510" s="51"/>
      <c r="D510" s="51"/>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53"/>
      <c r="C511" s="51"/>
      <c r="D511" s="51"/>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53"/>
      <c r="C512" s="51"/>
      <c r="D512" s="51"/>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53"/>
      <c r="C513" s="51"/>
      <c r="D513" s="51"/>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53"/>
      <c r="C514" s="51"/>
      <c r="D514" s="51"/>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53"/>
      <c r="C515" s="51"/>
      <c r="D515" s="51"/>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53"/>
      <c r="C516" s="51"/>
      <c r="D516" s="51"/>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53"/>
      <c r="C517" s="51"/>
      <c r="D517" s="51"/>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53"/>
      <c r="C518" s="51"/>
      <c r="D518" s="51"/>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53"/>
      <c r="C519" s="51"/>
      <c r="D519" s="51"/>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53"/>
      <c r="C520" s="51"/>
      <c r="D520" s="51"/>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53"/>
      <c r="C521" s="51"/>
      <c r="D521" s="51"/>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53"/>
      <c r="C522" s="51"/>
      <c r="D522" s="51"/>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53"/>
      <c r="C523" s="51"/>
      <c r="D523" s="51"/>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53"/>
      <c r="C524" s="51"/>
      <c r="D524" s="51"/>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53"/>
      <c r="C525" s="51"/>
      <c r="D525" s="51"/>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53"/>
      <c r="C526" s="51"/>
      <c r="D526" s="51"/>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53"/>
      <c r="C527" s="51"/>
      <c r="D527" s="51"/>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53"/>
      <c r="C528" s="51"/>
      <c r="D528" s="51"/>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53"/>
      <c r="C529" s="51"/>
      <c r="D529" s="51"/>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53"/>
      <c r="C530" s="51"/>
      <c r="D530" s="51"/>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53"/>
      <c r="C531" s="51"/>
      <c r="D531" s="51"/>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53"/>
      <c r="C532" s="51"/>
      <c r="D532" s="51"/>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53"/>
      <c r="C533" s="51"/>
      <c r="D533" s="51"/>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53"/>
      <c r="C534" s="51"/>
      <c r="D534" s="51"/>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53"/>
      <c r="C535" s="51"/>
      <c r="D535" s="51"/>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53"/>
      <c r="C536" s="51"/>
      <c r="D536" s="51"/>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53"/>
      <c r="C537" s="51"/>
      <c r="D537" s="51"/>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53"/>
      <c r="C538" s="51"/>
      <c r="D538" s="51"/>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53"/>
      <c r="C539" s="51"/>
      <c r="D539" s="51"/>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53"/>
      <c r="C540" s="51"/>
      <c r="D540" s="51"/>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53"/>
      <c r="C541" s="51"/>
      <c r="D541" s="51"/>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53"/>
      <c r="C542" s="51"/>
      <c r="D542" s="51"/>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53"/>
      <c r="C543" s="51"/>
      <c r="D543" s="51"/>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53"/>
      <c r="C544" s="51"/>
      <c r="D544" s="51"/>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53"/>
      <c r="C545" s="51"/>
      <c r="D545" s="51"/>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53"/>
      <c r="C546" s="51"/>
      <c r="D546" s="51"/>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53"/>
      <c r="C547" s="51"/>
      <c r="D547" s="51"/>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53"/>
      <c r="C548" s="51"/>
      <c r="D548" s="51"/>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53"/>
      <c r="C549" s="51"/>
      <c r="D549" s="51"/>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53"/>
      <c r="C550" s="51"/>
      <c r="D550" s="51"/>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53"/>
      <c r="C551" s="51"/>
      <c r="D551" s="51"/>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53"/>
      <c r="C552" s="51"/>
      <c r="D552" s="51"/>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53"/>
      <c r="C553" s="51"/>
      <c r="D553" s="51"/>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53"/>
      <c r="C554" s="51"/>
      <c r="D554" s="51"/>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53"/>
      <c r="C555" s="51"/>
      <c r="D555" s="51"/>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53"/>
      <c r="C556" s="51"/>
      <c r="D556" s="51"/>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53"/>
      <c r="C557" s="51"/>
      <c r="D557" s="51"/>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53"/>
      <c r="C558" s="51"/>
      <c r="D558" s="51"/>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53"/>
      <c r="C559" s="51"/>
      <c r="D559" s="51"/>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53"/>
      <c r="C560" s="51"/>
      <c r="D560" s="51"/>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53"/>
      <c r="C561" s="51"/>
      <c r="D561" s="51"/>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53"/>
      <c r="C562" s="51"/>
      <c r="D562" s="51"/>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53"/>
      <c r="C563" s="51"/>
      <c r="D563" s="51"/>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53"/>
      <c r="C564" s="51"/>
      <c r="D564" s="51"/>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53"/>
      <c r="C565" s="51"/>
      <c r="D565" s="51"/>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53"/>
      <c r="C566" s="51"/>
      <c r="D566" s="51"/>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53"/>
      <c r="C567" s="51"/>
      <c r="D567" s="51"/>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53"/>
      <c r="C568" s="51"/>
      <c r="D568" s="51"/>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53"/>
      <c r="C569" s="51"/>
      <c r="D569" s="51"/>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53"/>
      <c r="C570" s="51"/>
      <c r="D570" s="51"/>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53"/>
      <c r="C571" s="51"/>
      <c r="D571" s="51"/>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53"/>
      <c r="C572" s="51"/>
      <c r="D572" s="51"/>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53"/>
      <c r="C573" s="51"/>
      <c r="D573" s="51"/>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53"/>
      <c r="C574" s="51"/>
      <c r="D574" s="51"/>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53"/>
      <c r="C575" s="51"/>
      <c r="D575" s="51"/>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53"/>
      <c r="C576" s="51"/>
      <c r="D576" s="51"/>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53"/>
      <c r="C577" s="51"/>
      <c r="D577" s="51"/>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53"/>
      <c r="C578" s="51"/>
      <c r="D578" s="51"/>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53"/>
      <c r="C579" s="51"/>
      <c r="D579" s="51"/>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53"/>
      <c r="C580" s="51"/>
      <c r="D580" s="51"/>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53"/>
      <c r="C581" s="51"/>
      <c r="D581" s="51"/>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53"/>
      <c r="C582" s="51"/>
      <c r="D582" s="51"/>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53"/>
      <c r="C583" s="51"/>
      <c r="D583" s="51"/>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53"/>
      <c r="C584" s="51"/>
      <c r="D584" s="51"/>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53"/>
      <c r="C585" s="51"/>
      <c r="D585" s="51"/>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53"/>
      <c r="C586" s="51"/>
      <c r="D586" s="51"/>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53"/>
      <c r="C587" s="51"/>
      <c r="D587" s="51"/>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53"/>
      <c r="C588" s="51"/>
      <c r="D588" s="51"/>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53"/>
      <c r="C589" s="51"/>
      <c r="D589" s="51"/>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53"/>
      <c r="C590" s="51"/>
      <c r="D590" s="51"/>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53"/>
      <c r="C591" s="51"/>
      <c r="D591" s="51"/>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53"/>
      <c r="C592" s="51"/>
      <c r="D592" s="51"/>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53"/>
      <c r="C593" s="51"/>
      <c r="D593" s="51"/>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53"/>
      <c r="C594" s="51"/>
      <c r="D594" s="51"/>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53"/>
      <c r="C595" s="51"/>
      <c r="D595" s="51"/>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53"/>
      <c r="C596" s="51"/>
      <c r="D596" s="51"/>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53"/>
      <c r="C597" s="51"/>
      <c r="D597" s="51"/>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53"/>
      <c r="C598" s="51"/>
      <c r="D598" s="51"/>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53"/>
      <c r="C599" s="51"/>
      <c r="D599" s="51"/>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53"/>
      <c r="C600" s="51"/>
      <c r="D600" s="51"/>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53"/>
      <c r="C601" s="51"/>
      <c r="D601" s="51"/>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53"/>
      <c r="C602" s="51"/>
      <c r="D602" s="51"/>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53"/>
      <c r="C603" s="51"/>
      <c r="D603" s="51"/>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53"/>
      <c r="C604" s="51"/>
      <c r="D604" s="51"/>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53"/>
      <c r="C605" s="51"/>
      <c r="D605" s="51"/>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53"/>
      <c r="C606" s="51"/>
      <c r="D606" s="51"/>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53"/>
      <c r="C607" s="51"/>
      <c r="D607" s="51"/>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53"/>
      <c r="C608" s="51"/>
      <c r="D608" s="51"/>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53"/>
      <c r="C609" s="51"/>
      <c r="D609" s="51"/>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53"/>
      <c r="C610" s="51"/>
      <c r="D610" s="51"/>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53"/>
      <c r="C611" s="51"/>
      <c r="D611" s="51"/>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53"/>
      <c r="C612" s="51"/>
      <c r="D612" s="51"/>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53"/>
      <c r="C613" s="51"/>
      <c r="D613" s="51"/>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53"/>
      <c r="C614" s="51"/>
      <c r="D614" s="51"/>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53"/>
      <c r="C615" s="51"/>
      <c r="D615" s="51"/>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53"/>
      <c r="C616" s="51"/>
      <c r="D616" s="51"/>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53"/>
      <c r="C617" s="51"/>
      <c r="D617" s="51"/>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53"/>
      <c r="C618" s="51"/>
      <c r="D618" s="51"/>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53"/>
      <c r="C619" s="51"/>
      <c r="D619" s="51"/>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53"/>
      <c r="C620" s="51"/>
      <c r="D620" s="51"/>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53"/>
      <c r="C621" s="51"/>
      <c r="D621" s="51"/>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53"/>
      <c r="C622" s="51"/>
      <c r="D622" s="51"/>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53"/>
      <c r="C623" s="51"/>
      <c r="D623" s="51"/>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53"/>
      <c r="C624" s="51"/>
      <c r="D624" s="51"/>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53"/>
      <c r="C625" s="51"/>
      <c r="D625" s="51"/>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53"/>
      <c r="C626" s="51"/>
      <c r="D626" s="51"/>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53"/>
      <c r="C627" s="51"/>
      <c r="D627" s="51"/>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53"/>
      <c r="C628" s="51"/>
      <c r="D628" s="51"/>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53"/>
      <c r="C629" s="51"/>
      <c r="D629" s="51"/>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53"/>
      <c r="C630" s="51"/>
      <c r="D630" s="51"/>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53"/>
      <c r="C631" s="51"/>
      <c r="D631" s="51"/>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53"/>
      <c r="C632" s="51"/>
      <c r="D632" s="51"/>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53"/>
      <c r="C633" s="51"/>
      <c r="D633" s="51"/>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53"/>
      <c r="C634" s="51"/>
      <c r="D634" s="51"/>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53"/>
      <c r="C635" s="51"/>
      <c r="D635" s="51"/>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53"/>
      <c r="C636" s="51"/>
      <c r="D636" s="51"/>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53"/>
      <c r="C637" s="51"/>
      <c r="D637" s="51"/>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53"/>
      <c r="C638" s="51"/>
      <c r="D638" s="51"/>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53"/>
      <c r="C639" s="51"/>
      <c r="D639" s="51"/>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53"/>
      <c r="C640" s="51"/>
      <c r="D640" s="51"/>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53"/>
      <c r="C641" s="51"/>
      <c r="D641" s="51"/>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53"/>
      <c r="C642" s="51"/>
      <c r="D642" s="51"/>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53"/>
      <c r="C643" s="51"/>
      <c r="D643" s="51"/>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53"/>
      <c r="C644" s="51"/>
      <c r="D644" s="51"/>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53"/>
      <c r="C645" s="51"/>
      <c r="D645" s="51"/>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53"/>
      <c r="C646" s="51"/>
      <c r="D646" s="51"/>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53"/>
      <c r="C647" s="51"/>
      <c r="D647" s="51"/>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53"/>
      <c r="C648" s="51"/>
      <c r="D648" s="51"/>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53"/>
      <c r="C649" s="51"/>
      <c r="D649" s="51"/>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53"/>
      <c r="C650" s="51"/>
      <c r="D650" s="51"/>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53"/>
      <c r="C651" s="51"/>
      <c r="D651" s="51"/>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53"/>
      <c r="C652" s="51"/>
      <c r="D652" s="51"/>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53"/>
      <c r="C653" s="51"/>
      <c r="D653" s="51"/>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53"/>
      <c r="C654" s="51"/>
      <c r="D654" s="51"/>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53"/>
      <c r="C655" s="51"/>
      <c r="D655" s="51"/>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53"/>
      <c r="C656" s="51"/>
      <c r="D656" s="51"/>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53"/>
      <c r="C657" s="51"/>
      <c r="D657" s="51"/>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53"/>
      <c r="C658" s="51"/>
      <c r="D658" s="51"/>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53"/>
      <c r="C659" s="51"/>
      <c r="D659" s="51"/>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53"/>
      <c r="C660" s="51"/>
      <c r="D660" s="51"/>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53"/>
      <c r="C661" s="51"/>
      <c r="D661" s="51"/>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53"/>
      <c r="C662" s="51"/>
      <c r="D662" s="51"/>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53"/>
      <c r="C663" s="51"/>
      <c r="D663" s="51"/>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53"/>
      <c r="C664" s="51"/>
      <c r="D664" s="51"/>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53"/>
      <c r="C665" s="51"/>
      <c r="D665" s="51"/>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53"/>
      <c r="C666" s="51"/>
      <c r="D666" s="51"/>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53"/>
      <c r="C667" s="51"/>
      <c r="D667" s="51"/>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53"/>
      <c r="C668" s="51"/>
      <c r="D668" s="51"/>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53"/>
      <c r="C669" s="51"/>
      <c r="D669" s="51"/>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53"/>
      <c r="C670" s="51"/>
      <c r="D670" s="51"/>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53"/>
      <c r="C671" s="51"/>
      <c r="D671" s="51"/>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53"/>
      <c r="C672" s="51"/>
      <c r="D672" s="51"/>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53"/>
      <c r="C673" s="51"/>
      <c r="D673" s="51"/>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53"/>
      <c r="C674" s="51"/>
      <c r="D674" s="51"/>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53"/>
      <c r="C675" s="51"/>
      <c r="D675" s="51"/>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53"/>
      <c r="C676" s="51"/>
      <c r="D676" s="51"/>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53"/>
      <c r="C677" s="51"/>
      <c r="D677" s="51"/>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53"/>
      <c r="C678" s="51"/>
      <c r="D678" s="51"/>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53"/>
      <c r="C679" s="51"/>
      <c r="D679" s="51"/>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53"/>
      <c r="C680" s="51"/>
      <c r="D680" s="51"/>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53"/>
      <c r="C681" s="51"/>
      <c r="D681" s="51"/>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53"/>
      <c r="C682" s="51"/>
      <c r="D682" s="51"/>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53"/>
      <c r="C683" s="51"/>
      <c r="D683" s="51"/>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53"/>
      <c r="C684" s="51"/>
      <c r="D684" s="51"/>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53"/>
      <c r="C685" s="51"/>
      <c r="D685" s="51"/>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53"/>
      <c r="C686" s="51"/>
      <c r="D686" s="51"/>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53"/>
      <c r="C687" s="51"/>
      <c r="D687" s="51"/>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53"/>
      <c r="C688" s="51"/>
      <c r="D688" s="51"/>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53"/>
      <c r="C689" s="51"/>
      <c r="D689" s="51"/>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53"/>
      <c r="C690" s="51"/>
      <c r="D690" s="51"/>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53"/>
      <c r="C691" s="51"/>
      <c r="D691" s="51"/>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53"/>
      <c r="C692" s="51"/>
      <c r="D692" s="51"/>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53"/>
      <c r="C693" s="51"/>
      <c r="D693" s="51"/>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53"/>
      <c r="C694" s="51"/>
      <c r="D694" s="51"/>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53"/>
      <c r="C695" s="51"/>
      <c r="D695" s="51"/>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53"/>
      <c r="C696" s="51"/>
      <c r="D696" s="51"/>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53"/>
      <c r="C697" s="51"/>
      <c r="D697" s="51"/>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53"/>
      <c r="C698" s="51"/>
      <c r="D698" s="51"/>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53"/>
      <c r="C699" s="51"/>
      <c r="D699" s="51"/>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53"/>
      <c r="C700" s="51"/>
      <c r="D700" s="51"/>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53"/>
      <c r="C701" s="51"/>
      <c r="D701" s="51"/>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53"/>
      <c r="C702" s="51"/>
      <c r="D702" s="51"/>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53"/>
      <c r="C703" s="51"/>
      <c r="D703" s="51"/>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53"/>
      <c r="C704" s="51"/>
      <c r="D704" s="51"/>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53"/>
      <c r="C705" s="51"/>
      <c r="D705" s="51"/>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53"/>
      <c r="C706" s="51"/>
      <c r="D706" s="51"/>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53"/>
      <c r="C707" s="51"/>
      <c r="D707" s="51"/>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53"/>
      <c r="C708" s="51"/>
      <c r="D708" s="51"/>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53"/>
      <c r="C709" s="51"/>
      <c r="D709" s="51"/>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53"/>
      <c r="C710" s="51"/>
      <c r="D710" s="51"/>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53"/>
      <c r="C711" s="51"/>
      <c r="D711" s="51"/>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53"/>
      <c r="C712" s="51"/>
      <c r="D712" s="51"/>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53"/>
      <c r="C713" s="51"/>
      <c r="D713" s="51"/>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53"/>
      <c r="C714" s="51"/>
      <c r="D714" s="51"/>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53"/>
      <c r="C715" s="51"/>
      <c r="D715" s="51"/>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53"/>
      <c r="C716" s="51"/>
      <c r="D716" s="51"/>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53"/>
      <c r="C717" s="51"/>
      <c r="D717" s="51"/>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53"/>
      <c r="C718" s="51"/>
      <c r="D718" s="51"/>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53"/>
      <c r="C719" s="51"/>
      <c r="D719" s="51"/>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53"/>
      <c r="C720" s="51"/>
      <c r="D720" s="51"/>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53"/>
      <c r="C721" s="51"/>
      <c r="D721" s="51"/>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53"/>
      <c r="C722" s="51"/>
      <c r="D722" s="51"/>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53"/>
      <c r="C723" s="51"/>
      <c r="D723" s="51"/>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53"/>
      <c r="C724" s="51"/>
      <c r="D724" s="51"/>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53"/>
      <c r="C725" s="51"/>
      <c r="D725" s="51"/>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53"/>
      <c r="C726" s="51"/>
      <c r="D726" s="51"/>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53"/>
      <c r="C727" s="51"/>
      <c r="D727" s="51"/>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53"/>
      <c r="C728" s="51"/>
      <c r="D728" s="51"/>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53"/>
      <c r="C729" s="51"/>
      <c r="D729" s="51"/>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53"/>
      <c r="C730" s="51"/>
      <c r="D730" s="51"/>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53"/>
      <c r="C731" s="51"/>
      <c r="D731" s="51"/>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53"/>
      <c r="C732" s="51"/>
      <c r="D732" s="51"/>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53"/>
      <c r="C733" s="51"/>
      <c r="D733" s="51"/>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53"/>
      <c r="C734" s="51"/>
      <c r="D734" s="51"/>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53"/>
      <c r="C735" s="51"/>
      <c r="D735" s="51"/>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53"/>
      <c r="C736" s="51"/>
      <c r="D736" s="51"/>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53"/>
      <c r="C737" s="51"/>
      <c r="D737" s="51"/>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53"/>
      <c r="C738" s="51"/>
      <c r="D738" s="51"/>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53"/>
      <c r="C739" s="51"/>
      <c r="D739" s="51"/>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53"/>
      <c r="C740" s="51"/>
      <c r="D740" s="51"/>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53"/>
      <c r="C741" s="51"/>
      <c r="D741" s="51"/>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53"/>
      <c r="C742" s="51"/>
      <c r="D742" s="51"/>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53"/>
      <c r="C743" s="51"/>
      <c r="D743" s="51"/>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53"/>
      <c r="C744" s="51"/>
      <c r="D744" s="51"/>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53"/>
      <c r="C745" s="51"/>
      <c r="D745" s="51"/>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53"/>
      <c r="C746" s="51"/>
      <c r="D746" s="51"/>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53"/>
      <c r="C747" s="51"/>
      <c r="D747" s="51"/>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53"/>
      <c r="C748" s="51"/>
      <c r="D748" s="51"/>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53"/>
      <c r="C749" s="51"/>
      <c r="D749" s="51"/>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53"/>
      <c r="C750" s="51"/>
      <c r="D750" s="51"/>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53"/>
      <c r="C751" s="51"/>
      <c r="D751" s="51"/>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53"/>
      <c r="C752" s="51"/>
      <c r="D752" s="51"/>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53"/>
      <c r="C753" s="51"/>
      <c r="D753" s="51"/>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53"/>
      <c r="C754" s="51"/>
      <c r="D754" s="51"/>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53"/>
      <c r="C755" s="51"/>
      <c r="D755" s="51"/>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53"/>
      <c r="C756" s="51"/>
      <c r="D756" s="51"/>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53"/>
      <c r="C757" s="51"/>
      <c r="D757" s="51"/>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53"/>
      <c r="C758" s="51"/>
      <c r="D758" s="51"/>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53"/>
      <c r="C759" s="51"/>
      <c r="D759" s="51"/>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53"/>
      <c r="C760" s="51"/>
      <c r="D760" s="51"/>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53"/>
      <c r="C761" s="51"/>
      <c r="D761" s="51"/>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53"/>
      <c r="C762" s="51"/>
      <c r="D762" s="51"/>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53"/>
      <c r="C763" s="51"/>
      <c r="D763" s="51"/>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53"/>
      <c r="C764" s="51"/>
      <c r="D764" s="51"/>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53"/>
      <c r="C765" s="51"/>
      <c r="D765" s="51"/>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53"/>
      <c r="C766" s="51"/>
      <c r="D766" s="51"/>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53"/>
      <c r="C767" s="51"/>
      <c r="D767" s="51"/>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53"/>
      <c r="C768" s="51"/>
      <c r="D768" s="51"/>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53"/>
      <c r="C769" s="51"/>
      <c r="D769" s="51"/>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53"/>
      <c r="C770" s="51"/>
      <c r="D770" s="51"/>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53"/>
      <c r="C771" s="51"/>
      <c r="D771" s="51"/>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53"/>
      <c r="C772" s="51"/>
      <c r="D772" s="51"/>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53"/>
      <c r="C773" s="51"/>
      <c r="D773" s="51"/>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53"/>
      <c r="C774" s="51"/>
      <c r="D774" s="51"/>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53"/>
      <c r="C775" s="51"/>
      <c r="D775" s="51"/>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53"/>
      <c r="C776" s="51"/>
      <c r="D776" s="51"/>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53"/>
      <c r="C777" s="51"/>
      <c r="D777" s="51"/>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53"/>
      <c r="C778" s="51"/>
      <c r="D778" s="51"/>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53"/>
      <c r="C779" s="51"/>
      <c r="D779" s="51"/>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53"/>
      <c r="C780" s="51"/>
      <c r="D780" s="51"/>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53"/>
      <c r="C781" s="51"/>
      <c r="D781" s="51"/>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53"/>
      <c r="C782" s="51"/>
      <c r="D782" s="51"/>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53"/>
      <c r="C783" s="51"/>
      <c r="D783" s="51"/>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53"/>
      <c r="C784" s="51"/>
      <c r="D784" s="51"/>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53"/>
      <c r="C785" s="51"/>
      <c r="D785" s="51"/>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53"/>
      <c r="C786" s="51"/>
      <c r="D786" s="51"/>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53"/>
      <c r="C787" s="51"/>
      <c r="D787" s="51"/>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53"/>
      <c r="C788" s="51"/>
      <c r="D788" s="51"/>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53"/>
      <c r="C789" s="51"/>
      <c r="D789" s="51"/>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53"/>
      <c r="C790" s="51"/>
      <c r="D790" s="51"/>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53"/>
      <c r="C791" s="51"/>
      <c r="D791" s="51"/>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53"/>
      <c r="C792" s="51"/>
      <c r="D792" s="51"/>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53"/>
      <c r="C793" s="51"/>
      <c r="D793" s="51"/>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53"/>
      <c r="C794" s="51"/>
      <c r="D794" s="51"/>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53"/>
      <c r="C795" s="51"/>
      <c r="D795" s="51"/>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53"/>
      <c r="C796" s="51"/>
      <c r="D796" s="51"/>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53"/>
      <c r="C797" s="51"/>
      <c r="D797" s="51"/>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53"/>
      <c r="C798" s="51"/>
      <c r="D798" s="51"/>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53"/>
      <c r="C799" s="51"/>
      <c r="D799" s="51"/>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53"/>
      <c r="C800" s="51"/>
      <c r="D800" s="51"/>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53"/>
      <c r="C801" s="51"/>
      <c r="D801" s="51"/>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53"/>
      <c r="C802" s="51"/>
      <c r="D802" s="51"/>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53"/>
      <c r="C803" s="51"/>
      <c r="D803" s="51"/>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53"/>
      <c r="C804" s="51"/>
      <c r="D804" s="51"/>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53"/>
      <c r="C805" s="51"/>
      <c r="D805" s="51"/>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53"/>
      <c r="C806" s="51"/>
      <c r="D806" s="51"/>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53"/>
      <c r="C807" s="51"/>
      <c r="D807" s="51"/>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53"/>
      <c r="C808" s="51"/>
      <c r="D808" s="51"/>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53"/>
      <c r="C809" s="51"/>
      <c r="D809" s="51"/>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53"/>
      <c r="C810" s="51"/>
      <c r="D810" s="51"/>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53"/>
      <c r="C811" s="51"/>
      <c r="D811" s="51"/>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53"/>
      <c r="C812" s="51"/>
      <c r="D812" s="51"/>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53"/>
      <c r="C813" s="51"/>
      <c r="D813" s="51"/>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53"/>
      <c r="C814" s="51"/>
      <c r="D814" s="51"/>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53"/>
      <c r="C815" s="51"/>
      <c r="D815" s="51"/>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53"/>
      <c r="C816" s="51"/>
      <c r="D816" s="51"/>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53"/>
      <c r="C817" s="51"/>
      <c r="D817" s="51"/>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53"/>
      <c r="C818" s="51"/>
      <c r="D818" s="51"/>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53"/>
      <c r="C819" s="51"/>
      <c r="D819" s="51"/>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53"/>
      <c r="C820" s="51"/>
      <c r="D820" s="51"/>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53"/>
      <c r="C821" s="51"/>
      <c r="D821" s="51"/>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53"/>
      <c r="C822" s="51"/>
      <c r="D822" s="51"/>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53"/>
      <c r="C823" s="51"/>
      <c r="D823" s="51"/>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53"/>
      <c r="C824" s="51"/>
      <c r="D824" s="51"/>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53"/>
      <c r="C825" s="51"/>
      <c r="D825" s="51"/>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53"/>
      <c r="C826" s="51"/>
      <c r="D826" s="51"/>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53"/>
      <c r="C827" s="51"/>
      <c r="D827" s="51"/>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53"/>
      <c r="C828" s="51"/>
      <c r="D828" s="51"/>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53"/>
      <c r="C829" s="51"/>
      <c r="D829" s="51"/>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53"/>
      <c r="C830" s="51"/>
      <c r="D830" s="51"/>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53"/>
      <c r="C831" s="51"/>
      <c r="D831" s="51"/>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53"/>
      <c r="C832" s="51"/>
      <c r="D832" s="51"/>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53"/>
      <c r="C833" s="51"/>
      <c r="D833" s="51"/>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53"/>
      <c r="C834" s="51"/>
      <c r="D834" s="51"/>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53"/>
      <c r="C835" s="51"/>
      <c r="D835" s="51"/>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53"/>
      <c r="C836" s="51"/>
      <c r="D836" s="51"/>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53"/>
      <c r="C837" s="51"/>
      <c r="D837" s="51"/>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53"/>
      <c r="C838" s="51"/>
      <c r="D838" s="51"/>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53"/>
      <c r="C839" s="51"/>
      <c r="D839" s="51"/>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53"/>
      <c r="C840" s="51"/>
      <c r="D840" s="51"/>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53"/>
      <c r="C841" s="51"/>
      <c r="D841" s="51"/>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53"/>
      <c r="C842" s="51"/>
      <c r="D842" s="51"/>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53"/>
      <c r="C843" s="51"/>
      <c r="D843" s="51"/>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53"/>
      <c r="C844" s="51"/>
      <c r="D844" s="51"/>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53"/>
      <c r="C845" s="51"/>
      <c r="D845" s="51"/>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53"/>
      <c r="C846" s="51"/>
      <c r="D846" s="51"/>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53"/>
      <c r="C847" s="51"/>
      <c r="D847" s="51"/>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53"/>
      <c r="C848" s="51"/>
      <c r="D848" s="51"/>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53"/>
      <c r="C849" s="51"/>
      <c r="D849" s="51"/>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53"/>
      <c r="C850" s="51"/>
      <c r="D850" s="51"/>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53"/>
      <c r="C851" s="51"/>
      <c r="D851" s="51"/>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53"/>
      <c r="C852" s="51"/>
      <c r="D852" s="51"/>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53"/>
      <c r="C853" s="51"/>
      <c r="D853" s="51"/>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53"/>
      <c r="C854" s="51"/>
      <c r="D854" s="51"/>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53"/>
      <c r="C855" s="51"/>
      <c r="D855" s="51"/>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53"/>
      <c r="C856" s="51"/>
      <c r="D856" s="51"/>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53"/>
      <c r="C857" s="51"/>
      <c r="D857" s="51"/>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53"/>
      <c r="C858" s="51"/>
      <c r="D858" s="51"/>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53"/>
      <c r="C859" s="51"/>
      <c r="D859" s="51"/>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53"/>
      <c r="C860" s="51"/>
      <c r="D860" s="51"/>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53"/>
      <c r="C861" s="51"/>
      <c r="D861" s="51"/>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53"/>
      <c r="C862" s="51"/>
      <c r="D862" s="51"/>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53"/>
      <c r="C863" s="51"/>
      <c r="D863" s="51"/>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53"/>
      <c r="C864" s="51"/>
      <c r="D864" s="51"/>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53"/>
      <c r="C865" s="51"/>
      <c r="D865" s="51"/>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53"/>
      <c r="C866" s="51"/>
      <c r="D866" s="51"/>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53"/>
      <c r="C867" s="51"/>
      <c r="D867" s="51"/>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53"/>
      <c r="C868" s="51"/>
      <c r="D868" s="51"/>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53"/>
      <c r="C869" s="51"/>
      <c r="D869" s="51"/>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53"/>
      <c r="C870" s="51"/>
      <c r="D870" s="51"/>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53"/>
      <c r="C871" s="51"/>
      <c r="D871" s="51"/>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53"/>
      <c r="C872" s="51"/>
      <c r="D872" s="51"/>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53"/>
      <c r="C873" s="51"/>
      <c r="D873" s="51"/>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53"/>
      <c r="C874" s="51"/>
      <c r="D874" s="51"/>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53"/>
      <c r="C875" s="51"/>
      <c r="D875" s="51"/>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53"/>
      <c r="C876" s="51"/>
      <c r="D876" s="51"/>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53"/>
      <c r="C877" s="51"/>
      <c r="D877" s="51"/>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53"/>
      <c r="C878" s="51"/>
      <c r="D878" s="51"/>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53"/>
      <c r="C879" s="51"/>
      <c r="D879" s="51"/>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53"/>
      <c r="C880" s="51"/>
      <c r="D880" s="51"/>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53"/>
      <c r="C881" s="51"/>
      <c r="D881" s="51"/>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53"/>
      <c r="C882" s="51"/>
      <c r="D882" s="51"/>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53"/>
      <c r="C883" s="51"/>
      <c r="D883" s="51"/>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53"/>
      <c r="C884" s="51"/>
      <c r="D884" s="51"/>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53"/>
      <c r="C885" s="51"/>
      <c r="D885" s="51"/>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53"/>
      <c r="C886" s="51"/>
      <c r="D886" s="51"/>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53"/>
      <c r="C887" s="51"/>
      <c r="D887" s="51"/>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53"/>
      <c r="C888" s="51"/>
      <c r="D888" s="51"/>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53"/>
      <c r="C889" s="51"/>
      <c r="D889" s="51"/>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53"/>
      <c r="C890" s="51"/>
      <c r="D890" s="51"/>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53"/>
      <c r="C891" s="51"/>
      <c r="D891" s="51"/>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53"/>
      <c r="C892" s="51"/>
      <c r="D892" s="51"/>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53"/>
      <c r="C893" s="51"/>
      <c r="D893" s="51"/>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53"/>
      <c r="C894" s="51"/>
      <c r="D894" s="51"/>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53"/>
      <c r="C895" s="51"/>
      <c r="D895" s="51"/>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53"/>
      <c r="C896" s="51"/>
      <c r="D896" s="51"/>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53"/>
      <c r="C897" s="51"/>
      <c r="D897" s="51"/>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53"/>
      <c r="C898" s="51"/>
      <c r="D898" s="51"/>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53"/>
      <c r="C899" s="51"/>
      <c r="D899" s="51"/>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53"/>
      <c r="C900" s="51"/>
      <c r="D900" s="51"/>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53"/>
      <c r="C901" s="51"/>
      <c r="D901" s="51"/>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53"/>
      <c r="C902" s="51"/>
      <c r="D902" s="51"/>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53"/>
      <c r="C903" s="51"/>
      <c r="D903" s="51"/>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53"/>
      <c r="C904" s="51"/>
      <c r="D904" s="51"/>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53"/>
      <c r="C905" s="51"/>
      <c r="D905" s="51"/>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53"/>
      <c r="C906" s="51"/>
      <c r="D906" s="51"/>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53"/>
      <c r="C907" s="51"/>
      <c r="D907" s="51"/>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53"/>
      <c r="C908" s="51"/>
      <c r="D908" s="51"/>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53"/>
      <c r="C909" s="51"/>
      <c r="D909" s="51"/>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53"/>
      <c r="C910" s="51"/>
      <c r="D910" s="51"/>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53"/>
      <c r="C911" s="51"/>
      <c r="D911" s="51"/>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53"/>
      <c r="C912" s="51"/>
      <c r="D912" s="51"/>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53"/>
      <c r="C913" s="51"/>
      <c r="D913" s="51"/>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53"/>
      <c r="C914" s="51"/>
      <c r="D914" s="51"/>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53"/>
      <c r="C915" s="51"/>
      <c r="D915" s="51"/>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53"/>
      <c r="C916" s="51"/>
      <c r="D916" s="51"/>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53"/>
      <c r="C917" s="51"/>
      <c r="D917" s="51"/>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53"/>
      <c r="C918" s="51"/>
      <c r="D918" s="51"/>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53"/>
      <c r="C919" s="51"/>
      <c r="D919" s="51"/>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53"/>
      <c r="C920" s="51"/>
      <c r="D920" s="51"/>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53"/>
      <c r="C921" s="51"/>
      <c r="D921" s="51"/>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53"/>
      <c r="C922" s="51"/>
      <c r="D922" s="51"/>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53"/>
      <c r="C923" s="51"/>
      <c r="D923" s="51"/>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53"/>
      <c r="C924" s="51"/>
      <c r="D924" s="51"/>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53"/>
      <c r="C925" s="51"/>
      <c r="D925" s="51"/>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53"/>
      <c r="C926" s="51"/>
      <c r="D926" s="51"/>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53"/>
      <c r="C927" s="51"/>
      <c r="D927" s="51"/>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53"/>
      <c r="C928" s="51"/>
      <c r="D928" s="51"/>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53"/>
      <c r="C929" s="51"/>
      <c r="D929" s="51"/>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53"/>
      <c r="C930" s="51"/>
      <c r="D930" s="51"/>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53"/>
      <c r="C931" s="51"/>
      <c r="D931" s="51"/>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53"/>
      <c r="C932" s="51"/>
      <c r="D932" s="51"/>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53"/>
      <c r="C933" s="51"/>
      <c r="D933" s="51"/>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53"/>
      <c r="C934" s="51"/>
      <c r="D934" s="51"/>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53"/>
      <c r="C935" s="51"/>
      <c r="D935" s="51"/>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53"/>
      <c r="C936" s="51"/>
      <c r="D936" s="51"/>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53"/>
      <c r="C937" s="51"/>
      <c r="D937" s="51"/>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53"/>
      <c r="C938" s="51"/>
      <c r="D938" s="51"/>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53"/>
      <c r="C939" s="51"/>
      <c r="D939" s="51"/>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53"/>
      <c r="C940" s="51"/>
      <c r="D940" s="51"/>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53"/>
      <c r="C941" s="51"/>
      <c r="D941" s="51"/>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53"/>
      <c r="C942" s="51"/>
      <c r="D942" s="51"/>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53"/>
      <c r="C943" s="51"/>
      <c r="D943" s="51"/>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53"/>
      <c r="C944" s="51"/>
      <c r="D944" s="51"/>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53"/>
      <c r="C945" s="51"/>
      <c r="D945" s="51"/>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53"/>
      <c r="C946" s="51"/>
      <c r="D946" s="51"/>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53"/>
      <c r="C947" s="51"/>
      <c r="D947" s="51"/>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53"/>
      <c r="C948" s="51"/>
      <c r="D948" s="51"/>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53"/>
      <c r="C949" s="51"/>
      <c r="D949" s="51"/>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53"/>
      <c r="C950" s="51"/>
      <c r="D950" s="51"/>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53"/>
      <c r="C951" s="51"/>
      <c r="D951" s="51"/>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53"/>
      <c r="C952" s="51"/>
      <c r="D952" s="51"/>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53"/>
      <c r="C953" s="51"/>
      <c r="D953" s="51"/>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53"/>
      <c r="C954" s="51"/>
      <c r="D954" s="51"/>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53"/>
      <c r="C955" s="51"/>
      <c r="D955" s="51"/>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53"/>
      <c r="C956" s="51"/>
      <c r="D956" s="51"/>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53"/>
      <c r="C957" s="51"/>
      <c r="D957" s="51"/>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53"/>
      <c r="C958" s="51"/>
      <c r="D958" s="51"/>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53"/>
      <c r="C959" s="51"/>
      <c r="D959" s="51"/>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53"/>
      <c r="C960" s="51"/>
      <c r="D960" s="51"/>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53"/>
      <c r="C961" s="51"/>
      <c r="D961" s="51"/>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53"/>
      <c r="C962" s="51"/>
      <c r="D962" s="51"/>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53"/>
      <c r="C963" s="51"/>
      <c r="D963" s="51"/>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53"/>
      <c r="C964" s="51"/>
      <c r="D964" s="51"/>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53"/>
      <c r="C965" s="51"/>
      <c r="D965" s="51"/>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53"/>
      <c r="C966" s="51"/>
      <c r="D966" s="51"/>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53"/>
      <c r="C967" s="51"/>
      <c r="D967" s="51"/>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53"/>
      <c r="C968" s="51"/>
      <c r="D968" s="51"/>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53"/>
      <c r="C969" s="51"/>
      <c r="D969" s="51"/>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53"/>
      <c r="C970" s="51"/>
      <c r="D970" s="51"/>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53"/>
      <c r="C971" s="51"/>
      <c r="D971" s="51"/>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53"/>
      <c r="C972" s="51"/>
      <c r="D972" s="51"/>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53"/>
      <c r="C973" s="51"/>
      <c r="D973" s="51"/>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53"/>
      <c r="C974" s="51"/>
      <c r="D974" s="51"/>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53"/>
      <c r="C975" s="51"/>
      <c r="D975" s="51"/>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53"/>
      <c r="C976" s="51"/>
      <c r="D976" s="51"/>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53"/>
      <c r="C977" s="51"/>
      <c r="D977" s="51"/>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53"/>
      <c r="C978" s="51"/>
      <c r="D978" s="51"/>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53"/>
      <c r="C979" s="51"/>
      <c r="D979" s="51"/>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53"/>
      <c r="C980" s="51"/>
      <c r="D980" s="51"/>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53"/>
      <c r="C981" s="51"/>
      <c r="D981" s="51"/>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53"/>
      <c r="C982" s="51"/>
      <c r="D982" s="51"/>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53"/>
      <c r="C983" s="51"/>
      <c r="D983" s="51"/>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53"/>
      <c r="C984" s="51"/>
      <c r="D984" s="51"/>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53"/>
      <c r="C985" s="51"/>
      <c r="D985" s="51"/>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53"/>
      <c r="C986" s="51"/>
      <c r="D986" s="51"/>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53"/>
      <c r="C987" s="51"/>
      <c r="D987" s="51"/>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53"/>
      <c r="C988" s="51"/>
      <c r="D988" s="51"/>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53"/>
      <c r="C989" s="51"/>
      <c r="D989" s="51"/>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53"/>
      <c r="C990" s="51"/>
      <c r="D990" s="51"/>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53"/>
      <c r="C991" s="51"/>
      <c r="D991" s="51"/>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53"/>
      <c r="C992" s="51"/>
      <c r="D992" s="51"/>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53"/>
      <c r="C993" s="51"/>
      <c r="D993" s="51"/>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53"/>
      <c r="C994" s="51"/>
      <c r="D994" s="51"/>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53"/>
      <c r="C995" s="51"/>
      <c r="D995" s="51"/>
      <c r="E995" s="46"/>
      <c r="F995" s="46"/>
      <c r="G995" s="46"/>
      <c r="H995" s="46"/>
      <c r="I995" s="46"/>
      <c r="J995" s="46"/>
      <c r="K995" s="46"/>
      <c r="L995" s="46"/>
      <c r="M995" s="46"/>
      <c r="N995" s="46"/>
      <c r="O995" s="46"/>
      <c r="P995" s="46"/>
      <c r="Q995" s="46"/>
      <c r="R995" s="46"/>
      <c r="S995" s="46"/>
      <c r="T995" s="46"/>
      <c r="U995" s="46"/>
      <c r="V995" s="46"/>
      <c r="W995" s="46"/>
      <c r="X995" s="46"/>
      <c r="Y995" s="46"/>
      <c r="Z995" s="46"/>
    </row>
  </sheetData>
  <dataValidations>
    <dataValidation type="custom" allowBlank="1" showDropDown="1" sqref="A2:D312">
      <formula1>AND(ISNUMBER(A2),(NOT(OR(NOT(ISERROR(DATEVALUE(A2))), AND(ISNUMBER(A2), LEFT(CELL("format", A2))="D")))))</formula1>
    </dataValidation>
  </dataValidations>
  <drawing r:id="rId1"/>
  <tableParts count="1">
    <tablePart r:id="rId3"/>
  </tableParts>
</worksheet>
</file>